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discorp-my.sharepoint.com/personal/maria_diazalba_cordis_com/Documents/0 MARIA/JDE Financial/Personal/"/>
    </mc:Choice>
  </mc:AlternateContent>
  <xr:revisionPtr revIDLastSave="0" documentId="8_{6373454D-A215-44A4-A8FD-2C3C829BFFEE}" xr6:coauthVersionLast="47" xr6:coauthVersionMax="47" xr10:uidLastSave="{00000000-0000-0000-0000-000000000000}"/>
  <bookViews>
    <workbookView xWindow="-110" yWindow="-110" windowWidth="19420" windowHeight="10300" xr2:uid="{A3173712-7CFD-4C97-A26F-A26E6DD7FC78}"/>
  </bookViews>
  <sheets>
    <sheet name="Sheet1" sheetId="1" r:id="rId1"/>
    <sheet name="JDE GL Act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" hidden="1">{#N/A,#N/A,TRUE,"Market 5 Year Plan";#N/A,#N/A,TRUE,"Market";#N/A,#N/A,TRUE,"Plan Summ";#N/A,#N/A,TRUE,"Hosp vs AltSite";#N/A,#N/A,TRUE,"Series Summary 98 Plan";#N/A,#N/A,TRUE,"Ndlss"}</definedName>
    <definedName name="_________wrn1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_______out5" hidden="1">'[2]6 TRS'!#REF!</definedName>
    <definedName name="_______wrn1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______out5" hidden="1">'[2]6 TRS'!#REF!</definedName>
    <definedName name="______w2" hidden="1">{#N/A,#N/A,FALSE,"Consol.";#N/A,#N/A,FALSE,"EM";#N/A,#N/A,FALSE,"Reagent";#N/A,#N/A,FALSE,"Raritan";#N/A,#N/A,FALSE,"UK";#N/A,#N/A,FALSE,"Germany"}</definedName>
    <definedName name="______w3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____wrn1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______ww1" hidden="1">{#N/A,#N/A,FALSE,"Consol.";#N/A,#N/A,FALSE,"EM";#N/A,#N/A,FALSE,"Reagent";#N/A,#N/A,FALSE,"Raritan";#N/A,#N/A,FALSE,"UK";#N/A,#N/A,FALSE,"Germany"}</definedName>
    <definedName name="_____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___out5" hidden="1">'[2]6 TRS'!#REF!</definedName>
    <definedName name="_____wrn1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____out5" hidden="1">'[2]6 TRS'!#REF!</definedName>
    <definedName name="____w2" hidden="1">{#N/A,#N/A,FALSE,"Consol.";#N/A,#N/A,FALSE,"EM";#N/A,#N/A,FALSE,"Reagent";#N/A,#N/A,FALSE,"Raritan";#N/A,#N/A,FALSE,"UK";#N/A,#N/A,FALSE,"Germany"}</definedName>
    <definedName name="____w3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__wrn1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____ww1" hidden="1">{#N/A,#N/A,FALSE,"Consol.";#N/A,#N/A,FALSE,"EM";#N/A,#N/A,FALSE,"Reagent";#N/A,#N/A,FALSE,"Raritan";#N/A,#N/A,FALSE,"UK";#N/A,#N/A,FALSE,"Germany"}</definedName>
    <definedName name="___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_out5" hidden="1">'[2]6 TRS'!#REF!</definedName>
    <definedName name="___w2" hidden="1">{#N/A,#N/A,FALSE,"Consol.";#N/A,#N/A,FALSE,"EM";#N/A,#N/A,FALSE,"Reagent";#N/A,#N/A,FALSE,"Raritan";#N/A,#N/A,FALSE,"UK";#N/A,#N/A,FALSE,"Germany"}</definedName>
    <definedName name="___w3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_wrn1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___ww1" hidden="1">{#N/A,#N/A,FALSE,"Consol.";#N/A,#N/A,FALSE,"EM";#N/A,#N/A,FALSE,"Reagent";#N/A,#N/A,FALSE,"Raritan";#N/A,#N/A,FALSE,"UK";#N/A,#N/A,FALSE,"Germany"}</definedName>
    <definedName name="__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123Graph_A" hidden="1">'[3]6 TRS'!#REF!</definedName>
    <definedName name="__123Graph_AChart1" hidden="1">[4]Sheet3!#REF!</definedName>
    <definedName name="__123Graph_AChart2" hidden="1">[4]Sheet3!#REF!</definedName>
    <definedName name="__123Graph_AChart3" hidden="1">[4]Sheet3!#REF!</definedName>
    <definedName name="__123Graph_AChart4" hidden="1">[4]Sheet3!#REF!</definedName>
    <definedName name="__123Graph_AChart5" hidden="1">[4]Sheet3!#REF!</definedName>
    <definedName name="__123Graph_AChart6" hidden="1">'[5]140046 BM'!#REF!</definedName>
    <definedName name="__123Graph_AChart7" hidden="1">'[5]140046 BM'!#REF!</definedName>
    <definedName name="__123Graph_ACurrent" hidden="1">[4]Sheet3!#REF!</definedName>
    <definedName name="__123Graph_AINCOME" hidden="1">'[6]Net Sales'!#REF!</definedName>
    <definedName name="__123Graph_ASALES" hidden="1">'[6]Net Sales'!#REF!</definedName>
    <definedName name="__123Graph_B" hidden="1">'[3]6 TRS'!#REF!</definedName>
    <definedName name="__123Graph_BChart1" hidden="1">[4]Sheet3!#REF!</definedName>
    <definedName name="__123Graph_BChart2" hidden="1">[4]Sheet3!#REF!</definedName>
    <definedName name="__123Graph_BChart3" hidden="1">[4]Sheet3!#REF!</definedName>
    <definedName name="__123Graph_BChart4" hidden="1">[4]Sheet3!#REF!</definedName>
    <definedName name="__123Graph_BChart5" hidden="1">[4]Sheet3!#REF!</definedName>
    <definedName name="__123Graph_BCurrent" hidden="1">[4]Sheet3!#REF!</definedName>
    <definedName name="__123Graph_BINCOME" hidden="1">'[6]Net Sales'!#REF!</definedName>
    <definedName name="__123Graph_BSALES" hidden="1">'[6]Net Sales'!#REF!</definedName>
    <definedName name="__123Graph_C" hidden="1">[7]SPENDING!#REF!</definedName>
    <definedName name="__123Graph_CChart1" hidden="1">[4]Sheet3!#REF!</definedName>
    <definedName name="__123Graph_CChart2" hidden="1">[4]Sheet3!#REF!</definedName>
    <definedName name="__123Graph_CChart3" hidden="1">[4]Sheet3!#REF!</definedName>
    <definedName name="__123Graph_CChart4" hidden="1">[4]Sheet3!#REF!</definedName>
    <definedName name="__123Graph_CChart5" hidden="1">[4]Sheet3!#REF!</definedName>
    <definedName name="__123Graph_CCurrent" hidden="1">[4]Sheet3!#REF!</definedName>
    <definedName name="__123Graph_CINCOME" hidden="1">'[6]Net Sales'!#REF!</definedName>
    <definedName name="__123Graph_CSALES" hidden="1">'[6]Net Sales'!#REF!</definedName>
    <definedName name="__123Graph_D" hidden="1">[7]SPENDING!#REF!</definedName>
    <definedName name="__123Graph_DChart1" hidden="1">[4]Sheet3!#REF!</definedName>
    <definedName name="__123Graph_DChart2" hidden="1">[4]Sheet3!#REF!</definedName>
    <definedName name="__123Graph_DChart3" hidden="1">[4]Sheet3!#REF!</definedName>
    <definedName name="__123Graph_DChart4" hidden="1">[4]Sheet3!#REF!</definedName>
    <definedName name="__123Graph_DChart5" hidden="1">[4]Sheet3!#REF!</definedName>
    <definedName name="__123Graph_DCurrent" hidden="1">[4]Sheet3!#REF!</definedName>
    <definedName name="__123Graph_E" hidden="1">[8]Sheet3!#REF!</definedName>
    <definedName name="__123Graph_EChart1" hidden="1">[4]Sheet3!#REF!</definedName>
    <definedName name="__123Graph_EChart2" hidden="1">[4]Sheet3!#REF!</definedName>
    <definedName name="__123Graph_EChart3" hidden="1">[4]Sheet3!#REF!</definedName>
    <definedName name="__123Graph_EChart4" hidden="1">[4]Sheet3!#REF!</definedName>
    <definedName name="__123Graph_EChart5" hidden="1">[4]Sheet3!#REF!</definedName>
    <definedName name="__123Graph_ECurrent" hidden="1">[4]Sheet3!#REF!</definedName>
    <definedName name="__123Graph_F" hidden="1">[7]SPENDING!#REF!</definedName>
    <definedName name="__123Graph_FChart1" hidden="1">[4]Sheet3!#REF!</definedName>
    <definedName name="__123Graph_FChart2" hidden="1">[4]Sheet3!#REF!</definedName>
    <definedName name="__123Graph_FChart3" hidden="1">[4]Sheet3!#REF!</definedName>
    <definedName name="__123Graph_FChart4" hidden="1">[4]Sheet3!#REF!</definedName>
    <definedName name="__123Graph_FChart5" hidden="1">[4]Sheet3!#REF!</definedName>
    <definedName name="__123Graph_FCurrent" hidden="1">[4]Sheet3!#REF!</definedName>
    <definedName name="__123Graph_LBL_A" hidden="1">'[3]6 TRS'!#REF!</definedName>
    <definedName name="__123Graph_LBL_B" hidden="1">#REF!</definedName>
    <definedName name="__123Graph_X" hidden="1">'[3]6 TRS'!#REF!</definedName>
    <definedName name="__12Graph_F" hidden="1">#REF!</definedName>
    <definedName name="__FDS_HYPERLINK_TOGGLE_STATE__" hidden="1">"ON"</definedName>
    <definedName name="__out5" hidden="1">'[2]6 TRS'!#REF!</definedName>
    <definedName name="__pf1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__wrn1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_1__123Graph_ACHART_10" hidden="1">[9]GLOBAL!#REF!</definedName>
    <definedName name="_10__123Graph_CCHART_10" hidden="1">[9]GLOBAL!#REF!</definedName>
    <definedName name="_12____123Graph_XCHART_10" hidden="1">[9]GLOBAL!#REF!</definedName>
    <definedName name="_12__123Graph_XCHART_5" hidden="1">[10]GLOBAL!#REF!</definedName>
    <definedName name="_123Graph_A_val" hidden="1">'[11]6 TRS'!#REF!</definedName>
    <definedName name="_123Graph_B_val" hidden="1">'[11]6 TRS'!#REF!</definedName>
    <definedName name="_123Graph_LBL_A_val" hidden="1">'[11]6 TRS'!#REF!</definedName>
    <definedName name="_123Graph_X_val" hidden="1">'[11]6 TRS'!#REF!</definedName>
    <definedName name="_124" hidden="1">[8]Sheet3!#REF!</definedName>
    <definedName name="_147" hidden="1">[8]Sheet3!#REF!</definedName>
    <definedName name="_15__123Graph_XCHART_10" hidden="1">[9]GLOBAL!#REF!</definedName>
    <definedName name="_16____123Graph_XCHART_5" hidden="1">[9]GLOBAL!#REF!</definedName>
    <definedName name="_16__123Graph_ACHART_10" hidden="1">[12]GLOBAL!#REF!</definedName>
    <definedName name="_2__123Graph_ACHART_10" hidden="1">[9]GLOBAL!#REF!</definedName>
    <definedName name="_2__123Graph_CCHART_10" hidden="1">[9]GLOBAL!#REF!</definedName>
    <definedName name="_20__123Graph_XCHART_5" hidden="1">[9]GLOBAL!#REF!</definedName>
    <definedName name="_3__123Graph_ACHART_10" hidden="1">[10]GLOBAL!#REF!</definedName>
    <definedName name="_3__123Graph_XCHART_10" hidden="1">[9]GLOBAL!#REF!</definedName>
    <definedName name="_32__123Graph_CCHART_10" hidden="1">[12]GLOBAL!#REF!</definedName>
    <definedName name="_4____123Graph_ACHART_10" hidden="1">[9]GLOBAL!#REF!</definedName>
    <definedName name="_4__123Graph_CCHART_10" hidden="1">[9]GLOBAL!#REF!</definedName>
    <definedName name="_4__123Graph_XCHART_5" hidden="1">[9]GLOBAL!#REF!</definedName>
    <definedName name="_48__123Graph_XCHART_10" hidden="1">[12]GLOBAL!#REF!</definedName>
    <definedName name="_5__123Graph_ACHART_10" hidden="1">[9]GLOBAL!#REF!</definedName>
    <definedName name="_6__123Graph_CCHART_10" hidden="1">[10]GLOBAL!#REF!</definedName>
    <definedName name="_6__123Graph_XCHART_10" hidden="1">[9]GLOBAL!#REF!</definedName>
    <definedName name="_64__123Graph_XCHART_5" hidden="1">[12]GLOBAL!#REF!</definedName>
    <definedName name="_8____123Graph_CCHART_10" hidden="1">[9]GLOBAL!#REF!</definedName>
    <definedName name="_8__123Graph_XCHART_5" hidden="1">[9]GLOBAL!#REF!</definedName>
    <definedName name="_9__123Graph_XCHART_10" hidden="1">[10]GLOBAL!#REF!</definedName>
    <definedName name="_Fill" hidden="1">[13]EB2!#REF!</definedName>
    <definedName name="_Fill_val" hidden="1">'[11]6 TRS'!#REF!</definedName>
    <definedName name="_fill2" hidden="1">'[2]6 TRS'!#REF!</definedName>
    <definedName name="_xlnm._FilterDatabase" localSheetId="1" hidden="1">'JDE GL Act'!$A$9:$M$5907</definedName>
    <definedName name="_xlnm._FilterDatabase" hidden="1">'[14]2009 Project List'!$A$8:$R$23</definedName>
    <definedName name="_Key1" hidden="1">'[15]Volume Analysis'!#REF!</definedName>
    <definedName name="_Key2" hidden="1">#REF!</definedName>
    <definedName name="_new1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new10" hidden="1">1/'[16]2012 FBP Allocation Grid'!EUReXToFIM</definedName>
    <definedName name="_new11" hidden="1">1/'[16]2012 FBP Allocation Grid'!EUReXToFRF</definedName>
    <definedName name="_new12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_new13" hidden="1">{#N/A,#N/A,FALSE,"Consol.";#N/A,#N/A,FALSE,"EM";#N/A,#N/A,FALSE,"Reagent";#N/A,#N/A,FALSE,"Raritan";#N/A,#N/A,FALSE,"UK";#N/A,#N/A,FALSE,"Germany"}</definedName>
    <definedName name="_new15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new18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new2" hidden="1">{#N/A,#N/A,FALSE,"Consol.";#N/A,#N/A,FALSE,"EM";#N/A,#N/A,FALSE,"Reagent";#N/A,#N/A,FALSE,"Raritan";#N/A,#N/A,FALSE,"UK";#N/A,#N/A,FALSE,"Germany"}</definedName>
    <definedName name="_new3" hidden="1">{#N/A,#N/A,FALSE,"Consol.";#N/A,#N/A,FALSE,"EM";#N/A,#N/A,FALSE,"Reagents";#N/A,#N/A,FALSE,"UK";#N/A,#N/A,FALSE,"Raritan";#N/A,#N/A,FALSE,"Germany"}</definedName>
    <definedName name="_new4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_new5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new6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_new7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_new8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Order1" hidden="1">255</definedName>
    <definedName name="_Order2" hidden="1">255</definedName>
    <definedName name="_out5" hidden="1">'[2]6 TRS'!#REF!</definedName>
    <definedName name="_pf1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_Regression_X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w2" hidden="1">{#N/A,#N/A,FALSE,"Consol.";#N/A,#N/A,FALSE,"EM";#N/A,#N/A,FALSE,"Reagent";#N/A,#N/A,FALSE,"Raritan";#N/A,#N/A,FALSE,"UK";#N/A,#N/A,FALSE,"Germany"}</definedName>
    <definedName name="_w3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wrn1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_ww1" hidden="1">{#N/A,#N/A,FALSE,"Consol.";#N/A,#N/A,FALSE,"EM";#N/A,#N/A,FALSE,"Reagent";#N/A,#N/A,FALSE,"Raritan";#N/A,#N/A,FALSE,"UK";#N/A,#N/A,FALSE,"Germany"}</definedName>
    <definedName name="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a" hidden="1">{#N/A,#N/A,FALSE,"BUDGET"}</definedName>
    <definedName name="aa" hidden="1">{#N/A,#N/A,FALSE,"Consol.";#N/A,#N/A,FALSE,"EM";#N/A,#N/A,FALSE,"Reagent";#N/A,#N/A,FALSE,"Raritan";#N/A,#N/A,FALSE,"UK";#N/A,#N/A,FALSE,"Germany"}</definedName>
    <definedName name="AAA_DOCTOPS" hidden="1">"AAA_SET"</definedName>
    <definedName name="AAA_duser" hidden="1">"OFF"</definedName>
    <definedName name="aaaa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aaaaa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aaaaaaaa" hidden="1">'[17]6 TRS'!#REF!</definedName>
    <definedName name="aaaab" hidden="1">{#N/A,#N/A,FALSE,"Project Properties";#N/A,#N/A,FALSE,"Eng %";#N/A,#N/A,FALSE,"ENGFORM";#N/A,#N/A,FALSE,"staffing";#N/A,#N/A,FALSE,"spending"}</definedName>
    <definedName name="AAB_Addin5" hidden="1">"AAB_Description for addin 5,Description for addin 5,Description for addin 5,Description for addin 5,Description for addin 5,Description for addin 5"</definedName>
    <definedName name="AccessDatabase" hidden="1">"C:\J&amp;J Work Files\Access draft1.mdb"</definedName>
    <definedName name="adsf" hidden="1">{#N/A,#N/A,FALSE,"Consol.";#N/A,#N/A,FALSE,"EM";#N/A,#N/A,FALSE,"Reagent";#N/A,#N/A,FALSE,"Raritan";#N/A,#N/A,FALSE,"UK";#N/A,#N/A,FALSE,"Germany"}</definedName>
    <definedName name="adsfasdf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af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afdadsf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afdasdf" hidden="1">{#N/A,#N/A,FALSE,"Consol.";#N/A,#N/A,FALSE,"EM";#N/A,#N/A,FALSE,"Reagent";#N/A,#N/A,FALSE,"Raritan";#N/A,#N/A,FALSE,"UK";#N/A,#N/A,FALSE,"Germany"}</definedName>
    <definedName name="afdasdf1" hidden="1">{#N/A,#N/A,FALSE,"Consol.";#N/A,#N/A,FALSE,"EM";#N/A,#N/A,FALSE,"Reagent";#N/A,#N/A,FALSE,"Raritan";#N/A,#N/A,FALSE,"UK";#N/A,#N/A,FALSE,"Germany"}</definedName>
    <definedName name="afdasdfd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afdfds" hidden="1">{#N/A,#N/A,FALSE,"Consol.";#N/A,#N/A,FALSE,"EM";#N/A,#N/A,FALSE,"Reagent";#N/A,#N/A,FALSE,"Raritan";#N/A,#N/A,FALSE,"UK";#N/A,#N/A,FALSE,"Germany"}</definedName>
    <definedName name="afdfdsa" hidden="1">{#N/A,#N/A,FALSE,"Consol.";#N/A,#N/A,FALSE,"EM";#N/A,#N/A,FALSE,"Reagent";#N/A,#N/A,FALSE,"Raritan";#N/A,#N/A,FALSE,"UK";#N/A,#N/A,FALSE,"Germany"}</definedName>
    <definedName name="AFSDFASD" hidden="1">[8]Sheet3!#REF!</definedName>
    <definedName name="anscount" hidden="1">1</definedName>
    <definedName name="aq" hidden="1">{#N/A,#N/A,FALSE,"Project Properties";#N/A,#N/A,FALSE,"Eng %";#N/A,#N/A,FALSE,"ENGFORM";#N/A,#N/A,FALSE,"staffing";#N/A,#N/A,FALSE,"spending"}</definedName>
    <definedName name="as" hidden="1">{#N/A,#N/A,FALSE,"Project Properties";#N/A,#N/A,FALSE,"Eng %";#N/A,#N/A,FALSE,"ENGFORM";#N/A,#N/A,FALSE,"staffing";#N/A,#N/A,FALSE,"spending"}</definedName>
    <definedName name="AS2DocOpenMode" hidden="1">"AS2DocumentEdit"</definedName>
    <definedName name="AS2NamedRange" hidden="1">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" hidden="1">{#N/A,#N/A,FALSE,"Aging Summary";#N/A,#N/A,FALSE,"Ratio Analysis";#N/A,#N/A,FALSE,"Test 120 Day Accts";#N/A,#N/A,FALSE,"Tickmarks"}</definedName>
    <definedName name="asdfasdf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asdfdsf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ASSA" hidden="1">{#N/A,#N/A,FALSE,"Aging Summary";#N/A,#N/A,FALSE,"Ratio Analysis";#N/A,#N/A,FALSE,"Test 120 Day Accts";#N/A,#N/A,FALSE,"Tickmarks"}</definedName>
    <definedName name="ATSeXToEUR" hidden="1">1/'[16]2012 FBP Allocation Grid'!EUReXToDEM</definedName>
    <definedName name="b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ba">'[1]BvA Ster Assurance 1110551'!$CW$30:$CZ$30</definedName>
    <definedName name="bbbbbbb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bbbbbbbb" hidden="1">{#N/A,#N/A,FALSE,"Consol.";#N/A,#N/A,FALSE,"EM";#N/A,#N/A,FALSE,"Reagent";#N/A,#N/A,FALSE,"Raritan";#N/A,#N/A,FALSE,"UK";#N/A,#N/A,FALSE,"Germany"}</definedName>
    <definedName name="BEFeXToEUR" hidden="1">1/'[16]2012 FBP Allocation Grid'!EUReXToESP</definedName>
    <definedName name="BEx001CNWHJ5RULCSFM36ZCGJ1UH" hidden="1">#REF!</definedName>
    <definedName name="BEx003R0LZZV2DEWZ9SH50AYB6QI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JHIFNV3QJ50R0RO5X216PNP" hidden="1">#REF!</definedName>
    <definedName name="BEx00KZHZBHP3TDV1YMX4B19B95O" hidden="1">#REF!</definedName>
    <definedName name="BEx00NDSYBD2B9O7YIDHPGIU7IOG" hidden="1">#REF!</definedName>
    <definedName name="BEx01HY6E3GJ66ABU5ABN26V6Q13" hidden="1">#REF!</definedName>
    <definedName name="BEx01PW5YQKEGAR8JDDI5OARYXDF" hidden="1">#REF!</definedName>
    <definedName name="BEx01U38MQJ2VUJWQH1CYAQW75O7" hidden="1">#REF!</definedName>
    <definedName name="BEx01WSCY6GY8H2JB7W42XT5NHE5" hidden="1">#REF!</definedName>
    <definedName name="BEx01XJ94SHJ1YQ7ORPW0RQGKI2H" hidden="1">#REF!</definedName>
    <definedName name="BEx0250ZBNZ0Q6N5Y0TN1L7T813R" hidden="1">#REF!</definedName>
    <definedName name="BEx02CTIDA0GDVFNXCVJRKRWC1XC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HIFB2AE8TRG3ZEQBNWE6BYN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J0CSSHDJGBJUHVOEMCF2P4DL" hidden="1">#REF!</definedName>
    <definedName name="BEx1J7E8VCGLPYU82QXVUG5N3ZAI" hidden="1">#REF!</definedName>
    <definedName name="BEx1JGE2YQWH8S25USOY08XVGO0D" hidden="1">#REF!</definedName>
    <definedName name="BEx1JKKZSJ7DI4PTFVI9VVFMB1X2" hidden="1">#REF!</definedName>
    <definedName name="BEx1JT9WEQ3OAKQGKIHJEVMK4272" hidden="1">#REF!</definedName>
    <definedName name="BEx1JUBQFRVMASSFK4B3V0AD7YP9" hidden="1">#REF!</definedName>
    <definedName name="BEx1JXBM5W4YRWNQ0P95QQS6JWD6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REOQB3SPI63MITO2FZ9OK0V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3CUJ3UX61X38ZAJVPEN4KMC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AYOG08USZKFGMATE5X7Q6VV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CD9DY94T8LMELN30EGJZ19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QA54J2A4I7IBQR19BTY28ZMR" hidden="1">#REF!</definedName>
    <definedName name="BEx1QMQAHG3KQUK59DVM68SWKZIZ" hidden="1">#REF!</definedName>
    <definedName name="BEx1R9YFKJCMSEST8OVCAO5E47FO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GII9S2ZIQPUR1F64NQRW7DE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0EL4PK9FNQNHZ747AD7YYY9" hidden="1">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67SEV778NVW68J8W5SND1J7" hidden="1">#REF!</definedName>
    <definedName name="BEx1VIY9SQLRESD11CC4PHYT0XSG" hidden="1">#REF!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K8AAMO0AH0Z1OUKW30CA7EQ" hidden="1">#REF!</definedName>
    <definedName name="BEx1XL4MZ7C80495GHQRWOBS16PQ" hidden="1">#REF!</definedName>
    <definedName name="BEx1Y2IGS2K95E1M51PEF9KJZ0KB" hidden="1">#REF!</definedName>
    <definedName name="BEx1YL3DJ7Y4AZ01ERCOGW0FJ26T" hidden="1">#REF!</definedName>
    <definedName name="BEx1Z2RYHSVD1H37817SN93VMURZ" hidden="1">#REF!</definedName>
    <definedName name="BEx39SMEAVF3X0C7JUX5J7US708I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AJASK01I4GPG2ZAPE6SEN0I" hidden="1">#REF!</definedName>
    <definedName name="BEx3CGTUY72BVLPLG4JK1PMQCA5U" hidden="1">#REF!</definedName>
    <definedName name="BEx3CKFCCPZZ6ROLAT5C1DZNIC1U" hidden="1">#REF!</definedName>
    <definedName name="BEx3CO0SVO4WLH0DO43DCHYDTH1P" hidden="1">#REF!</definedName>
    <definedName name="BEx3D9G6QTSPF9UYI4X0XY0VE896" hidden="1">#REF!</definedName>
    <definedName name="BEx3DCQU9PBRXIMLO62KS5RLH447" hidden="1">#REF!</definedName>
    <definedName name="BEx3DLQL4K7VYE6DKGA0IM2E2V87" hidden="1">#REF!</definedName>
    <definedName name="BEx3DOQGBH4U2OGH2L75V9M5928V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UAX947Q5N6MY6W0KSNY78Y" hidden="1">#REF!</definedName>
    <definedName name="BEx3FG4E6D836YV8RR3RO7PDMZVR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GY7TZELV2Z9HCIJ0S6I6IPLI" hidden="1">#REF!</definedName>
    <definedName name="BEx3H5UX2GZFZZT657YR76RHW5I6" hidden="1">#REF!</definedName>
    <definedName name="BEx3HE90SUXR9J4528MHGGZLHDQI" hidden="1">#REF!</definedName>
    <definedName name="BEx3HP1EJGPIXNXBQGPVVFJCRIWZ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D4OO80IU8LLD4JDQ2TZ9J4O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KSOBMDGCHST0FCWUOOWJGXDY" hidden="1">#REF!</definedName>
    <definedName name="BEx3KYITFRU7Z09MA48MCMIKVMNB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M719EDKKSJ1NMH182N7QBMX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FV7ETCQQQEXCLJ3WXDSGV02" hidden="1">#REF!</definedName>
    <definedName name="BEx3MREOFWJQEYMCMBL7ZE06NBN6" hidden="1">#REF!</definedName>
    <definedName name="BEx3MZSRQI461O0P0GG7P4O8FL32" hidden="1">#REF!</definedName>
    <definedName name="BEx3NGFJYZ50ZY3P521BGQ2NJ577" hidden="1">#REF!</definedName>
    <definedName name="BEx3NMQ4BVC94728AUM7CCX7UHTU" hidden="1">#REF!</definedName>
    <definedName name="BEx3NR2I4OUFP3Z2QZEDU2PIFIDI" hidden="1">#REF!</definedName>
    <definedName name="BEx3NSF4E2MCB2KHNW16VN6Q7W6V" hidden="1">#REF!</definedName>
    <definedName name="BEx3O19B8FTTAPVT5DZXQGQXWFR8" hidden="1">#REF!</definedName>
    <definedName name="BEx3O85IKWARA6NCJOLRBRJFMEWW" hidden="1">#REF!</definedName>
    <definedName name="BEx3OJZSCGFRW7SVGBFI0X9DNVMM" hidden="1">#REF!</definedName>
    <definedName name="BEx3OV8BH6PYNZT7C246LOAU9SVX" hidden="1">#REF!</definedName>
    <definedName name="BEx3OXRYJZUEY6E72UJU0PHLMYAR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7DUSEYPY4DQU967ZREZ2ES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IKJ3U962US1Q564NZDLU8LD" hidden="1">#REF!</definedName>
    <definedName name="BEx3QKO1BQ4VC4VLFJICXIB685OI" hidden="1">#REF!</definedName>
    <definedName name="BEx3QOEYF741YHF926CL3PG96PR0" hidden="1">#REF!</definedName>
    <definedName name="BEx3QR9D45DHW50VQ7Y3Q1AXPOB9" hidden="1">#REF!</definedName>
    <definedName name="BEx3QSWT2S5KWG6U2V9711IYDQBM" hidden="1">#REF!</definedName>
    <definedName name="BEx3QU9AZ2X7L6HARK4FI4VDBJG9" hidden="1">#REF!</definedName>
    <definedName name="BEx3QVGG7Q2X4HZHJAM35A8T3VR7" hidden="1">#REF!</definedName>
    <definedName name="BEx3QXUSU1CRIOF8VAO73S60YMVQ" hidden="1">#REF!</definedName>
    <definedName name="BEx3R0JUB9YN8PHPPQTAMIT1IHWK" hidden="1">#REF!</definedName>
    <definedName name="BEx3R0UNS7CZ7SSFM2QSY4WJ85H6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SS8LRKP7HCJUO83D0MEKS7D4" hidden="1">#REF!</definedName>
    <definedName name="BEx3SU1BY623YFO374BEJVQEW3NU" hidden="1">#REF!</definedName>
    <definedName name="BEx3T29ZTULQE0OMSMWUMZDU9ZZ0" hidden="1">#REF!</definedName>
    <definedName name="BEx3T6MJ1QDJ929WMUDVZ0O3UW0Y" hidden="1">#REF!</definedName>
    <definedName name="BEx3TPCSI16OAB2L9M9IULQMQ9J9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87EYSS57E3PI8DT973HLJM9E" hidden="1">#REF!</definedName>
    <definedName name="BEx587KFQ3VKCOCY1SA5F24PQGUI" hidden="1">#REF!</definedName>
    <definedName name="BEx58ICWA29V74HY4L9QAG6SZ6OV" hidden="1">#REF!</definedName>
    <definedName name="BEx58O780PQ05NF0Z1SKKRB3N099" hidden="1">#REF!</definedName>
    <definedName name="BEx58XHO7ZULLF2EUD7YIS0MGQJ5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LFN6FVIVJATINJFFH4CTLXM" hidden="1">#REF!</definedName>
    <definedName name="BEx5AOFIO8KVRHIZ1RII337AA8ML" hidden="1">#REF!</definedName>
    <definedName name="BEx5APRZ66L5BWHFE8E4YYNEDTI4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JAO65X4UF23JYDXY7VZLCA8" hidden="1">#REF!</definedName>
    <definedName name="BEx5BKSM4UN4C1DM3EYKM79MRC5K" hidden="1">#REF!</definedName>
    <definedName name="BEx5BNN8NPH9KVOBARB9CDD9WLB6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DPWJ8BMPHLFWU8AVQG08YJN" hidden="1">#REF!</definedName>
    <definedName name="BEx5CEM3SYF9XP0ZZVE0GEPCLV3F" hidden="1">#REF!</definedName>
    <definedName name="BEx5CFYQ0F1Z6P8SCVJ0I3UPVFE4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CYZTD0AJ68PSPHQHJ2YCNLGW" hidden="1">#REF!</definedName>
    <definedName name="BEx5D3SN3MILDTGSUT68B2N0D6XF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KDXWG7R2KG6XKSEAYVQCVKG" hidden="1">#REF!</definedName>
    <definedName name="BEx5ELQL9B0VR6UT18KP11DHOTFX" hidden="1">#REF!</definedName>
    <definedName name="BEx5ER4TJTFPN7IB1MNEB1ZFR5M6" hidden="1">#REF!</definedName>
    <definedName name="BEx5F22JW5P42GCB7LK4K08FRB4H" hidden="1">#REF!</definedName>
    <definedName name="BEx5F6V72QTCK7O39Y59R0EVM6CW" hidden="1">#REF!</definedName>
    <definedName name="BEx5FGLQVACD5F5YZG4DGSCHCGO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1IJ5FPARU55PW74HWRT4IL4" hidden="1">#REF!</definedName>
    <definedName name="BEx5I244LQHZTF3XI66J8705R9XX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DNGNZ86TF0PA49SWHID0BNZ" hidden="1">#REF!</definedName>
    <definedName name="BEx5IJ1OCQ3VBLFE3QCF1TPO6S6J" hidden="1">#REF!</definedName>
    <definedName name="BEx5J0FFP1KS4NGY20AEJI8VREEA" hidden="1">#REF!</definedName>
    <definedName name="BEx5JENWEOFTGZKHO3S5NBMJX1IX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NCT8Z7XSSPD5EMNAJELCU2V" hidden="1">#REF!</definedName>
    <definedName name="BEx5JQCNT9Y4RM306CHC8IPY3HBZ" hidden="1">#REF!</definedName>
    <definedName name="BEx5K08PYKE6JOKBYIB006TX619P" hidden="1">#REF!</definedName>
    <definedName name="BEx5K51DSERT1TR7B4A29R41W4NX" hidden="1">#REF!</definedName>
    <definedName name="BEx5KYER580I4T7WTLMUN7NLNP5K" hidden="1">#REF!</definedName>
    <definedName name="BEx5L55H4ZPDP6JKO7KC1Y11PSDE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VOEBANS1JPEW90NF1UFDE84" hidden="1">#REF!</definedName>
    <definedName name="BEx5MB9BR71LZDG7XXQ2EO58JC5F" hidden="1">#REF!</definedName>
    <definedName name="BEx5MCGGVKJV11R3BOROTOR4ZQEF" hidden="1">#REF!</definedName>
    <definedName name="BEx5MLQZM68YQSKARVWTTPINFQ2C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HMPVKGU7KRC8PSANQ6PGXXT" hidden="1">#REF!</definedName>
    <definedName name="BEx5OK114DNT5FV1GPR4X1OSM28Y" hidden="1">#REF!</definedName>
    <definedName name="BEx5OP9Y43F99O2IT69MKCCXGL61" hidden="1">#REF!</definedName>
    <definedName name="BEx5P3T73K1PL70755RTW5PALLY1" hidden="1">#REF!</definedName>
    <definedName name="BEx5PFCIKGMS7RN52PY6VOLZEG5H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9D1D5SXS5ELLZVBI0SXYUNF" hidden="1">#REF!</definedName>
    <definedName name="BEx75FYEY8GOPVIK0YHC88UIP8EX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SOWQ6VG4IZN6H4CWP7M2Z3W" hidden="1">#REF!</definedName>
    <definedName name="BEx75T55F7GML8V1DMWL26WRT006" hidden="1">#REF!</definedName>
    <definedName name="BEx75VJGR07JY6UUWURQ4PJ29UKC" hidden="1">#REF!</definedName>
    <definedName name="BEx76LWYFELGEC2AKLOZPPKO1SUD" hidden="1">#REF!</definedName>
    <definedName name="BEx76QUXWMSIBJUVEXPW6M8NU904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CYQ3RX6MM138F8TB339LQVY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EKQF74ELO7SPH4A2Y3CCIHI" hidden="1">#REF!</definedName>
    <definedName name="BEx7ASD1I654MEDCO6GGWA95PXSC" hidden="1">#REF!</definedName>
    <definedName name="BEx7AVCX9S5RJP3NSZ4QM4E6ERDT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93VR7SYRIJS1JO8YZKSFAW9" hidden="1">#REF!</definedName>
    <definedName name="BEx7CC3W1O7ZM51GSN0FZLNAMCS5" hidden="1">#REF!</definedName>
    <definedName name="BEx7CCK0FQNR19748SZVV94CUBBK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CWMXR163ZZ4O82307K7DMYFL" hidden="1">#REF!</definedName>
    <definedName name="BEx7CZ6KK8MMDBDW33BCKWCTID7F" hidden="1">#REF!</definedName>
    <definedName name="BEx7D5RWKRS4W71J4NZ6ZSFHPKFT" hidden="1">#REF!</definedName>
    <definedName name="BEx7D8H1TPOX1UN17QZYEV7Q58GA" hidden="1">#REF!</definedName>
    <definedName name="BEx7DA4AG5FV25OA4AQSFQJEKKW4" hidden="1">#REF!</definedName>
    <definedName name="BEx7DGF13H2074LRWFZQ45PZ6JPX" hidden="1">#REF!</definedName>
    <definedName name="BEx7DKWUXEDIISSX4GDD4YYT887F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CS6JZQ09EJK91F46EEBCA0I" hidden="1">#REF!</definedName>
    <definedName name="BEx7EI6C8MCRZFEQYUBE5FSUTIHK" hidden="1">#REF!</definedName>
    <definedName name="BEx7EQKHX7GZYOLXRDU534TT4H64" hidden="1">#REF!</definedName>
    <definedName name="BEx7ETV6L1TM7JSXJIGK3FC6RVZW" hidden="1">#REF!</definedName>
    <definedName name="BEx7EYYLHMBYQTH6I377FCQS7CSX" hidden="1">#REF!</definedName>
    <definedName name="BEx7F7I13HYGZOS48WQSJH94KXUZ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8H7YP78DHBQMNY5X85YT0ZT" hidden="1">#REF!</definedName>
    <definedName name="BEx7HBMMP91MS8FW4Q7T49482LD3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IBVYN47SFZIA0K4MDKQZNN9V" hidden="1">#REF!</definedName>
    <definedName name="BEx7IV2IJ5WT7UC0UG7WP0WF2JZI" hidden="1">#REF!</definedName>
    <definedName name="BEx7IXGU74GE5E4S6W4Z13AR092Y" hidden="1">#REF!</definedName>
    <definedName name="BEx7IZV5JCKGXBK4YWM3I5PHPYJB" hidden="1">#REF!</definedName>
    <definedName name="BEx7J4YL8Q3BI1MLH16YYQ18IJRD" hidden="1">#REF!</definedName>
    <definedName name="BEx7JH3HGBPI07OHZ5LFYK0UFZQR" hidden="1">#REF!</definedName>
    <definedName name="BEx7JQOQ5JHJJYLLTITPH4VBUIM1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PGCV21YWQC9L9QQNG8NDKHX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7O5DS60BDNK8RNH90L5CEDZ2L" hidden="1">#REF!</definedName>
    <definedName name="BEx904S75BPRYMHF0083JF7ES4NG" hidden="1">#REF!</definedName>
    <definedName name="BEx90HDD4RWF7JZGA8GCGG7D63MG" hidden="1">#REF!</definedName>
    <definedName name="BEx90VGH5H09ON2QXYC9WIIEU98T" hidden="1">#REF!</definedName>
    <definedName name="BEx90VGHBG3CR0145376RY0L2P0T" hidden="1">#REF!</definedName>
    <definedName name="BEx91276TPY2V5HSSRFU7W1XXIHQ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SVG5JM4KYDKSI8ERP34Y2B9" hidden="1">#REF!</definedName>
    <definedName name="BEx91TMID71GVYH0U16QM1RV3PX0" hidden="1">#REF!</definedName>
    <definedName name="BEx91VF2D78PAF337E3L2L81K9W2" hidden="1">#REF!</definedName>
    <definedName name="BEx921PNZ46VORG2VRMWREWIC0SE" hidden="1">#REF!</definedName>
    <definedName name="BEx924K7KCSZQZT1L0A0HOLO3STG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2YZCF2BZD998GFFPK0CO7C2D" hidden="1">#REF!</definedName>
    <definedName name="BEx93B9OULL2YGC896XXYAAJSTRK" hidden="1">#REF!</definedName>
    <definedName name="BEx93FRKF99NRT3LH99UTIH7AAYF" hidden="1">#REF!</definedName>
    <definedName name="BEx93M7F4DPCDMBHR7MFT1YJ1CGQ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3VSPITZQ0MNIIPUSYYNRGDPJ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MBP0S18JIMC0MA6CLHP5Q0Z" hidden="1">#REF!</definedName>
    <definedName name="BEx94N7W5T3U7UOE97D6OVIBUCXS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R2WKD7Q86AJQHTZGGLALFNX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66GUJIFZQOXANPFHDHMWLX4" hidden="1">#REF!</definedName>
    <definedName name="BEx978KSD61YJH3S9DGO050R2EHA" hidden="1">#REF!</definedName>
    <definedName name="BEx97H9O1NAKAPK4MX4PKO34ICL5" hidden="1">#REF!</definedName>
    <definedName name="BEx97JYRRJGJNMS6TPLUNAJHJC2P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2YLG95L9N9LE1NYPLVWRBUT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WBYT2D6UUC1PT7A40ENYID4" hidden="1">#REF!</definedName>
    <definedName name="BEx99ZRZ4I7FHDPGRAT5VW7NVBPU" hidden="1">#REF!</definedName>
    <definedName name="BEx9A7KI51TIYTRS8LG8HI4LRW89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YSYW7QCPXS2NAVLFAU5Y2Z2" hidden="1">#REF!</definedName>
    <definedName name="BEx9C590HJ2O31IWJB73C1HR74AI" hidden="1">#REF!</definedName>
    <definedName name="BEx9CN8FCTT5N8DY1F7MWKKF3IMR" hidden="1">#REF!</definedName>
    <definedName name="BEx9D10Q2ZZE8WJ6AN6SURXPZ1SY" hidden="1">#REF!</definedName>
    <definedName name="BEx9D1BC9FT19KY0INAABNDBAMR1" hidden="1">#REF!</definedName>
    <definedName name="BEx9DN6ZMF18Q39MPMXSDJTZQNJ3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7JFCEL903D4BQV8EUBTK56A" hidden="1">#REF!</definedName>
    <definedName name="BEx9FF16LOQP5QIR4UHW5EIFGQB8" hidden="1">#REF!</definedName>
    <definedName name="BEx9FJOD8E1ONY1AU68RX97738HD" hidden="1">#REF!</definedName>
    <definedName name="BEx9FJTSRCZ3ZXT3QVBJT5NF8T7V" hidden="1">#REF!</definedName>
    <definedName name="BEx9FOGZWU8N2RIXNBOMIOEI3T7A" hidden="1">#REF!</definedName>
    <definedName name="BEx9FRBEEYPS5HLS3XT34AKZN94G" hidden="1">#REF!</definedName>
    <definedName name="BEx9GDY4D8ZPQJCYFIMYM0V0C51Y" hidden="1">#REF!</definedName>
    <definedName name="BEx9GGY04V0ZWI6O9KZH4KSBB389" hidden="1">#REF!</definedName>
    <definedName name="BEx9GNOPB6OZ2RH3FCDNJR38RJOS" hidden="1">#REF!</definedName>
    <definedName name="BEx9GUQALUWCD30UKUQGSWW8KBQ7" hidden="1">#REF!</definedName>
    <definedName name="BEx9GXQ8TLACC5NOG4ZPU7DNK1LE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XUAKRXMUS63ANJSCJAY5NL5" hidden="1">#REF!</definedName>
    <definedName name="BEx9I8XIG7E5NB48QQHXP23FIN60" hidden="1">#REF!</definedName>
    <definedName name="BEx9IO2A98BKN9I1C53Y9L8W32RZ" hidden="1">#REF!</definedName>
    <definedName name="BEx9IQRF01ATLVK0YE60ARKQJ68L" hidden="1">#REF!</definedName>
    <definedName name="BEx9IRYKZZO9KIDSRSXA45EGJ6MR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1JSUHCABR7HZNRKPQGQQ0RE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410NB4F2XOB84OR2197H8M5" hidden="1">#REF!</definedName>
    <definedName name="BExAX8TNG8LQ5Q4904SAYQIPGBSV" hidden="1">#REF!</definedName>
    <definedName name="BExAY0EAT2LXR5MFGM0DLIB45PLO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KPCN7YJORQAYUCF4YKIKPMC" hidden="1">#REF!</definedName>
    <definedName name="BExB0WE4PI3NOBXXVO9CTEN4DIU2" hidden="1">#REF!</definedName>
    <definedName name="BExB0YXWQY1GK211KEEGNHHYKYC3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30IP1DNKNQ6PZ5ERUGR5MK4Z" hidden="1">#REF!</definedName>
    <definedName name="BExB3PE1OI17CAVNYE999TVUH5IW" hidden="1">#REF!</definedName>
    <definedName name="BExB442RX0T3L6HUL6X5T21CENW6" hidden="1">#REF!</definedName>
    <definedName name="BExB4ADD0L7417CII901XTFKXD1J" hidden="1">#REF!</definedName>
    <definedName name="BExB4AO4XTSNADQCYOZLOMAXLQ64" hidden="1">#REF!</definedName>
    <definedName name="BExB4CWYYUVN5O3FCR0WGESUSJPQ" hidden="1">#REF!</definedName>
    <definedName name="BExB4DYU06HCGRIPBSWRCXK804UM" hidden="1">#REF!</definedName>
    <definedName name="BExB4Z3EZBGYYI33U0KQ8NEIH8PY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HDKWPCJOY6DQLUY4TTT8Y7W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BCJNOK9RZKJQY3M670Y0YIA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GXNR3I35XKRN3DODYLK6GCX" hidden="1">#REF!</definedName>
    <definedName name="BExB9I4N2BT8Z0LCC3TT8368S0CA" hidden="1">#REF!</definedName>
    <definedName name="BExB9Q2MZZHBGW8QQKVEYIMJBPIE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T5EBXU6CPEC4AWFWMNSFUHW" hidden="1">#REF!</definedName>
    <definedName name="BExBBUCJQRR74Q7GPWDEZXYK2KJL" hidden="1">#REF!</definedName>
    <definedName name="BExBBV8XVMD9CKZY711T0BN7H3PM" hidden="1">#REF!</definedName>
    <definedName name="BExBC78HXWXHO3XAB6E8NVTBGLJS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DV6AVJ7VN244CCS7KL5K5HKA" hidden="1">#REF!</definedName>
    <definedName name="BExBE162OSBKD30I7T1DKKPT3I9I" hidden="1">#REF!</definedName>
    <definedName name="BExBEGLRYLCY9T343D7PYFC74VPW" hidden="1">#REF!</definedName>
    <definedName name="BExBEYFQJE9YK12A6JBMRFKEC7RN" hidden="1">#REF!</definedName>
    <definedName name="BExBG1ED81J2O4A2S5F5Y3BPHMCR" hidden="1">#REF!</definedName>
    <definedName name="BExCRLIHS7466WFJ3RPIUGGXYESZ" hidden="1">#REF!</definedName>
    <definedName name="BExCS1EDDUEAEWHVYXHIP9I1WCJH" hidden="1">#REF!</definedName>
    <definedName name="BExCS1EDW6Z6N9HX3XMJUGXPX7CS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8O54I3P3WRYWY1CRP3S78QY" hidden="1">#REF!</definedName>
    <definedName name="BExCUDRJO23YOKT8GPWOVQ4XEHF5" hidden="1">#REF!</definedName>
    <definedName name="BExCUPAXFR16YMWL30ME3F3BSRDZ" hidden="1">#REF!</definedName>
    <definedName name="BExCUR94DHCE47PUUWEMT5QZOYR2" hidden="1">#REF!</definedName>
    <definedName name="BExCUWCILATYE77XVLWCTFD3ZYLR" hidden="1">#REF!</definedName>
    <definedName name="BExCVBS4OHGZRD2A9SPJKAEE0UHU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13R0GWJYGXZBNCPAHQN4NR2" hidden="1">#REF!</definedName>
    <definedName name="BExCW9CJVMZAOJCZLG4TKVEAW18D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BPG9M8FO11EVT02VNMWX534" hidden="1">#REF!</definedName>
    <definedName name="BExCXCGJSF8D8DN7A52RG6GSYSIF" hidden="1">#REF!</definedName>
    <definedName name="BExCXQ8U7PM0ZNGPHWV7M6OAVJYP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AH2SAZCPW6XCB7V7PMMCAWO" hidden="1">#REF!</definedName>
    <definedName name="BExCYB80BS10IH6R77ZCG0BIUE2I" hidden="1">#REF!</definedName>
    <definedName name="BExCYFEZR2BT2J4JOBNL6A7LSCO7" hidden="1">#REF!</definedName>
    <definedName name="BExCYPRC5HJE6N2XQTHCT6NXGP8N" hidden="1">#REF!</definedName>
    <definedName name="BExCYUK0I3UEXZNFDW71G6Z6D8XR" hidden="1">#REF!</definedName>
    <definedName name="BExCZ2CISEOMUZ4QPC3QWHXDRKC4" hidden="1">#REF!</definedName>
    <definedName name="BExCZ5HQH06FIRBVJKPA73EHG0Q9" hidden="1">#REF!</definedName>
    <definedName name="BExCZFZCXMLY5DWESYJ9NGTJYQ8M" hidden="1">#REF!</definedName>
    <definedName name="BExCZGA5GUD86GXZ4B8GPNA160HI" hidden="1">#REF!</definedName>
    <definedName name="BExCZGFNB11O3NB7DLINB6CK3O4D" hidden="1">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2SLX8LN5ZMJYS625EF1HO7BR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COV33HC71WZ1GJSKFAGGAAG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3T8H92CE1JYX4SJBEP7MEZZ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QL8ER0UXZF5PR9SNT85IHX5" hidden="1">#REF!</definedName>
    <definedName name="BExD4R1I0MKF033I5LPUYIMTZ6E8" hidden="1">#REF!</definedName>
    <definedName name="BExD4UHJIIZ4WMCGJZJW59KEX3Z9" hidden="1">#REF!</definedName>
    <definedName name="BExD50MT3M6XZLNUP9JL93EG6D9R" hidden="1">#REF!</definedName>
    <definedName name="BExD5EV7KDSVF1CJT38M4IBPFLPY" hidden="1">#REF!</definedName>
    <definedName name="BExD5GD6SIMWMN840LDKLR5DYOAM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TYQMTF2P0ZBIWO42BCTNPZX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H5O087KQVWIVPUUID5VMGMS" hidden="1">#REF!</definedName>
    <definedName name="BExD8OCLZMFN5K3VZYI4Q4ITVKUA" hidden="1">#REF!</definedName>
    <definedName name="BExD8S3CWPY57XYDKMWHV21VWAMI" hidden="1">#REF!</definedName>
    <definedName name="BExD93C1R6LC0631ECHVFYH0R0PD" hidden="1">#REF!</definedName>
    <definedName name="BExD94J8GQPBM3H2KZR5CYEDXC2O" hidden="1">#REF!</definedName>
    <definedName name="BExD96S4118C029V6JDA11M8HNFR" hidden="1">#REF!</definedName>
    <definedName name="BExD97TXIO0COVNN4OH3DEJ33YLM" hidden="1">#REF!</definedName>
    <definedName name="BExD99RZ1RFIMK6O1ZHSPJ68X9Y5" hidden="1">#REF!</definedName>
    <definedName name="BExD9DO8S1B4VRRR02OH735O9IAK" hidden="1">#REF!</definedName>
    <definedName name="BExD9L0HY66SUKJL9CI15Z4KHGBS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R0F5UHTAR2ZUQOKOVO3QEQ7" hidden="1">#REF!</definedName>
    <definedName name="BExD9TK2MIWFH5SKUYU9ZKF4NPHQ" hidden="1">#REF!</definedName>
    <definedName name="BExD9WJZ80BEOV6G7I7J9BNBZP4J" hidden="1">#REF!</definedName>
    <definedName name="BExDA6LD9061UULVKUUI4QP8SK13" hidden="1">#REF!</definedName>
    <definedName name="BExDAGMVMNLQ6QXASB9R6D8DIT12" hidden="1">#REF!</definedName>
    <definedName name="BExDALQANPFHTHVPCRRIU0I4N46D" hidden="1">#REF!</definedName>
    <definedName name="BExDAYBHU9ADLXI8VRC7F608RVGM" hidden="1">#REF!</definedName>
    <definedName name="BExDBDR1XR0FV0CYUCB2OJ7CJCZU" hidden="1">#REF!</definedName>
    <definedName name="BExDBK1MY45PCU41K2MOXISSQSRK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O4Q4ULHNOLJWA37GES0OVTQC" hidden="1">#REF!</definedName>
    <definedName name="BExEOBX3WECDMYCV9RLN49APTXMM" hidden="1">#REF!</definedName>
    <definedName name="BExEOQ06MSLP0YFZQUW6JX7IOF12" hidden="1">#REF!</definedName>
    <definedName name="BExEOW00EO7AV7HP81O6KKWIUT0D" hidden="1">#REF!</definedName>
    <definedName name="BExEPN9VIYI0FVL0HLZQXJFO6TT0" hidden="1">#REF!</definedName>
    <definedName name="BExEPTKGP324Z6KEZMPB5Z2BU0E1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TZAP8R69U31W4LKGTKKGKQE" hidden="1">#REF!</definedName>
    <definedName name="BExEQX4O47N7ZC6N4BLZHLY3OYMR" hidden="1">#REF!</definedName>
    <definedName name="BExER4GWX48WNNW7PR5LTLIKY6DK" hidden="1">#REF!</definedName>
    <definedName name="BExERRUIKIOATPZ9U4HQ0V52RJAU" hidden="1">#REF!</definedName>
    <definedName name="BExERWCEBKQRYWRQLYJ4UCMMKTHG" hidden="1">#REF!</definedName>
    <definedName name="BExERZMXL7K8ZT992DE19YI38PWT" hidden="1">#REF!</definedName>
    <definedName name="BExES44RHHDL3V7FLV6M20834WF1" hidden="1">#REF!</definedName>
    <definedName name="BExES4A7VE2X3RYYTVRLKZD4I7WU" hidden="1">#REF!</definedName>
    <definedName name="BExESEXCEIRQJ8AKF6YYT69G7SJB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HQDTTO2RTDKR7UPAY0J0LKT" hidden="1">#REF!</definedName>
    <definedName name="BExETIBYG93GLA7JGNQT6HUMFZMZ" hidden="1">#REF!</definedName>
    <definedName name="BExETO0XKJ078A1DOXI7MP3IVVSQ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B97TXMDN16MFA3QQODUCDBL" hidden="1">#REF!</definedName>
    <definedName name="BExEUKZT0M9H1OH41IQII2FMMDLW" hidden="1">#REF!</definedName>
    <definedName name="BExEUM6YMWZZQTCPRXVEK8SXKSZ5" hidden="1">#REF!</definedName>
    <definedName name="BExEUNE4T242Y59C6MS28MXEUGCP" hidden="1">#REF!</definedName>
    <definedName name="BExEUQJB3XW9LMC10MF8KI6PWQOF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NYH9SZIMV474BSSMICAWVAH" hidden="1">#REF!</definedName>
    <definedName name="BExEVPGF4V5J0WQRZKUM8F9TTKZJ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WZB1WRDDH94A8HIPDIB7MQ4X" hidden="1">#REF!</definedName>
    <definedName name="BExEX4EGUEACD4LT2M7WAUAUZM13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HAFZ93RVVXGGX6U1L9IPS4B" hidden="1">#REF!</definedName>
    <definedName name="BExEXRBZ0DI9E2UFLLKYWGN66B61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Z1S6VZCG01ZPLBSS9Z1SBOJ2" hidden="1">#REF!</definedName>
    <definedName name="BExEZ8ODD2OYUD2JJ3KXPDEE8NRV" hidden="1">#REF!</definedName>
    <definedName name="BExEZGBFNJR8DLPN0V11AU22L6WY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SVBHU7SVXEEW350JRIYVTFF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7IN8RAX7BR215LL6PSJIC40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3T27KK3BOSEMIGWU1Z6KPHD4" hidden="1">#REF!</definedName>
    <definedName name="BExF42SSBVPMLK2UB3B7FPEIY9TU" hidden="1">#REF!</definedName>
    <definedName name="BExF4B6XIBX29OTXQEUDFTZLCDHY" hidden="1">#REF!</definedName>
    <definedName name="BExF4HXSWB50BKYPWA0HTT8W56H6" hidden="1">#REF!</definedName>
    <definedName name="BExF4KHF04IWW4LQ95FHQPFE4Y9K" hidden="1">#REF!</definedName>
    <definedName name="BExF4MVQ95EMJHE126KESZBYN0JH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3Z5WL1HKT8L58YZWEBIRVM" hidden="1">#REF!</definedName>
    <definedName name="BExF57K7L3UC1I2FSAWURR4SN0UN" hidden="1">#REF!</definedName>
    <definedName name="BExF57UZICFHMINWM74E4A1IWW4O" hidden="1">#REF!</definedName>
    <definedName name="BExF5FSUMX0XKTLS2SVRKDIM9KWW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QK209ZXNFQ7MIJ03TRR31D1" hidden="1">#REF!</definedName>
    <definedName name="BExF6RR76KNVIXGJOVFO8GDILKGZ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G1668DJD4V21NJJ3OGB98XB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F8AG8B06O5DH50G6KQAE5OYCE" hidden="1">#REF!</definedName>
    <definedName name="BExF8Z0YWLCTL9B2F1O0171QSJNP" hidden="1">#REF!</definedName>
    <definedName name="BExF90IWHES7ZSX7XJYIG8QFEMM3" hidden="1">#REF!</definedName>
    <definedName name="BExF9380YM4NR4C1EVLAIRZEOPGK" hidden="1">#REF!</definedName>
    <definedName name="BExF96TIPQA59NFF53IG28QFNR9F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5UINO1CH5221HHUGY81WHAY" hidden="1">#REF!</definedName>
    <definedName name="BExGN9FZ2RWCMSY1YOBJKZMNIM9R" hidden="1">#REF!</definedName>
    <definedName name="BExGNDSIMTHOCXXG6QOGR6DA8SGG" hidden="1">#REF!</definedName>
    <definedName name="BExGNGXWM22CY7SN990PUDF77Z0Q" hidden="1">#REF!</definedName>
    <definedName name="BExGNN2YQ9BDAZXT2GLCSAPXKIM7" hidden="1">#REF!</definedName>
    <definedName name="BExGNQTS9G978DYY6KDP3J1QS6ZR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3PQIXYGVK73D11Z0G26W8CC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XJDHUDPDT8I8IVGVW9J0R5Q" hidden="1">#REF!</definedName>
    <definedName name="BExGP5S0TOKGDHYQTDOTSK5HCFUO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4JGGE3U4X2VB0LKY2KV4B3L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PO7ENFEQC0NC6MC9OZR2LHY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JVBIZWELPUJ1O53JMEVLNE1" hidden="1">#REF!</definedName>
    <definedName name="BExGTKGUN0KUU3C0RL2LK98D8MEK" hidden="1">#REF!</definedName>
    <definedName name="BExGTONXUFJZ46ZIB10HWACFPN6J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BW1HO8B090KD36LC0AO23ZO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R6BA03XPBK60SQUW197GJ5X" hidden="1">#REF!</definedName>
    <definedName name="BExGUS2PJRD6B23Y5YPYJ74UVFY3" hidden="1">#REF!</definedName>
    <definedName name="BExGUURTC7PJS6OWLNPP5LOKEQB3" hidden="1">#REF!</definedName>
    <definedName name="BExGUZKF06F209XL1IZWVJEQ82EE" hidden="1">#REF!</definedName>
    <definedName name="BExGV2EVT380QHD4AP2RL9MR8L5L" hidden="1">#REF!</definedName>
    <definedName name="BExGVDI3A824Q18U2ZV06Z11FIIV" hidden="1">#REF!</definedName>
    <definedName name="BExGVV6OOLDQ3TXZK51TTF3YX0WN" hidden="1">#REF!</definedName>
    <definedName name="BExGW2Z7AMPG6H9EXA9ML6EZVGGA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KBM63SHLXB0JZ87BXSU1Y43" hidden="1">#REF!</definedName>
    <definedName name="BExGXU2CTZIGLSHFR401PYBQ1Q6G" hidden="1">#REF!</definedName>
    <definedName name="BExGXWB73RJ4BASBQTQ8EY0EC1EB" hidden="1">#REF!</definedName>
    <definedName name="BExGXXT5O0278L048CSSRUPREKX0" hidden="1">#REF!</definedName>
    <definedName name="BExGXZ0ABB43C7SMRKZHWOSU9EQX" hidden="1">#REF!</definedName>
    <definedName name="BExGY199VVQQB2AHJ76VPOIWLWJV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OS6TV2C72PLRFU8RP1I58GY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CKOL63129L4KDWOVL0HLEZ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0YLMM40P3931LP8BKNNC60KV" hidden="1">#REF!</definedName>
    <definedName name="BExH0ZNGQCZV23RN7UAQGEPM4LNN" hidden="1">#REF!</definedName>
    <definedName name="BExH12Y4WX542WI3ZEM15AK4UM9J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Z0GIUSVTF2H1G1I3PDGBNK2" hidden="1">#REF!</definedName>
    <definedName name="BExH1ZRHSD93CERXYVJ0PQ9ZD4VJ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484A22LWJP90TK5PO16GMMQ" hidden="1">#REF!</definedName>
    <definedName name="BExH3IRB6764RQ5HBYRLH6XCT29X" hidden="1">#REF!</definedName>
    <definedName name="BExH3O5K2H2CUPJV6PMS7RTLJCSV" hidden="1">#REF!</definedName>
    <definedName name="BExIG2U8V6RSB47SXLCQG3Q68YRO" hidden="1">#REF!</definedName>
    <definedName name="BExIGJBO8R13LV7CZ7C1YCP974NN" hidden="1">#REF!</definedName>
    <definedName name="BExIGWIF65G5ZVDIIPDV5RBRMIYI" hidden="1">#REF!</definedName>
    <definedName name="BExIGWT86FPOEYTI8GXCGU5Y3KGK" hidden="1">#REF!</definedName>
    <definedName name="BExIHBHXA7E7VUTBVHXXXCH3A5CL" hidden="1">#REF!</definedName>
    <definedName name="BExIHPQCQTGEW8QOJVIQ4VX0P6DX" hidden="1">#REF!</definedName>
    <definedName name="BExII1F47C3LUR595RLS8NG71A1Z" hidden="1">#REF!</definedName>
    <definedName name="BExII1KN91Q7DLW0UB7W2TJ5ACT9" hidden="1">#REF!</definedName>
    <definedName name="BExII50LI8I0CDOOZEMIVHVA2V95" hidden="1">#REF!</definedName>
    <definedName name="BExIILSU51MU6FKEVZ24AJSBIWON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AMYWASLH4PA7OY8MTC1IS6B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LN6WT20DEZPHDUPC1CD33X0S" hidden="1">#REF!</definedName>
    <definedName name="BExIM9DBUB7ZGF4B20FVUO9QGOX2" hidden="1">#REF!</definedName>
    <definedName name="BExIMG9HUJPI31D93MZJG17VL0IP" hidden="1">#REF!</definedName>
    <definedName name="BExIMGK9Z94TFPWWZFMD10HV0IF6" hidden="1">#REF!</definedName>
    <definedName name="BExIMPEGKG18TELVC33T4OQTNBWC" hidden="1">#REF!</definedName>
    <definedName name="BExIN4OR435DL1US13JQPOQK8GD5" hidden="1">#REF!</definedName>
    <definedName name="BExINFBOZK5BM4O5I972W64PY6X6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NFUDPDKOSH5GHDVNA8D66S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R2ALYRP9FW99DK2084J7IIDC" hidden="1">#REF!</definedName>
    <definedName name="BExIR8FQETPTQYW37DBVDWG3J4JW" hidden="1">#REF!</definedName>
    <definedName name="BExIRR66D0ROYPS2A6G69A1G67MM" hidden="1">#REF!</definedName>
    <definedName name="BExIRRBGTY01OQOI3U5SW59RFDFI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M1JLV54A21A164IURMPGUMU" hidden="1">#REF!</definedName>
    <definedName name="BExISRFKJYUZ4AKW44IJF7RF9Y90" hidden="1">#REF!</definedName>
    <definedName name="BExISXFCVKJ1JJ2GYNW67Z8B48SL" hidden="1">#REF!</definedName>
    <definedName name="BExISXKUOORD6SZ7UU33W33JDYQI" hidden="1">#REF!</definedName>
    <definedName name="BExIT1MK8TBAK3SNP36A8FKDQSOK" hidden="1">#REF!</definedName>
    <definedName name="BExIT6PV1OTIJW2XVYSLT4IZ6YPX" hidden="1">#REF!</definedName>
    <definedName name="BExITBNYANV2S8KD56GOGCKW393R" hidden="1">#REF!</definedName>
    <definedName name="BExITPAS03ENAT6QHNZTMP3165XM" hidden="1">#REF!</definedName>
    <definedName name="BExITY56RKDF8EYFET61LS3JL96A" hidden="1">#REF!</definedName>
    <definedName name="BExIU0E0K9VNPTZS4DWR4PTEMJV9" hidden="1">#REF!</definedName>
    <definedName name="BExIUD4OJGH65NFNQ4VMCE3R4J1X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XWL6H5LD9DHDIA4F5U9TQL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X34PM5DBTRHRQWP6PL6WIX88" hidden="1">#REF!</definedName>
    <definedName name="BExIX5OAP9KSUE5SIZCW9P39Q4WE" hidden="1">#REF!</definedName>
    <definedName name="BExIX88507R1EONU97R8K1D32F9B" hidden="1">#REF!</definedName>
    <definedName name="BExIXGRJPVJMUDGSG7IHPXPNO69B" hidden="1">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933S3H76MZ3MIUU1RIQ093J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P9Q6FV9T0R9G3UDKLS4TTYX" hidden="1">#REF!</definedName>
    <definedName name="BExIYZGLDQ1TN7BIIN4RLDP31GIM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UQRU4TVJ4P2053BRVFEMC1C" hidden="1">#REF!</definedName>
    <definedName name="BExJ0YC98G37ML4N8FLP8D95EFRF" hidden="1">#REF!</definedName>
    <definedName name="BExKCDYKAEV45AFXHVHZZ62E5BM3" hidden="1">#REF!</definedName>
    <definedName name="BExKDAXGMI994NKDQDQS0N50R73B" hidden="1">#REF!</definedName>
    <definedName name="BExKDBIZSVFCX7FQCH1WH9PQDSNS" hidden="1">#REF!</definedName>
    <definedName name="BExKDKO0W4AGQO1V7K6Q4VM750FT" hidden="1">#REF!</definedName>
    <definedName name="BExKDLF10G7W77J87QWH3ZGLUCLW" hidden="1">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W0RR5LA3VC46A2BEOOMQE56" hidden="1">#REF!</definedName>
    <definedName name="BExKF79BHNDQO1X9MSLGUSUKTFL3" hidden="1">#REF!</definedName>
    <definedName name="BExKFA3VI1CZK21SM0N3LZWT9LA1" hidden="1">#REF!</definedName>
    <definedName name="BExKFCI6YQRBCPFC24GKKKB9L4TT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AYV4FI6GE0LJSRED7BHZX90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JIF8Q6G1OV2PPUMDK1M5NHU" hidden="1">#REF!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K2S890OQ2BFWODEDGUTY4MW" hidden="1">#REF!</definedName>
    <definedName name="BExKHPM9XA0ADDK7TUR0N38EXWEP" hidden="1">#REF!</definedName>
    <definedName name="BExKHVRK5MHIZFH1FF1FYRTV9GUV" hidden="1">#REF!</definedName>
    <definedName name="BExKI4076KXCDE5KXL79KT36OKLO" hidden="1">#REF!</definedName>
    <definedName name="BExKI5NGA371GC1NR1JH4GZGYFR7" hidden="1">#REF!</definedName>
    <definedName name="BExKI7LO70WYISR7Q0Y1ZDWO9M3B" hidden="1">#REF!</definedName>
    <definedName name="BExKIGQV6TXIZG039HBOJU62WP2U" hidden="1">#REF!</definedName>
    <definedName name="BExKIK6T84GUDVXVWZL6ON5MDDQE" hidden="1">#REF!</definedName>
    <definedName name="BExKILE008SF3KTAN8WML3XKI1NZ" hidden="1">#REF!</definedName>
    <definedName name="BExKIU87ZKSOC2DYZWFK6SAK9I8E" hidden="1">#REF!</definedName>
    <definedName name="BExKJ449HLYX2DJ9UF0H9GTPSQ73" hidden="1">#REF!</definedName>
    <definedName name="BExKJ92DK8PBOSGSIPC7UUD72NZN" hidden="1">#REF!</definedName>
    <definedName name="BExKJA43N563PP5YD3FZFQJUHOI1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8VP5RS3D0UXZVKA37C4SYBP" hidden="1">#REF!</definedName>
    <definedName name="BExKKHKEQNG0J0AL2RFT9E61ZOK8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5ZUHNSNMN250LCMKMSTVJ9A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LMXET4TNM08LOC9W8Y94UBZ7" hidden="1">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4JC0QRXXLQXH41IKPYFWMC4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UVK4W6T12KPKUL8P281MAPP" hidden="1">#REF!</definedName>
    <definedName name="BExKPW81IUDXB2JGOCW2YLMD6WR9" hidden="1">#REF!</definedName>
    <definedName name="BExKPX9VZ1J5021Q98K60HMPJU58" hidden="1">#REF!</definedName>
    <definedName name="BExKQJGAAWNM3NT19E9I0CQDBTU0" hidden="1">#REF!</definedName>
    <definedName name="BExKQJWESTBD1T5RGDGS9VURVRJ3" hidden="1">#REF!</definedName>
    <definedName name="BExKQM5GJ1ZN5REKFE7YVBQ0KXWF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8RZSEHW184G0Z56B4EGNU72" hidden="1">#REF!</definedName>
    <definedName name="BExKRVUSQ6PA7ZYQSTEQL3X7PB9P" hidden="1">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JTWG9L3FCX8FLK4EMUJMF27" hidden="1">#REF!</definedName>
    <definedName name="BExKSU0MKNAVZYYPKCYTZDWQX4R8" hidden="1">#REF!</definedName>
    <definedName name="BExKSU64804N332ZZEGAF57FL3M8" hidden="1">#REF!</definedName>
    <definedName name="BExKSX60G1MUS689FXIGYP2F7C62" hidden="1">#REF!</definedName>
    <definedName name="BExKSYIGF7NW0M7UJ9PATGTGWGN3" hidden="1">#REF!</definedName>
    <definedName name="BExKT2UZ7Y2VWF5NQE18SJRLD2RN" hidden="1">#REF!</definedName>
    <definedName name="BExKT3GJFNGAM09H5F615E36A38C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I99FEUIZLODXJDOJC96CQ" hidden="1">#REF!</definedName>
    <definedName name="BExKUCPNSX25RS2YURVL5NC9MFD1" hidden="1">#REF!</definedName>
    <definedName name="BExKUDM0DFSCM3D91SH0XLXJSL18" hidden="1">#REF!</definedName>
    <definedName name="BExKULEKJLA77AUQPDUHSM94Y76Z" hidden="1">#REF!</definedName>
    <definedName name="BExKV08R85MKI3MAX9E2HERNQUNL" hidden="1">#REF!</definedName>
    <definedName name="BExKV4AAUNNJL5JWD7PX6BFKVS6O" hidden="1">#REF!</definedName>
    <definedName name="BExKVDVK6HN74GQPTXICP9BFC8CF" hidden="1">#REF!</definedName>
    <definedName name="BExKVEMME52JQELAFD795DOJEWSZ" hidden="1">#REF!</definedName>
    <definedName name="BExKVFZ3ZZGIC1QI8XN6BYFWN0ZY" hidden="1">#REF!</definedName>
    <definedName name="BExKVG4KGO28KPGTAFL1R8TTZ10N" hidden="1">#REF!</definedName>
    <definedName name="BExKVL2J8PU4MCCR9624YEUERJCZ" hidden="1">#REF!</definedName>
    <definedName name="BExKVOYS1PFKH2UX7X6YHPN1RUL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E2GT3D01N9AG9TYBDAWURT7" hidden="1">#REF!</definedName>
    <definedName name="BExMALEWFUEM8Y686IT03ECURUBR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US7GSOM96J0HJ7EH0FFM2AC" hidden="1">#REF!</definedName>
    <definedName name="BExMCYTT6TVDWMJXO1NZANRTVNAN" hidden="1">#REF!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8CEJSOLGQ0WUEVZSJ6D5BZG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H3H9TW5TJCNU5Z1EWXP3BAEP" hidden="1">#REF!</definedName>
    <definedName name="BExMHLB66W9J3DOW8PDM6XX2WD5M" hidden="1">#REF!</definedName>
    <definedName name="BExMHLWROH53Q75RA3PIYGQSIL9V" hidden="1">#REF!</definedName>
    <definedName name="BExMHOWPB34KPZ76M2KIX2C9R2VB" hidden="1">#REF!</definedName>
    <definedName name="BExMHSSYC6KVHA3QDTSYPN92TWMI" hidden="1">#REF!</definedName>
    <definedName name="BExMI3AJ9477KDL4T9DHET4LJJTW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7LO3NVX1DJMO2BCZBCBTFV2" hidden="1">#REF!</definedName>
    <definedName name="BExMJGALSH3TZCJVOLAH61OLQHK8" hidden="1">#REF!</definedName>
    <definedName name="BExMJGLE6KIJDG92D8NTP6P839QR" hidden="1">#REF!</definedName>
    <definedName name="BExMJNC8ZFB9DRFOJ961ZAJ8U3A8" hidden="1">#REF!</definedName>
    <definedName name="BExMJTBV8A3D31W2IQHP9RDFPPHQ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NWE59950XZLKZ3TTZFEWIOJ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TIXETA5VAKBSOFDD5SRU887" hidden="1">#REF!</definedName>
    <definedName name="BExMMV0P6P5YS3C35G0JYYHI7992" hidden="1">#REF!</definedName>
    <definedName name="BExMNF3NE7KDVEY6NIRP0QIB1AZC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LOYJDKJU361NW842XB51R6Q" hidden="1">#REF!</definedName>
    <definedName name="BExMNR38HMPLWAJRQ9MMS3ZAZ9IU" hidden="1">#REF!</definedName>
    <definedName name="BExMNRDZULKJMVY2VKIIRM2M5A1M" hidden="1">#REF!</definedName>
    <definedName name="BExMO6Z27UP2HDQ794QD8ZPVIOQQ" hidden="1">#REF!</definedName>
    <definedName name="BExMO9IOWKTWHO8LQJJQI5P3INWY" hidden="1">#REF!</definedName>
    <definedName name="BExMOI29DOEK5R1A5QZPUDKF7N6T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I6D6WG8DZVN0RPA6EHCMQMQ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MSATU6JDGTTCNUARB3J9EDJ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XMAHL7CY3X0B1OPKZ28DCJ5" hidden="1">#REF!</definedName>
    <definedName name="BExO617RHTHJ0SN0L4H78UX6WLTH" hidden="1">#REF!</definedName>
    <definedName name="BExO66LZJKY4PTQVREELI6POS4AY" hidden="1">#REF!</definedName>
    <definedName name="BExO6LLHCYTF7CIVHKAO0NMET14Q" hidden="1">#REF!</definedName>
    <definedName name="BExO7OUQS3XTUQ2LDKGQ8AAQ3OJJ" hidden="1">#REF!</definedName>
    <definedName name="BExO7SAVX292SLANCDQCHRSYJB3O" hidden="1">#REF!</definedName>
    <definedName name="BExO83E4KFY9YIBOHS4DNBOWE50V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P4AHQTW82E0WNKEITF3EBIM" hidden="1">#REF!</definedName>
    <definedName name="BExO8UTAGQWDBQZEEF4HUNMLQCVU" hidden="1">#REF!</definedName>
    <definedName name="BExO8W0GFUJCU3DS03WPBFH3OMVG" hidden="1">#REF!</definedName>
    <definedName name="BExO94UTJKQQ7TJTTJRTSR70YVJC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AQ3GKCT7YZW1EMVU3EILSZL2" hidden="1">#REF!</definedName>
    <definedName name="BExOBEZ0IE2WBEYY3D3CMRI72N1K" hidden="1">#REF!</definedName>
    <definedName name="BExOBIPU8760ITY0C8N27XZ3KWEF" hidden="1">#REF!</definedName>
    <definedName name="BExOBJM6ONXHKZT1AOHR40YWTMO2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C3UEHB1CZNINSQHZANWJYKR8" hidden="1">#REF!</definedName>
    <definedName name="BExOCBSF3XGO9YJ23LX2H78VOUR7" hidden="1">#REF!</definedName>
    <definedName name="BExOCKXFMOW6WPFEVX1I7R7FNDSS" hidden="1">#REF!</definedName>
    <definedName name="BExOCRZ1VXFT69H13Q1RFUVCCLMQ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6IA3NH5LO212RHC7G11GTWL" hidden="1">#REF!</definedName>
    <definedName name="BExODDUJX9AC3YHUQPXJFKW36HE1" hidden="1">#REF!</definedName>
    <definedName name="BExODEWDDEABM4ZY3XREJIBZ8IVP" hidden="1">#REF!</definedName>
    <definedName name="BExODUHFA0A3HLSGMCD61UFWFNIZ" hidden="1">#REF!</definedName>
    <definedName name="BExODZFEIWV26E8RFU7XQYX1J458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EDNCYI2TPTMQ8SJN3AW4YMF" hidden="1">#REF!</definedName>
    <definedName name="BExOFVLXVD6RVHSQO8KZOOACSV24" hidden="1">#REF!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H9ICZ13C1LAW8OTYTR9S7ZP3" hidden="1">#REF!</definedName>
    <definedName name="BExOHJZYNHMTKG7LBWYF8XCHAM94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4HR73UYX750QFAG04WAJM4R" hidden="1">#REF!</definedName>
    <definedName name="BExOJ7XQK71I4YZDD29AKOOWZ47E" hidden="1">#REF!</definedName>
    <definedName name="BExOJH2WIVH7AUG57RLOPMB0K4NJ" hidden="1">#REF!</definedName>
    <definedName name="BExOJM0W6XGSW5MXPTTX0GNF6SFT" hidden="1">#REF!</definedName>
    <definedName name="BExOJOF5WWK275X6GWOYJECAAE81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TXMJP351VXKH8VT6SXUNIMF" hidden="1">#REF!</definedName>
    <definedName name="BExOKZRYZYB7S9Y9Q6PONK47CP2U" hidden="1">#REF!</definedName>
    <definedName name="BExOL0Z3Z7IAMHPB91EO2MF49U57" hidden="1">#REF!</definedName>
    <definedName name="BExOL2RUW1NXCNTLG4DW6MEP91DG" hidden="1">#REF!</definedName>
    <definedName name="BExOL7KH12VAR0LG741SIOJTLWFD" hidden="1">#REF!</definedName>
    <definedName name="BExOLICXFHJLILCJVFMJE5MGGWKR" hidden="1">#REF!</definedName>
    <definedName name="BExOLOI0WJS3QC12I3ISL0D9AWOF" hidden="1">#REF!</definedName>
    <definedName name="BExOLYZNG5RBD0BTS1OEZJNU92Q5" hidden="1">#REF!</definedName>
    <definedName name="BExOM3HIJ3UZPOKJI68KPBJAHPDC" hidden="1">#REF!</definedName>
    <definedName name="BExOM96HWZG985JIMGPSHXS9TMLX" hidden="1">#REF!</definedName>
    <definedName name="BExOMKPURE33YQ3K1JG9NVQD4W49" hidden="1">#REF!</definedName>
    <definedName name="BExOMP7NGCLUNFK50QD2LPKRG078" hidden="1">#REF!</definedName>
    <definedName name="BExOMQESSEOO6A99WFF5FD3MOU7N" hidden="1">#REF!</definedName>
    <definedName name="BExOMRB7OS64N18R60KRQH5ZIKQE" hidden="1">#REF!</definedName>
    <definedName name="BExOMU0A6XMY48SZRYL4WQZD13BI" hidden="1">#REF!</definedName>
    <definedName name="BExOMVT0HSNC59DJP4CLISASGHKL" hidden="1">#REF!</definedName>
    <definedName name="BExON05LAUZ7PZVQYVKT4TAGNHL4" hidden="1">#REF!</definedName>
    <definedName name="BExON0AX35F2SI0UCVMGWGVIUNI3" hidden="1">#REF!</definedName>
    <definedName name="BExON41U4296DV3DPG6I5EF3OEYF" hidden="1">#REF!</definedName>
    <definedName name="BExONB3A7CO4YD8RB41PHC93BQ9M" hidden="1">#REF!</definedName>
    <definedName name="BExONC559QNMDURXKDWZ58NYWHVT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1WWIZSGB0YTGKESB45TSVMZ" hidden="1">#REF!</definedName>
    <definedName name="BExOOIULUDOJRMYABWV5CCL906X6" hidden="1">#REF!</definedName>
    <definedName name="BExOOTN0KTXJCL7E476XBN1CJ553" hidden="1">#REF!</definedName>
    <definedName name="BExOP9DEBV5W5P4Q25J3XCJBP5S9" hidden="1">#REF!</definedName>
    <definedName name="BExOPGKD4X39TFOQS8N1K87CAHPA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201PAMCXQPAX11SYW1J05AJQ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OGXM0T8TGMUKQW4EMTK1CZU" hidden="1">#REF!</definedName>
    <definedName name="BExQ2XWWDY01GRMIPALFLLXYXLFZ" hidden="1">#REF!</definedName>
    <definedName name="BExQ2YCZT0OWVB5M3BFLYVGHKJDV" hidden="1">#REF!</definedName>
    <definedName name="BExQ300G8I8TK45A0MVHV15422EU" hidden="1">#REF!</definedName>
    <definedName name="BExQ37NIA0PH966M6AXV89MOR1LC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2DIM8UCTK406IMGKAT1BH86" hidden="1">#REF!</definedName>
    <definedName name="BExQ42IU9MNDYLODP41DL6YTZMAR" hidden="1">#REF!</definedName>
    <definedName name="BExQ452HF7N1HYPXJXQ8WD6SOWUV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A4NED21J2MWNZFZQ6A1TMN2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5YUUK9FD0QGTY4WD0W90O7OL" hidden="1">#REF!</definedName>
    <definedName name="BExQ63793YQ9BH7JLCNRIATIGTRG" hidden="1">#REF!</definedName>
    <definedName name="BExQ63Y50JR4XQHG2JRWHBVLB8DI" hidden="1">#REF!</definedName>
    <definedName name="BExQ6CN1EF2UPZ57ZYMGK8TUJQSS" hidden="1">#REF!</definedName>
    <definedName name="BExQ6IXM1ZCPU3I4O5JCGPHPYVF9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NYDIGNJ6II7IXBOXPXQJ8O5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7FR1MI8OULW822VN1ALRHWF" hidden="1">#REF!</definedName>
    <definedName name="BExQ97QIPOSSRK978N8P234Y1XA4" hidden="1">#REF!</definedName>
    <definedName name="BExQ9E6FBAXTHGF3RXANFIA77GX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S9OFJIPBNI20G26IZFHCNSM" hidden="1">#REF!</definedName>
    <definedName name="BExQ9UTANMJCK7LJ4OQMD6F2Q01L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LAVESJF7S7KQJV6LQMO8CBK" hidden="1">#REF!</definedName>
    <definedName name="BExQBM1RUSIQ85LLMM2159BYDPIP" hidden="1">#REF!</definedName>
    <definedName name="BExQBPSOZ47V81YAEURP0NQJNTJH" hidden="1">#REF!</definedName>
    <definedName name="BExQC5TWT21CGBKD0IHAXTIN2QB8" hidden="1">#REF!</definedName>
    <definedName name="BExQC94JL9F5GW4S8DQCAF4WB2DA" hidden="1">#REF!</definedName>
    <definedName name="BExQCKTD8AT0824LGWREXM1B5D1X" hidden="1">#REF!</definedName>
    <definedName name="BExQCND58GNLTHGOWJH6WIF9DHUC" hidden="1">#REF!</definedName>
    <definedName name="BExQD277ELZ2REPOV819UEUBZT0E" hidden="1">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DJA582X6IGOTLWE2VLJTZUXL" hidden="1">#REF!</definedName>
    <definedName name="BExQDUDF0UTF4XBSUB9RQ81WBKIL" hidden="1">#REF!</definedName>
    <definedName name="BExQEA3R7RVO1CFLAMRJQVU6RHTJ" hidden="1">#REF!</definedName>
    <definedName name="BExQEMUA4HEFM4OVO8M8MA8PIAW1" hidden="1">#REF!</definedName>
    <definedName name="BExQEQ4XZQFIKUXNU9H7WE7AMZ1U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8TZDC92SCKCUDZB8LWA6VV9" hidden="1">#REF!</definedName>
    <definedName name="BExQGO48J9MPCDQ96RBB9UN9AIGT" hidden="1">#REF!</definedName>
    <definedName name="BExQGSBB6MJWDW7AYWA0MSFTXKRR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LY34W5XSLMBHPDOZ0BBSHYX" hidden="1">#REF!</definedName>
    <definedName name="BExQIS8O6R36CI01XRY9ISM99TW9" hidden="1">#REF!</definedName>
    <definedName name="BExQIVJB9MJ25NDUHTCVMSODJY2C" hidden="1">#REF!</definedName>
    <definedName name="BExQJBF7LAX128WR7VTMJC88ZLPG" hidden="1">#REF!</definedName>
    <definedName name="BExQJEVCKX6KZHNCLYXY7D0MX5KN" hidden="1">#REF!</definedName>
    <definedName name="BExQJNPKDN23ZS857OLOAPYGIE7J" hidden="1">#REF!</definedName>
    <definedName name="BExQK1HV6SQQ7CP8H8IUKI9TYXTD" hidden="1">#REF!</definedName>
    <definedName name="BExQK3LE5CSBW1E4H4KHW548FL2R" hidden="1">#REF!</definedName>
    <definedName name="BExQKG6LD6PLNDGNGO9DJXY865BR" hidden="1">#REF!</definedName>
    <definedName name="BExQLE1TOW3A287TQB0AVWENT8O1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BQCGCIEYOEMNGVW1LSN2V3Y" hidden="1">#REF!</definedName>
    <definedName name="BExRZIRRIXRUMZ5GOO95S7460BMP" hidden="1">#REF!</definedName>
    <definedName name="BExRZK4FS84V1L5HRYKPGB9BYLFU" hidden="1">#REF!</definedName>
    <definedName name="BExRZK9RAHMM0ZLTNSK7A4LDC42D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15IJV0WW662NXQUVT3FGP4ST" hidden="1">#REF!</definedName>
    <definedName name="BExS1BNVGNSGD4EP90QL8WXYWZ66" hidden="1">#REF!</definedName>
    <definedName name="BExS1QSMSTVY1B0ZPHCRCYK3CW1K" hidden="1">#REF!</definedName>
    <definedName name="BExS1UE39N6NCND7MAARSBWXS6HU" hidden="1">#REF!</definedName>
    <definedName name="BExS214TGGDE98YKBBEHSWZPI27E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FO6BI3MWA7ITSFOZS7LRTQ8" hidden="1">#REF!</definedName>
    <definedName name="BExS2QB5FS5LYTFYO4BROTWG3OV5" hidden="1">#REF!</definedName>
    <definedName name="BExS2TLU1HONYV6S3ZD9T12D7CIG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P80Y9ITQVZ5PNBWPAUAGBI4" hidden="1">#REF!</definedName>
    <definedName name="BExS3RX4WH8DCNOZZ3K9JJA75Z44" hidden="1">#REF!</definedName>
    <definedName name="BExS3SDERJ27OER67TIGOVZU13A2" hidden="1">#REF!</definedName>
    <definedName name="BExS40M1IGHDOQVHEFEUFJ5FVI4M" hidden="1">#REF!</definedName>
    <definedName name="BExS46R5WDNU5KL04FKY5LHJUCB8" hidden="1">#REF!</definedName>
    <definedName name="BExS4AI3QB43GGP5RSOPUPANE52K" hidden="1">#REF!</definedName>
    <definedName name="BExS4ASWKM93XA275AXHYP8AG6SU" hidden="1">#REF!</definedName>
    <definedName name="BExS4AYCWLW5ZBG3L0WX6CFS6D63" hidden="1">#REF!</definedName>
    <definedName name="BExS4JN3Y6SVBKILQK0R9HS45Y52" hidden="1">#REF!</definedName>
    <definedName name="BExS4P6S41O6Z6BED77U3GD9PNH1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GB6WCCALGBA3Z1QYJUQJB1R" hidden="1">#REF!</definedName>
    <definedName name="BExS6AQ7Z4VRXLJ5ZXYCH1EWOPPL" hidden="1">#REF!</definedName>
    <definedName name="BExS6GKQ96EHVLYWNJDWXZXUZW90" hidden="1">#REF!</definedName>
    <definedName name="BExS6ITKSZFRR01YD5B0F676SYN7" hidden="1">#REF!</definedName>
    <definedName name="BExS6N0LI574IAC89EFW6CLTCQ33" hidden="1">#REF!</definedName>
    <definedName name="BExS6WRDBF3ST86ZOBBUL3GTCR11" hidden="1">#REF!</definedName>
    <definedName name="BExS6XNRKR0C3MTA0LV5B60UB908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47OCSKMJNF4R5SSYHOKN5OI" hidden="1">#REF!</definedName>
    <definedName name="BExS8BPG5A0GR5AO1U951NDGGR0L" hidden="1">#REF!</definedName>
    <definedName name="BExS8EPC3AI31OWK6QXI0A8DE5G8" hidden="1">#REF!</definedName>
    <definedName name="BExS8GSUS17UY50TEM2AWF36BR9Z" hidden="1">#REF!</definedName>
    <definedName name="BExS8HJRBVG0XI6PWA9KTMJZMQXK" hidden="1">#REF!</definedName>
    <definedName name="BExS8NZT40M2ST2SKHR5VEMMBV8H" hidden="1">#REF!</definedName>
    <definedName name="BExS8R51C8RM2FS6V6IRTYO9GA4A" hidden="1">#REF!</definedName>
    <definedName name="BExS8R52CAXYNU47MEQBK3LIWD7Q" hidden="1">#REF!</definedName>
    <definedName name="BExS8WDX408F60MH1X9B9UZ2H4R7" hidden="1">#REF!</definedName>
    <definedName name="BExS8WOPSCCKMC0DU6SAYBPMCL7B" hidden="1">#REF!</definedName>
    <definedName name="BExS8Z2W2QEC3MH0BZIYLDFQNUIP" hidden="1">#REF!</definedName>
    <definedName name="BExS92DKGRFFCIA9C0IXDOLO57EP" hidden="1">#REF!</definedName>
    <definedName name="BExS946GKJYL3GKY993WS2FYGP31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WI0A6PSEB8N9GPXF2Z7MWHM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NBLBIZ8IEUFS2T4QSMZ9C17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BIXJUIZCBQLKJRQH1AG0B5S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HHHBOP6VN02QEIIXTZZ0PLY" hidden="1">#REF!</definedName>
    <definedName name="BExSEJKZLX37P3V33TRTFJ30BFRK" hidden="1">#REF!</definedName>
    <definedName name="BExSEP9UVOAI6TMXKNK587PQ3328" hidden="1">#REF!</definedName>
    <definedName name="BExSERTMFEOW883CSTRXKMKDYLYP" hidden="1">#REF!</definedName>
    <definedName name="BExSEUIQNNEAT134WVQATAVGMRFA" hidden="1">#REF!</definedName>
    <definedName name="BExSF07QFLZCO4P6K6QF05XG7PH1" hidden="1">#REF!</definedName>
    <definedName name="BExSFEAUCW72URKX4VK8Q7UIYG8O" hidden="1">#REF!</definedName>
    <definedName name="BExSFKAMYIVLTK242A3QD32X7RO5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C639PZVNYI1CQV2NNJ9L1KE" hidden="1">#REF!</definedName>
    <definedName name="BExSGE45J27MDUUNXW7Z8Q33UAON" hidden="1">#REF!</definedName>
    <definedName name="BExSGE9LY91Q0URHB4YAMX0UAMYI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AHFHS7MMNJR8JPVABRGBVIT" hidden="1">#REF!</definedName>
    <definedName name="BExSHG6EKKEEO0K46TUBJKT5FUGJ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H4RYNIJUG1BP7SBR6ABUA3" hidden="1">#REF!</definedName>
    <definedName name="BExTUWXFQHINU66YG82BI20ATMB5" hidden="1">#REF!</definedName>
    <definedName name="BExTUY9WNSJ91GV8CP0SKJTEIV82" hidden="1">#REF!</definedName>
    <definedName name="BExTUZBQ7RTGA0D7ATUCJPKBCKZ3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VR6ZIXRFJ4O3C45XFNQ0BGLT" hidden="1">#REF!</definedName>
    <definedName name="BExTVTAIPTDZAARFGSL4I6JG6VFG" hidden="1">#REF!</definedName>
    <definedName name="BExTVZQLP9VFLEYQ9280W13X7E8K" hidden="1">#REF!</definedName>
    <definedName name="BExTW84PB6HNWXE7CC1UYDTWS2OM" hidden="1">#REF!</definedName>
    <definedName name="BExTW8FH45G3QQVEC7JTXR407Q6W" hidden="1">#REF!</definedName>
    <definedName name="BExTWB4LA1PODQOH4LDTHQKBN16K" hidden="1">#REF!</definedName>
    <definedName name="BExTWI0Q8AWXUA3ZN7I5V3QK2KM1" hidden="1">#REF!</definedName>
    <definedName name="BExTWIMBVN7N336HCBCIL6WXZABQ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6QT1BYRBYHH790ELD72EBM4" hidden="1">#REF!</definedName>
    <definedName name="BExTXJ6HBAIXMMWKZTJNFDYVZCAY" hidden="1">#REF!</definedName>
    <definedName name="BExTXT812NQT8GAEGH738U29BI0D" hidden="1">#REF!</definedName>
    <definedName name="BExTXVBJ69ZBKLJPVFU0BXTPW5DC" hidden="1">#REF!</definedName>
    <definedName name="BExTXWIP2TFPTQ76NHFOB72NICRZ" hidden="1">#REF!</definedName>
    <definedName name="BExTY5T62H651VC86QM4X7E28JVA" hidden="1">#REF!</definedName>
    <definedName name="BExTYB1Y9J7VJA082F28EHRDMFF4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IH77JP4SP6HL6YLX7MJLGC0" hidden="1">#REF!</definedName>
    <definedName name="BExU0MTJQPE041ZN7H8UKGV6MZT7" hidden="1">#REF!</definedName>
    <definedName name="BExU0ZUUFYHLUK4M4E8GLGIBBNT0" hidden="1">#REF!</definedName>
    <definedName name="BExU117HISAUCEGZY2BVRPZVKR1K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D5N3H57ZZSU6PGCFWG9PRI9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B66MCKJFSKT3HL8B5EJGVX0" hidden="1">#REF!</definedName>
    <definedName name="BExU3BBNKQOCIQZG4W2I2PN2Z1HC" hidden="1">#REF!</definedName>
    <definedName name="BExU3GKEFKRHVIV3DBQXCOYCCVYU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4VD6L1LT3K3BT31XBLCG7ADL" hidden="1">#REF!</definedName>
    <definedName name="BExU529I6YHVOG83TJHWSILIQU1S" hidden="1">#REF!</definedName>
    <definedName name="BExU54T5408L0T8QJ5J136RF5TNS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69O9ZSZV52M8VEUTMV8YE9G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UZVZ3G9029TF9R3EYJ0IJPC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AVSG3UH4K4Z6YA4SJ9G703D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FSAUP9TUZ1NO9WXK80QPHWV" hidden="1">#REF!</definedName>
    <definedName name="BExU8KFLAN778MBN93NYZB0FV30G" hidden="1">#REF!</definedName>
    <definedName name="BExU8U0W95JNFLUNO0UB1Y6ND3AA" hidden="1">#REF!</definedName>
    <definedName name="BExU8UX9JX3XLB47YZ8GFXE0V7R2" hidden="1">#REF!</definedName>
    <definedName name="BExU95POIWKFPZZSETABK4O4B1IU" hidden="1">#REF!</definedName>
    <definedName name="BExU96M1J7P9DZQ3S9H0C12KGYTW" hidden="1">#REF!</definedName>
    <definedName name="BExU9DSZBZS5X87T2FHHWD43AVHA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1H6N23FHJDBL83SLFBEDZQ8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P0B7WHW3UERQKZTUOFFS17M" hidden="1">#REF!</definedName>
    <definedName name="BExUAX8WS5OPVLCDXRGKTU2QMTFO" hidden="1">#REF!</definedName>
    <definedName name="BExUB8HLEXSBVPZ5AXNQEK96F1N4" hidden="1">#REF!</definedName>
    <definedName name="BExUBCDVZIEA7YT0LPSMHL5ZSERQ" hidden="1">#REF!</definedName>
    <definedName name="BExUBHMM4BD9SY7PR3B61OBSGADF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FCDK6SPH86I6STXX8X3WMC4" hidden="1">#REF!</definedName>
    <definedName name="BExUCLC6AQ5KR6LXSAXV4QQ8ASVG" hidden="1">#REF!</definedName>
    <definedName name="BExUD4IOJ12X3PJG5WXNNGDRCKAP" hidden="1">#REF!</definedName>
    <definedName name="BExUD9WX9BWK72UWVSLYZJLAY5VY" hidden="1">#REF!</definedName>
    <definedName name="BExUDEV0CYVO7Y5IQQBEJ6FUY9S6" hidden="1">#REF!</definedName>
    <definedName name="BExUDWOXQGIZW0EAIIYLQUPXF8YV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RB1L1ON19OO3430OJRVQ7IS4" hidden="1">#REF!</definedName>
    <definedName name="BExVRXYWNF3YZFZ2ZGR9R0FSXRC0" hidden="1">#REF!</definedName>
    <definedName name="BExVS32D31F1QIB4691D5J7O5LKI" hidden="1">#REF!</definedName>
    <definedName name="BExVSL787C8E4HFQZ2NVLT35I2XV" hidden="1">#REF!</definedName>
    <definedName name="BExVSOY0CTF5C0ONXJPO81XGVXO0" hidden="1">#REF!</definedName>
    <definedName name="BExVSTFTVV14SFGHQUOJL5SQ5TX9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GTF4423HWT0GLQQ7BU9OUDD" hidden="1">#REF!</definedName>
    <definedName name="BExVTMCZOMGLQ9FICING2LT052IO" hidden="1">#REF!</definedName>
    <definedName name="BExVTNESHPVG0A0KZ7BRX26MS0PF" hidden="1">#REF!</definedName>
    <definedName name="BExVTTJVTNRSBHBTUZ78WG2JM5MK" hidden="1">#REF!</definedName>
    <definedName name="BExVTX5ED5JNDA2L93I3H4THLE68" hidden="1">#REF!</definedName>
    <definedName name="BExVTXLMYR87BC04D1ERALPUFVPG" hidden="1">#REF!</definedName>
    <definedName name="BExVUASFE51N519NI83RHBFV5K4T" hidden="1">#REF!</definedName>
    <definedName name="BExVUL9V3H8ZF6Y72LQBBN639YAA" hidden="1">#REF!</definedName>
    <definedName name="BExVUQISM6N3HO3F8UV4UZU23ZG3" hidden="1">#REF!</definedName>
    <definedName name="BExVV5T14N2HZIK7HQ4P2KG09U0J" hidden="1">#REF!</definedName>
    <definedName name="BExVV7R410VYLADLX9LNG63ID6H1" hidden="1">#REF!</definedName>
    <definedName name="BExVVBY5O3ZD46KYDXAM0908EMCE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265MLDNYFTF38HYMKG4U6JO" hidden="1">#REF!</definedName>
    <definedName name="BExVW3O3N7842KJEQEFCTDBWT67R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YU8EK669NP172GEIGCTVPPA" hidden="1">#REF!</definedName>
    <definedName name="BExVX3XN2DRJKL8EDBIG58RYQ36R" hidden="1">#REF!</definedName>
    <definedName name="BExVXHKI6LFYMGWISMPACMO247HL" hidden="1">#REF!</definedName>
    <definedName name="BExVXKF3HA8VRGUZUIS1VETGAV53" hidden="1">#REF!</definedName>
    <definedName name="BExVXLX2BZ5EF2X6R41BTKRJR1NM" hidden="1">#REF!</definedName>
    <definedName name="BExVXOGOYS60WYR0TVCY3PG8U2HL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#REF!</definedName>
    <definedName name="BExW0386REQRCQCVT9BCX80UPTRY" hidden="1">#REF!</definedName>
    <definedName name="BExW0BMAX5RE96JS90CKTA954IPX" hidden="1">#REF!</definedName>
    <definedName name="BExW0FYP4WXY71CYUG40SUBG9UWU" hidden="1">#REF!</definedName>
    <definedName name="BExW0RI61B4VV0ARXTFVBAWRA1C5" hidden="1">#REF!</definedName>
    <definedName name="BExW10CEAO6723GSM9W3TLY9Z44S" hidden="1">#REF!</definedName>
    <definedName name="BExW1AOJLUZZQUH1EQZTMSKQ0TPK" hidden="1">#REF!</definedName>
    <definedName name="BExW1BVUYQTKMOR56MW7RVRX4L1L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283NP9D366XFPXLGSCI5UB0L" hidden="1">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2WOG0Q404AU59H65OAX7B037" hidden="1">#REF!</definedName>
    <definedName name="BExW33VD3H3Y0RP9OBXCVM69BRF7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3WXSRE9G2LU0DLZAETXZVNP5" hidden="1">#REF!</definedName>
    <definedName name="BExW4217ZHL9VO39POSTJOD090WU" hidden="1">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AZNT6IAZGNF2C879ODHY1B8" hidden="1">#REF!</definedName>
    <definedName name="BExW5FSBNNXWCIAGAP69CRJH693W" hidden="1">#REF!</definedName>
    <definedName name="BExW5WPU27WD4NWZOT0ZEJIDLX5J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794A74Z5F2K8LVQLD6VSKXUE" hidden="1">#REF!</definedName>
    <definedName name="BExW7AWZZV1OEIASQETJ915RERBR" hidden="1">#REF!</definedName>
    <definedName name="BExW7YALF5KZ5R3WBMBOBBTP8SNP" hidden="1">#REF!</definedName>
    <definedName name="BExW8K0SSIPSKBVP06IJ71600HJZ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LWKQ3ZAXUK5MJ2ZBCNZ9SRQK" hidden="1">#REF!</definedName>
    <definedName name="BExXM065WOLYRYHGHOJE0OOFXA4M" hidden="1">#REF!</definedName>
    <definedName name="BExXM2KHYIH2YZ9LRLDZYFPNPEDY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QJOPES62X6JP4PVHUE0P5LT" hidden="1">#REF!</definedName>
    <definedName name="BExXMT8T5Z3M2JBQN65X2LKH0YQI" hidden="1">#REF!</definedName>
    <definedName name="BExXMVCBC5IVFP9NBTD1UR5FEAKQ" hidden="1">#REF!</definedName>
    <definedName name="BExXN1XNO7H60M9X1E7EVWFJDM5N" hidden="1">#REF!</definedName>
    <definedName name="BExXN22ZOTIW49GPLWFYKVM90FNZ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PM24UN2PGVL9D1TUBFRIKR4" hidden="1">#REF!</definedName>
    <definedName name="BExXNU97K0ZY4OLF4CGLL1W5L4PG" hidden="1">#REF!</definedName>
    <definedName name="BExXNWYB165VO9MHARCL5WLCHWS0" hidden="1">#REF!</definedName>
    <definedName name="BExXO278QHQN8JDK5425EJ615ECC" hidden="1">#REF!</definedName>
    <definedName name="BExXO45AN129G63RU4KNOWZGHL2R" hidden="1">#REF!</definedName>
    <definedName name="BExXOHSAD2NSHOLLMZ2JWA4I3I1R" hidden="1">#REF!</definedName>
    <definedName name="BExXOJA94ZQL7IUO3K3CGARHOFCF" hidden="1">#REF!</definedName>
    <definedName name="BExXP80B5FGA00JCM7UXKPI3PB7Y" hidden="1">#REF!</definedName>
    <definedName name="BExXP85M4WXYVN1UVHUTOEKEG5XS" hidden="1">#REF!</definedName>
    <definedName name="BExXPCSXFL0PCQXL5E8S0Z6WW3A1" hidden="1">#REF!</definedName>
    <definedName name="BExXPELOTHOAG0OWILLAH94OZV5J" hidden="1">#REF!</definedName>
    <definedName name="BExXPGZSWPZXNGK1PUDR5DGLVKWX" hidden="1">#REF!</definedName>
    <definedName name="BExXPS31W1VD2NMIE4E37LHVDF0L" hidden="1">#REF!</definedName>
    <definedName name="BExXPU1A5D4BCYSQ4TT3ZFXO0404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JIEF5R3QQ6D8HO3NGPU0IQC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S63O4OMWMNXXAODZQFSDG33N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0IQZHK2S467O8DQOJYULAUT" hidden="1">#REF!</definedName>
    <definedName name="BExXTHLRNL82GN7KZY3TOLO508N7" hidden="1">#REF!</definedName>
    <definedName name="BExXTII5DPSAW0AKZN3D5OT18HLW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7IZ2N65KS53TWJ0SSQMXDIQ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G6LQI4F2IOTZ4XZATJIBIJG" hidden="1">#REF!</definedName>
    <definedName name="BExXVK87BMMO6LHKV0CFDNIQVIBS" hidden="1">#REF!</definedName>
    <definedName name="BExXVKZ9WXPGL6IVY6T61IDD771I" hidden="1">#REF!</definedName>
    <definedName name="BExXVLQ7242M8GBZSUN81SW06BP4" hidden="1">#REF!</definedName>
    <definedName name="BExXVSBJA4145AW513A1W38P5KME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FP5AYE7EHYTJWBZSQ8PQ0YX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TAL44B8X0JR38BOUCRXVVWY" hidden="1">#REF!</definedName>
    <definedName name="BExXXVUDA98IZTQ6MANKU4MTTDVR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956VP8KL14I7WZRT5DIAXWV" hidden="1">#REF!</definedName>
    <definedName name="BExXZFVV4YB42AZ3H1I40YG3JAPU" hidden="1">#REF!</definedName>
    <definedName name="BExXZHJ9T2JELF12CHHGD54J1B0C" hidden="1">#REF!</definedName>
    <definedName name="BExXZM13OX0BVGVCU16MVWVEQ3XU" hidden="1">#REF!</definedName>
    <definedName name="BExXZNJ38CXYSDBZ3M9UCLBHP7OM" hidden="1">#REF!</definedName>
    <definedName name="BExXZOVPCEP495TQSON6PSRQ8XCY" hidden="1">#REF!</definedName>
    <definedName name="BExXZRKU4HS7AC7QB21E0SXEY56F" hidden="1">#REF!</definedName>
    <definedName name="BExXZXKH7NBARQQAZM69Z57IH1MM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2XEZK1CDLO3J0MKU7KTQPG5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OT2D6AJ5EJCOM9X1O5U7A2Q" hidden="1">#REF!</definedName>
    <definedName name="BExY1UCL0RND63LLSM9X5SFRG117" hidden="1">#REF!</definedName>
    <definedName name="BExY1WAT3937L08HLHIRQHMP2A3H" hidden="1">#REF!</definedName>
    <definedName name="BExY1Y8VBIWS1XZPT9UTUQ3K7JV9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2W43Q7UBZZJ1FPG2WWZBOT3C" hidden="1">#REF!</definedName>
    <definedName name="BExY3HOSK7YI364K15OX70AVR6F1" hidden="1">#REF!</definedName>
    <definedName name="BExY3NU28APSVPQ9LGR0JTRY5A7W" hidden="1">#REF!</definedName>
    <definedName name="BExY3T89AUR83SOAZZ3OMDEJDQ39" hidden="1">#REF!</definedName>
    <definedName name="BExY3WDN8T9CHYNQPYTTD8RQLX2O" hidden="1">#REF!</definedName>
    <definedName name="BExY452KX74F9MCH0QPTJ29TMNBN" hidden="1">#REF!</definedName>
    <definedName name="BExY4MG771JQ84EMIVB6HQGGHZY7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95QVZRGOD851EJP3J0DFALI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JSXTRKTY8D7JM2O3AIVD1VUY" hidden="1">#REF!</definedName>
    <definedName name="BExZK34NR4BAD7HJAP7SQ926UQP3" hidden="1">#REF!</definedName>
    <definedName name="BExZK3FGPHH5H771U7D5XY7XBS6E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GVLMKTPFXG42QYT0PO81G7F" hidden="1">#REF!</definedName>
    <definedName name="BExZLKMK7LRK14S09WLMH7MXSQXM" hidden="1">#REF!</definedName>
    <definedName name="BExZM43VGEN3DOU27TDN790UKTG2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HQPSGDY1AAKUQV9UIDCYF1O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5F46YRCWTP47U32P2B9W723" hidden="1">#REF!</definedName>
    <definedName name="BExZN847WUWKRYTZWG9TCQZJS3OL" hidden="1">#REF!</definedName>
    <definedName name="BExZNH3VISFF4NQI11BZDP5IQ7VG" hidden="1">#REF!</definedName>
    <definedName name="BExZNIB2TONEPEGVVJUZ2RCZZA1R" hidden="1">#REF!</definedName>
    <definedName name="BExZNJYCFYVMAOI62GB2BABK1ELE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ETNB1CJ3Y2RKLI1ZK0S8Z6H" hidden="1">#REF!</definedName>
    <definedName name="BExZOKD6I9EZHEMP6CO81OQGX22V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5Y17JJJSFG6V8OD3DJ0FTUZ" hidden="1">#REF!</definedName>
    <definedName name="BExZP7AIJKLM6C6CSUIIFAHFBNX2" hidden="1">#REF!</definedName>
    <definedName name="BExZPQ0XY507N8FJMVPKCTK8HC9H" hidden="1">#REF!</definedName>
    <definedName name="BExZQ37OVBR25U32CO2YYVPZOMR5" hidden="1">#REF!</definedName>
    <definedName name="BExZQ3NT7H06VO0AR48WHZULZB93" hidden="1">#REF!</definedName>
    <definedName name="BExZQ7PJU07SEJMDX18U9YVDC2GU" hidden="1">#REF!</definedName>
    <definedName name="BExZQ9CSXQ5DCVUZZM2NWOUAFFXC" hidden="1">#REF!</definedName>
    <definedName name="BExZQJJMGU5MHQOILGXGJPAQI5XI" hidden="1">#REF!</definedName>
    <definedName name="BExZQQLADTH7NY99MD9R1K020CE8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LR95UFP5ISNWB19RU56ZOIB" hidden="1">#REF!</definedName>
    <definedName name="BExZRP1X6UVLN1UOLHH5VF4STP1O" hidden="1">#REF!</definedName>
    <definedName name="BExZRQ930U6OCYNV00CH5I0Q4LPE" hidden="1">#REF!</definedName>
    <definedName name="BExZRWJP2BUVFJPO8U8ATQEP0LZU" hidden="1">#REF!</definedName>
    <definedName name="BExZS58KO1ARPFHM18ITD6LLGGKE" hidden="1">#REF!</definedName>
    <definedName name="BExZSI9USDLZAN8LI8M4YYQL24GZ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KXPJCW05LQJV7Z0D18HJHLO" hidden="1">#REF!</definedName>
    <definedName name="BExZTLOL8OPABZI453E0KVNA1GJS" hidden="1">#REF!</definedName>
    <definedName name="BExZTOJ5RMYQZ0IBDI15RKYG0800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2RT0G3ZI3K9I0F1G4LIGTQS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48C4XY2OI1GFZD90GMR1AXR" hidden="1">#REF!</definedName>
    <definedName name="BExZVBQ29OM0V8XAL3HL0JIM0MMU" hidden="1">#REF!</definedName>
    <definedName name="BExZVM7OZWPPRH5YQW50EYMMIW1A" hidden="1">#REF!</definedName>
    <definedName name="BExZVPYGX2C5OSHMZ6F0KBKZ6B1S" hidden="1">#REF!</definedName>
    <definedName name="BExZW0AU4I7JLNENPPOZK56Q23HI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D6STSB5QNJC92S2SKU3VT6X" hidden="1">#REF!</definedName>
    <definedName name="BExZWKZ5N3RDXU8MZ8HQVYYD8O0F" hidden="1">#REF!</definedName>
    <definedName name="BExZWR9P526D8P7O3YN4FHNYNZE3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8DX8KFUFLGNR5L99DHCVO0" hidden="1">#REF!</definedName>
    <definedName name="BExZXUTYW1HWEEZ1LIX4OQWC7HL1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Z2FQA9A8C7CJKMEFQ9VPSLCE" hidden="1">#REF!</definedName>
    <definedName name="BExZZC11LCU64OIXVUB7ZBZD1CVJ" hidden="1">#REF!</definedName>
    <definedName name="BExZZCHAVHW8C2H649KRGVQ0WVRT" hidden="1">#REF!</definedName>
    <definedName name="BExZZTK54OTLF2YB68BHGOS27GEN" hidden="1">#REF!</definedName>
    <definedName name="BExZZWK0P9DRA6STSZCL4RAZB3DZ" hidden="1">#REF!</definedName>
    <definedName name="BExZZXB3JQQG4SIZS4MRU6NNW7HI" hidden="1">#REF!</definedName>
    <definedName name="BExZZZ3TJXN2WSJJ15WH4PB2FN2B" hidden="1">#REF!</definedName>
    <definedName name="BExZZZEMIIFKMLLV4DJKX5TB9R5V" hidden="1">#REF!</definedName>
    <definedName name="BG_Del" hidden="1">15</definedName>
    <definedName name="BG_Ins" hidden="1">4</definedName>
    <definedName name="BG_Mod" hidden="1">6</definedName>
    <definedName name="cc" hidden="1">{#N/A,#N/A,FALSE,"Consol.";#N/A,#N/A,FALSE,"EM";#N/A,#N/A,FALSE,"Reagent";#N/A,#N/A,FALSE,"Raritan";#N/A,#N/A,FALSE,"UK";#N/A,#N/A,FALSE,"Germany"}</definedName>
    <definedName name="ccc" hidden="1">{#N/A,#N/A,FALSE,"Consol.";#N/A,#N/A,FALSE,"EM";#N/A,#N/A,FALSE,"Reagents";#N/A,#N/A,FALSE,"UK";#N/A,#N/A,FALSE,"Raritan";#N/A,#N/A,FALSE,"Germany"}</definedName>
    <definedName name="ccccc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ccccccc" hidden="1">{#N/A,#N/A,FALSE,"Consol.";#N/A,#N/A,FALSE,"EM";#N/A,#N/A,FALSE,"Reagent";#N/A,#N/A,FALSE,"Raritan";#N/A,#N/A,FALSE,"UK";#N/A,#N/A,FALSE,"Germany"}</definedName>
    <definedName name="Cono" hidden="1">{#N/A,#N/A,FALSE,"IM";#N/A,#N/A,FALSE,"HR";#N/A,#N/A,FALSE,"FIN";#N/A,#N/A,FALSE,"OA";#N/A,#N/A,FALSE,"Total"}</definedName>
    <definedName name="d" hidden="1">'[15]Volume Analysis'!#REF!</definedName>
    <definedName name="d\" hidden="1">{#N/A,#N/A,FALSE,"Summary";#N/A,#N/A,FALSE,"32100";#N/A,#N/A,FALSE,"32101";#N/A,#N/A,FALSE,"32140";#N/A,#N/A,FALSE,"32161";#N/A,#N/A,FALSE,"32202";#N/A,#N/A,FALSE,"32300";#N/A,#N/A,FALSE,"32400";#N/A,#N/A,FALSE,"32500";#N/A,#N/A,FALSE,"32600";#N/A,#N/A,FALSE,"32700";#N/A,#N/A,FALSE,"32800"}</definedName>
    <definedName name="DADDA" hidden="1">{#N/A,#N/A,FALSE,"Aging Summary";#N/A,#N/A,FALSE,"Ratio Analysis";#N/A,#N/A,FALSE,"Test 120 Day Accts";#N/A,#N/A,FALSE,"Tickmarks"}</definedName>
    <definedName name="dafd" hidden="1">{#N/A,#N/A,FALSE,"Consol.";#N/A,#N/A,FALSE,"EM";#N/A,#N/A,FALSE,"Reagent";#N/A,#N/A,FALSE,"Raritan";#N/A,#N/A,FALSE,"UK";#N/A,#N/A,FALSE,"Germany"}</definedName>
    <definedName name="DATA_01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10" hidden="1">#REF!</definedName>
    <definedName name="DATA_11" hidden="1">#REF!</definedName>
    <definedName name="dd" hidden="1">{#N/A,#N/A,FALSE,"Summary";#N/A,#N/A,FALSE,"32100";#N/A,#N/A,FALSE,"32101";#N/A,#N/A,FALSE,"32140";#N/A,#N/A,FALSE,"32161";#N/A,#N/A,FALSE,"32202";#N/A,#N/A,FALSE,"32300";#N/A,#N/A,FALSE,"32400";#N/A,#N/A,FALSE,"32500";#N/A,#N/A,FALSE,"32600";#N/A,#N/A,FALSE,"32700";#N/A,#N/A,FALSE,"32800"}</definedName>
    <definedName name="dddd" hidden="1">{#N/A,#N/A,FALSE,"Consol.";#N/A,#N/A,FALSE,"EM";#N/A,#N/A,FALSE,"Reagent";#N/A,#N/A,FALSE,"Raritan";#N/A,#N/A,FALSE,"UK";#N/A,#N/A,FALSE,"Germany"}</definedName>
    <definedName name="ddf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DDSA" hidden="1">{#N/A,#N/A,FALSE,"Aging Summary";#N/A,#N/A,FALSE,"Ratio Analysis";#N/A,#N/A,FALSE,"Test 120 Day Accts";#N/A,#N/A,FALSE,"Tickmarks"}</definedName>
    <definedName name="ddsadsdsa" hidden="1">{#N/A,#N/A,FALSE,"Aging Summary";#N/A,#N/A,FALSE,"Ratio Analysis";#N/A,#N/A,FALSE,"Test 120 Day Accts";#N/A,#N/A,FALSE,"Tickmarks"}</definedName>
    <definedName name="DEMeXToEUR" hidden="1">1/'[16]2012 FBP Allocation Grid'!EUReXToFIM</definedName>
    <definedName name="DEP" hidden="1">{#N/A,#N/A,FALSE,"BUDGET"}</definedName>
    <definedName name="DEPN" hidden="1">{#N/A,#N/A,FALSE,"3";#N/A,#N/A,FALSE,"4"}</definedName>
    <definedName name="df" hidden="1">{#N/A,#N/A,FALSE,"Consol.";#N/A,#N/A,FALSE,"EM";#N/A,#N/A,FALSE,"Reagents";#N/A,#N/A,FALSE,"UK";#N/A,#N/A,FALSE,"Raritan";#N/A,#N/A,FALSE,"Germany"}</definedName>
    <definedName name="dfa" hidden="1">{#N/A,#N/A,FALSE,"Consol.";#N/A,#N/A,FALSE,"EM";#N/A,#N/A,FALSE,"Reagents";#N/A,#N/A,FALSE,"UK";#N/A,#N/A,FALSE,"Raritan";#N/A,#N/A,FALSE,"Germany"}</definedName>
    <definedName name="dfas" hidden="1">{#N/A,#N/A,FALSE,"Consol.";#N/A,#N/A,FALSE,"EM";#N/A,#N/A,FALSE,"Reagent";#N/A,#N/A,FALSE,"Raritan";#N/A,#N/A,FALSE,"UK";#N/A,#N/A,FALSE,"Germany"}</definedName>
    <definedName name="dfasdf" hidden="1">{#N/A,#N/A,FALSE,"Consol.";#N/A,#N/A,FALSE,"EM";#N/A,#N/A,FALSE,"Reagent";#N/A,#N/A,FALSE,"Raritan";#N/A,#N/A,FALSE,"UK";#N/A,#N/A,FALSE,"Germany"}</definedName>
    <definedName name="dfasdfdasfd" hidden="1">{#N/A,#N/A,FALSE,"Consol.";#N/A,#N/A,FALSE,"EM";#N/A,#N/A,FALSE,"Reagent";#N/A,#N/A,FALSE,"Raritan";#N/A,#N/A,FALSE,"UK";#N/A,#N/A,FALSE,"Germany"}</definedName>
    <definedName name="dfdad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dsa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dsada" hidden="1">{#N/A,#N/A,FALSE,"Consol.";#N/A,#N/A,FALSE,"EM";#N/A,#N/A,FALSE,"Reagent";#N/A,#N/A,FALSE,"Raritan";#N/A,#N/A,FALSE,"UK";#N/A,#N/A,FALSE,"Germany"}</definedName>
    <definedName name="DSADAS" hidden="1">{#N/A,#N/A,FALSE,"Aging Summary";#N/A,#N/A,FALSE,"Ratio Analysis";#N/A,#N/A,FALSE,"Test 120 Day Accts";#N/A,#N/A,FALSE,"Tickmarks"}</definedName>
    <definedName name="dsdflkdslk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dsfa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dsfas" hidden="1">{#N/A,#N/A,FALSE,"Consol.";#N/A,#N/A,FALSE,"EM";#N/A,#N/A,FALSE,"Reagents";#N/A,#N/A,FALSE,"UK";#N/A,#N/A,FALSE,"Raritan";#N/A,#N/A,FALSE,"Germany"}</definedName>
    <definedName name="dsfasdf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dsfkjs" hidden="1">2</definedName>
    <definedName name="DVFSDAGHSDFH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ed" hidden="1">{#N/A,#N/A,FALSE,"Project Properties";#N/A,#N/A,FALSE,"Eng %";#N/A,#N/A,FALSE,"ENGFORM";#N/A,#N/A,FALSE,"staffing";#N/A,#N/A,FALSE,"spending"}</definedName>
    <definedName name="ee" hidden="1">{#N/A,#N/A,FALSE,"Summary";#N/A,#N/A,FALSE,"32100";#N/A,#N/A,FALSE,"32101";#N/A,#N/A,FALSE,"32140";#N/A,#N/A,FALSE,"32161";#N/A,#N/A,FALSE,"32202";#N/A,#N/A,FALSE,"32300";#N/A,#N/A,FALSE,"32400";#N/A,#N/A,FALSE,"32500";#N/A,#N/A,FALSE,"32600";#N/A,#N/A,FALSE,"32700";#N/A,#N/A,FALSE,"32800"}</definedName>
    <definedName name="er" hidden="1">{#N/A,#N/A,FALSE,"Project Properties";#N/A,#N/A,FALSE,"Eng %";#N/A,#N/A,FALSE,"ENGFORM";#N/A,#N/A,FALSE,"staffing";#N/A,#N/A,FALSE,"spending"}</definedName>
    <definedName name="eric" hidden="1">[13]EB2!#REF!</definedName>
    <definedName name="ESPeXToEUR" hidden="1">1/'[16]2012 FBP Allocation Grid'!EUReXToFRF</definedName>
    <definedName name="ET" hidden="1">{#N/A,#N/A,FALSE,"Inputs-Results"}</definedName>
    <definedName name="EUReXToATS" hidden="1">[18]Sheet1!$A$5</definedName>
    <definedName name="EUReXToBEF" hidden="1">[18]Sheet1!$A$6</definedName>
    <definedName name="EUReXToDEM" hidden="1">[18]Sheet1!$A$7</definedName>
    <definedName name="EUReXToESP" hidden="1">[18]Sheet1!$A$8</definedName>
    <definedName name="EUReXToFIM" hidden="1">[18]Sheet1!$A$9</definedName>
    <definedName name="EUReXToFRF" hidden="1">[18]Sheet1!$A$10</definedName>
    <definedName name="EUReXToIEP" hidden="1">[18]Sheet1!$A$11</definedName>
    <definedName name="EUReXToITL" hidden="1">[18]Sheet1!$A$12</definedName>
    <definedName name="EUReXToLUF" hidden="1">[18]Sheet1!$A$13</definedName>
    <definedName name="EUReXToNLG" hidden="1">[18]Sheet1!$A$14</definedName>
    <definedName name="EUReXToPTE" hidden="1">[18]Sheet1!$A$15</definedName>
    <definedName name="EV__LASTREFTIME__" hidden="1">40353.6242361111</definedName>
    <definedName name="ew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f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fasdfas" hidden="1">{#N/A,#N/A,FALSE,"Consol.";#N/A,#N/A,FALSE,"EM";#N/A,#N/A,FALSE,"Reagents";#N/A,#N/A,FALSE,"UK";#N/A,#N/A,FALSE,"Raritan";#N/A,#N/A,FALSE,"Germany"}</definedName>
    <definedName name="fdsf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fdsfasd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ff" hidden="1">{#N/A,#N/A,FALSE,"Summary";#N/A,#N/A,FALSE,"32100";#N/A,#N/A,FALSE,"32101";#N/A,#N/A,FALSE,"32140";#N/A,#N/A,FALSE,"32161";#N/A,#N/A,FALSE,"32202";#N/A,#N/A,FALSE,"32300";#N/A,#N/A,FALSE,"32400";#N/A,#N/A,FALSE,"32500";#N/A,#N/A,FALSE,"32600";#N/A,#N/A,FALSE,"32700";#N/A,#N/A,FALSE,"32800"}</definedName>
    <definedName name="fff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fffff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fill2" hidden="1">[19]EB2!#REF!</definedName>
    <definedName name="FIMeXToEUR" hidden="1">1/'[16]2012 FBP Allocation Grid'!EUReXToIEP</definedName>
    <definedName name="Fletes" hidden="1">{#N/A,#N/A,FALSE,"Aging Summary";#N/A,#N/A,FALSE,"Ratio Analysis";#N/A,#N/A,FALSE,"Test 120 Day Accts";#N/A,#N/A,FALSE,"Tickmarks"}</definedName>
    <definedName name="Fletes1" hidden="1">{#N/A,#N/A,FALSE,"Aging Summary";#N/A,#N/A,FALSE,"Ratio Analysis";#N/A,#N/A,FALSE,"Test 120 Day Accts";#N/A,#N/A,FALSE,"Tickmarks"}</definedName>
    <definedName name="Fletess" hidden="1">{#N/A,#N/A,FALSE,"Aging Summary";#N/A,#N/A,FALSE,"Ratio Analysis";#N/A,#N/A,FALSE,"Test 120 Day Accts";#N/A,#N/A,FALSE,"Tickmarks"}</definedName>
    <definedName name="FRFeXToEUR" hidden="1">1/'[16]2012 FBP Allocation Grid'!EUReXToITL</definedName>
    <definedName name="g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George" hidden="1">#REF!</definedName>
    <definedName name="gfbgf" hidden="1">{#N/A,#N/A,FALSE,"Consol.";#N/A,#N/A,FALSE,"EM";#N/A,#N/A,FALSE,"Reagent";#N/A,#N/A,FALSE,"Raritan";#N/A,#N/A,FALSE,"UK";#N/A,#N/A,FALSE,"Germany"}</definedName>
    <definedName name="gfdgdf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gfdgfdfgd" hidden="1">{#N/A,#N/A,FALSE,"Consol.";#N/A,#N/A,FALSE,"EM";#N/A,#N/A,FALSE,"Reagents";#N/A,#N/A,FALSE,"UK";#N/A,#N/A,FALSE,"Raritan";#N/A,#N/A,FALSE,"Germany"}</definedName>
    <definedName name="gfgdf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GFS" hidden="1">OFFSET([20]GFSRetrieveSource!$E$8,0,0,COUNTA([20]GFSRetrieveSource!$Q:$Q),24)</definedName>
    <definedName name="ggg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ggggg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grph" hidden="1">#REF!</definedName>
    <definedName name="HCWaterfall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headcot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helppp" hidden="1">{#N/A,#N/A,FALSE,"Consol.";#N/A,#N/A,FALSE,"EM";#N/A,#N/A,FALSE,"Reagent";#N/A,#N/A,FALSE,"Raritan";#N/A,#N/A,FALSE,"UK";#N/A,#N/A,FALSE,"Germany"}</definedName>
    <definedName name="hfh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hhh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hola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IEPeXToEUR" hidden="1">1/'[16]2012 FBP Allocation Grid'!EUReXToLUF</definedName>
    <definedName name="ii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iii" hidden="1">{#N/A,#N/A,FALSE,"Consol.";#N/A,#N/A,FALSE,"EM";#N/A,#N/A,FALSE,"Reagent";#N/A,#N/A,FALSE,"Raritan";#N/A,#N/A,FALSE,"UK";#N/A,#N/A,FALSE,"Germany"}</definedName>
    <definedName name="ijijiji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ijuiihj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ik" hidden="1">{#N/A,#N/A,FALSE,"Project Properties";#N/A,#N/A,FALSE,"Eng %";#N/A,#N/A,FALSE,"ENGFORM";#N/A,#N/A,FALSE,"staffing";#N/A,#N/A,FALSE,"spending"}</definedName>
    <definedName name="indirect" hidden="1">'[21]1996'!#REF!</definedName>
    <definedName name="Intro" hidden="1">#REF!</definedName>
    <definedName name="IntroPrintArea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GROWTH_1" hidden="1">"c157"</definedName>
    <definedName name="IQ_EBIT_GROWTH_2" hidden="1">"c161"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GROWTH_1" hidden="1">"c156"</definedName>
    <definedName name="IQ_EBITDA_GROWTH_2" hidden="1">"c160"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"c189"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" hidden="1">"c225"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39878.427349537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FLOAT" hidden="1">"c227"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"c1126"</definedName>
    <definedName name="IQ_REVENUE_EST_1" hidden="1">"c190"</definedName>
    <definedName name="IQ_REVENUE_GROWTH_1" hidden="1">"c155"</definedName>
    <definedName name="IQ_REVENUE_GROWTH_2" hidden="1">"c159"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38960.3653587963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MP" hidden="1">"c1204"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LASTCLOSE" hidden="1">"c1855"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TLeXToEUR" hidden="1">1/'[16]2012 FBP Allocation Grid'!EUReXToNLG</definedName>
    <definedName name="J" hidden="1">{#N/A,#N/A,FALSE,"BUDGET"}</definedName>
    <definedName name="J95CF" hidden="1">{#N/A,#N/A,FALSE,"BUDGET"}</definedName>
    <definedName name="jd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JIM" hidden="1">{#N/A,#N/A,FALSE,"BUDGET"}</definedName>
    <definedName name="JIMJIMJIM" hidden="1">{#N/A,#N/A,FALSE,"3";#N/A,#N/A,FALSE,"4"}</definedName>
    <definedName name="jimm" hidden="1">{#N/A,#N/A,FALSE,"BUDGET"}</definedName>
    <definedName name="JJJJ" hidden="1">{#N/A,#N/A,FALSE,"3";#N/A,#N/A,FALSE,"4"}</definedName>
    <definedName name="jjjjj" hidden="1">{#N/A,#N/A,FALSE,"Consol.";#N/A,#N/A,FALSE,"EM";#N/A,#N/A,FALSE,"Reagent";#N/A,#N/A,FALSE,"Raritan";#N/A,#N/A,FALSE,"UK";#N/A,#N/A,FALSE,"Germany"}</definedName>
    <definedName name="jkjk" hidden="1">{#N/A,#N/A,FALSE,"Consol.";#N/A,#N/A,FALSE,"EM";#N/A,#N/A,FALSE,"Reagent";#N/A,#N/A,FALSE,"Raritan";#N/A,#N/A,FALSE,"UK";#N/A,#N/A,FALSE,"Germany"}</definedName>
    <definedName name="jkjkjkj" hidden="1">{#N/A,#N/A,FALSE,"Consol.";#N/A,#N/A,FALSE,"EM";#N/A,#N/A,FALSE,"Reagent";#N/A,#N/A,FALSE,"Raritan";#N/A,#N/A,FALSE,"UK";#N/A,#N/A,FALSE,"Germany"}</definedName>
    <definedName name="jkjxlkjslknja" hidden="1">{#N/A,#N/A,FALSE,"Consol.";#N/A,#N/A,FALSE,"EM";#N/A,#N/A,FALSE,"Reagent";#N/A,#N/A,FALSE,"Raritan";#N/A,#N/A,FALSE,"UK";#N/A,#N/A,FALSE,"Germany"}</definedName>
    <definedName name="juddxs" hidden="1">{#N/A,#N/A,FALSE,"IM";#N/A,#N/A,FALSE,"HR";#N/A,#N/A,FALSE,"FIN";#N/A,#N/A,FALSE,"OA";#N/A,#N/A,FALSE,"Total"}</definedName>
    <definedName name="k" hidden="1">'[15]Volume Analysis'!#REF!</definedName>
    <definedName name="kash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khf" hidden="1">{#N/A,#N/A,FALSE,"Inputs-Results"}</definedName>
    <definedName name="kkkkk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l" hidden="1">{#N/A,#N/A,FALSE,"Consol.";#N/A,#N/A,FALSE,"EM";#N/A,#N/A,FALSE,"Reagents";#N/A,#N/A,FALSE,"UK";#N/A,#N/A,FALSE,"Raritan";#N/A,#N/A,FALSE,"Germany"}</definedName>
    <definedName name="Latest" hidden="1">[22]EB2!#REF!</definedName>
    <definedName name="lesc" hidden="1">{#N/A,#N/A,FALSE,"Grevenbroich"}</definedName>
    <definedName name="limcount" hidden="1">1</definedName>
    <definedName name="lisa" hidden="1">{#N/A,#N/A,FALSE,"Consol.";#N/A,#N/A,FALSE,"EM";#N/A,#N/A,FALSE,"Reagent";#N/A,#N/A,FALSE,"Raritan";#N/A,#N/A,FALSE,"UK";#N/A,#N/A,FALSE,"Germany"}</definedName>
    <definedName name="lisa1" hidden="1">{#N/A,#N/A,FALSE,"Consol.";#N/A,#N/A,FALSE,"EM";#N/A,#N/A,FALSE,"Reagent";#N/A,#N/A,FALSE,"Raritan";#N/A,#N/A,FALSE,"UK";#N/A,#N/A,FALSE,"Germany"}</definedName>
    <definedName name="lisa2" hidden="1">{#N/A,#N/A,FALSE,"Consol.";#N/A,#N/A,FALSE,"EM";#N/A,#N/A,FALSE,"Reagent";#N/A,#N/A,FALSE,"Raritan";#N/A,#N/A,FALSE,"UK";#N/A,#N/A,FALSE,"Germany"}</definedName>
    <definedName name="List" hidden="1">#REF!</definedName>
    <definedName name="ListOffset" hidden="1">1</definedName>
    <definedName name="lllll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LUFeXToEUR" hidden="1">1/'[16]2012 FBP Allocation Grid'!EUReXToPTE</definedName>
    <definedName name="lynn" hidden="1">{#N/A,#N/A,FALSE,"Consol.";#N/A,#N/A,FALSE,"EM";#N/A,#N/A,FALSE,"Reagent";#N/A,#N/A,FALSE,"Raritan";#N/A,#N/A,FALSE,"UK";#N/A,#N/A,FALSE,"Germany"}</definedName>
    <definedName name="M_PlaceofPath" hidden="1">"F:\MREGAN\win\EXL\CO\HVAC\UTX\utx_vdf.xls"</definedName>
    <definedName name="material" hidden="1">{#N/A,#N/A,FALSE,"Consol.";#N/A,#N/A,FALSE,"EM";#N/A,#N/A,FALSE,"Reagents";#N/A,#N/A,FALSE,"UK";#N/A,#N/A,FALSE,"Raritan";#N/A,#N/A,FALSE,"Germany"}</definedName>
    <definedName name="MCA" hidden="1">{#N/A,#N/A,FALSE,"Inputs-Results"}</definedName>
    <definedName name="mhelllll" hidden="1">{#N/A,#N/A,FALSE,"Consol.";#N/A,#N/A,FALSE,"EM";#N/A,#N/A,FALSE,"Reagents";#N/A,#N/A,FALSE,"UK";#N/A,#N/A,FALSE,"Raritan";#N/A,#N/A,FALSE,"Germany"}</definedName>
    <definedName name="mlo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mm" hidden="1">{#N/A,#N/A,FALSE,"Consol.";#N/A,#N/A,FALSE,"EM";#N/A,#N/A,FALSE,"Reagents";#N/A,#N/A,FALSE,"UK";#N/A,#N/A,FALSE,"Raritan";#N/A,#N/A,FALSE,"Germany"}</definedName>
    <definedName name="mmmm" hidden="1">1/'[16]2012 FBP Allocation Grid'!ew</definedName>
    <definedName name="mmmmm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mmmmmm" hidden="1">{#N/A,#N/A,FALSE,"Consol.";#N/A,#N/A,FALSE,"EM";#N/A,#N/A,FALSE,"Reagent";#N/A,#N/A,FALSE,"Raritan";#N/A,#N/A,FALSE,"UK";#N/A,#N/A,FALSE,"Germany"}</definedName>
    <definedName name="New_Order1" hidden="1">0</definedName>
    <definedName name="NLGeXToEUR" hidden="1">1/[16]!EVP</definedName>
    <definedName name="nnnn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nnnnn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nnnnnnnn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NOV" hidden="1">{#N/A,#N/A,FALSE,"BUDGET"}</definedName>
    <definedName name="o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ok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okiokilokjokj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ooo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ooooo" hidden="1">{#N/A,#N/A,FALSE,"Consol.";#N/A,#N/A,FALSE,"EM";#N/A,#N/A,FALSE,"Reagents";#N/A,#N/A,FALSE,"UK";#N/A,#N/A,FALSE,"Raritan";#N/A,#N/A,FALSE,"Germany"}</definedName>
    <definedName name="OS" hidden="1">{#N/A,#N/A,FALSE,"IM";#N/A,#N/A,FALSE,"HR";#N/A,#N/A,FALSE,"FIN";#N/A,#N/A,FALSE,"OA";#N/A,#N/A,FALSE,"Total"}</definedName>
    <definedName name="Output_graph1" hidden="1">'[2]6 TRS'!#REF!</definedName>
    <definedName name="output_graph2" hidden="1">'[2]6 TRS'!#REF!</definedName>
    <definedName name="output_graph3" hidden="1">'[2]6 TRS'!#REF!</definedName>
    <definedName name="output_praph4" hidden="1">'[2]6 TRS'!$F$9:$F$9</definedName>
    <definedName name="p" hidden="1">{#N/A,#N/A,FALSE,"BUDGET"}</definedName>
    <definedName name="pf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Plainfield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Po" hidden="1">{#N/A,#N/A,FALSE,"IM";#N/A,#N/A,FALSE,"HR";#N/A,#N/A,FALSE,"FIN";#N/A,#N/A,FALSE,"OA";#N/A,#N/A,FALSE,"Total"}</definedName>
    <definedName name="ppp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ppppp" hidden="1">{#N/A,#N/A,FALSE,"Consol.";#N/A,#N/A,FALSE,"EM";#N/A,#N/A,FALSE,"Reagent";#N/A,#N/A,FALSE,"Raritan";#N/A,#N/A,FALSE,"UK";#N/A,#N/A,FALSE,"Germany"}</definedName>
    <definedName name="PTEeXToEUR" hidden="1">1/'[16]2012 FBP Allocation Grid'!ew</definedName>
    <definedName name="q" hidden="1">{#N/A,#N/A,FALSE,"Inputs-Results"}</definedName>
    <definedName name="qq" hidden="1">{#N/A,#N/A,FALSE,"Consol.";#N/A,#N/A,FALSE,"EM";#N/A,#N/A,FALSE,"Reagents";#N/A,#N/A,FALSE,"UK";#N/A,#N/A,FALSE,"Raritan";#N/A,#N/A,FALSE,"Germany"}</definedName>
    <definedName name="qqa" hidden="1">{#N/A,#N/A,FALSE,"Consol.";#N/A,#N/A,FALSE,"EM";#N/A,#N/A,FALSE,"Reagent";#N/A,#N/A,FALSE,"Raritan";#N/A,#N/A,FALSE,"UK";#N/A,#N/A,FALSE,"Germany"}</definedName>
    <definedName name="qqq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qqqq" hidden="1">{#N/A,#N/A,FALSE,"Consol.";#N/A,#N/A,FALSE,"EM";#N/A,#N/A,FALSE,"Reagent";#N/A,#N/A,FALSE,"Raritan";#N/A,#N/A,FALSE,"UK";#N/A,#N/A,FALSE,"Germany"}</definedName>
    <definedName name="qqqqq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qw" hidden="1">{#N/A,#N/A,FALSE,"Project Properties";#N/A,#N/A,FALSE,"Eng %";#N/A,#N/A,FALSE,"ENGFORM";#N/A,#N/A,FALSE,"staffing";#N/A,#N/A,FALSE,"spending"}</definedName>
    <definedName name="Reagents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rf" hidden="1">{#N/A,#N/A,FALSE,"Project Properties";#N/A,#N/A,FALSE,"Eng %";#N/A,#N/A,FALSE,"ENGFORM";#N/A,#N/A,FALSE,"staffing";#N/A,#N/A,FALSE,"spending"}</definedName>
    <definedName name="rrrrrr" hidden="1">{#N/A,#N/A,FALSE,"Consol.";#N/A,#N/A,FALSE,"EM";#N/A,#N/A,FALSE,"Reagent";#N/A,#N/A,FALSE,"Raritan";#N/A,#N/A,FALSE,"UK";#N/A,#N/A,FALSE,"Germany"}</definedName>
    <definedName name="rty" hidden="1">{#N/A,#N/A,FALSE,"Project Properties";#N/A,#N/A,FALSE,"Eng %";#N/A,#N/A,FALSE,"ENGFORM";#N/A,#N/A,FALSE,"staffing";#N/A,#N/A,FALSE,"spending"}</definedName>
    <definedName name="s" hidden="1">{#N/A,#N/A,FALSE,"Consol.";#N/A,#N/A,FALSE,"EM";#N/A,#N/A,FALSE,"Reagent";#N/A,#N/A,FALSE,"Raritan";#N/A,#N/A,FALSE,"UK";#N/A,#N/A,FALSE,"Germany"}</definedName>
    <definedName name="SADDSA" hidden="1">{#N/A,#N/A,FALSE,"Aging Summary";#N/A,#N/A,FALSE,"Ratio Analysis";#N/A,#N/A,FALSE,"Test 120 Day Accts";#N/A,#N/A,FALSE,"Tickmarks"}</definedName>
    <definedName name="SADSA" hidden="1">{#N/A,#N/A,FALSE,"Aging Summary";#N/A,#N/A,FALSE,"Ratio Analysis";#N/A,#N/A,FALSE,"Test 120 Day Accts";#N/A,#N/A,FALSE,"Tickmarks"}</definedName>
    <definedName name="sajsw" hidden="1">{#N/A,#N/A,FALSE,"IM";#N/A,#N/A,FALSE,"HR";#N/A,#N/A,FALSE,"FIN";#N/A,#N/A,FALSE,"OA";#N/A,#N/A,FALSE,"Total"}</definedName>
    <definedName name="SAPBEXdnldView" hidden="1">"AJAK8YLC1L0642CTV23PJZBP6"</definedName>
    <definedName name="SAPBEXhrIndnt" hidden="1">"Wide"</definedName>
    <definedName name="SAPBEXrevision" hidden="1">1</definedName>
    <definedName name="SAPBEXsysID" hidden="1">"DP5"</definedName>
    <definedName name="SAPBEXwbID" hidden="1">"115Q600HJGQERA7A1LH64GYRN"</definedName>
    <definedName name="SAPsysID" hidden="1">"708C5W7SBKP804JT78WJ0JNKI"</definedName>
    <definedName name="SAPwbID" hidden="1">"ARS"</definedName>
    <definedName name="SASS" hidden="1">{#N/A,#N/A,FALSE,"Aging Summary";#N/A,#N/A,FALSE,"Ratio Analysis";#N/A,#N/A,FALSE,"Test 120 Day Accts";#N/A,#N/A,FALSE,"Tickmarks"}</definedName>
    <definedName name="SDDSA" hidden="1">{#N/A,#N/A,FALSE,"Aging Summary";#N/A,#N/A,FALSE,"Ratio Analysis";#N/A,#N/A,FALSE,"Test 120 Day Accts";#N/A,#N/A,FALSE,"Tickmarks"}</definedName>
    <definedName name="sdfasdfds" hidden="1">{#N/A,#N/A,FALSE,"Consol.";#N/A,#N/A,FALSE,"EM";#N/A,#N/A,FALSE,"Reagents";#N/A,#N/A,FALSE,"UK";#N/A,#N/A,FALSE,"Raritan";#N/A,#N/A,FALSE,"Germany"}</definedName>
    <definedName name="sdgds" hidden="1">{#N/A,#N/A,FALSE,"Consol.";#N/A,#N/A,FALSE,"EM";#N/A,#N/A,FALSE,"Reagent";#N/A,#N/A,FALSE,"Raritan";#N/A,#N/A,FALSE,"UK";#N/A,#N/A,FALSE,"Germany"}</definedName>
    <definedName name="sds" hidden="1">{#N/A,#N/A,FALSE,"Consol.";#N/A,#N/A,FALSE,"EM";#N/A,#N/A,FALSE,"Reagent";#N/A,#N/A,FALSE,"Raritan";#N/A,#N/A,FALSE,"UK";#N/A,#N/A,FALSE,"Germany"}</definedName>
    <definedName name="sec" hidden="1">{#N/A,#N/A,FALSE,"Consol.";#N/A,#N/A,FALSE,"EM";#N/A,#N/A,FALSE,"Reagent";#N/A,#N/A,FALSE,"Raritan";#N/A,#N/A,FALSE,"UK";#N/A,#N/A,FALSE,"Germany"}</definedName>
    <definedName name="seg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sencount" hidden="1">1</definedName>
    <definedName name="sfd" hidden="1">{#N/A,#N/A,FALSE,"Consol.";#N/A,#N/A,FALSE,"EM";#N/A,#N/A,FALSE,"Reagent";#N/A,#N/A,FALSE,"Raritan";#N/A,#N/A,FALSE,"UK";#N/A,#N/A,FALSE,"Germany"}</definedName>
    <definedName name="sheet" hidden="1">{#N/A,#N/A,FALSE,"Summary";#N/A,#N/A,FALSE,"Detail 1";#N/A,#N/A,FALSE,"Detail 2";#N/A,#N/A,FALSE,"Act Spend"}</definedName>
    <definedName name="SORTED" hidden="1">[13]EB2!#REF!</definedName>
    <definedName name="SSASA" hidden="1">{#N/A,#N/A,FALSE,"Aging Summary";#N/A,#N/A,FALSE,"Ratio Analysis";#N/A,#N/A,FALSE,"Test 120 Day Accts";#N/A,#N/A,FALSE,"Tickmarks"}</definedName>
    <definedName name="sss" hidden="1">{#N/A,#N/A,FALSE,"Consolidated Financials";#N/A,#N/A,FALSE,"US Mkt";#N/A,#N/A,FALSE,"Eur Mkt"}</definedName>
    <definedName name="sssss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SUM" hidden="1">{#N/A,#N/A,FALSE,"IM";#N/A,#N/A,FALSE,"HR";#N/A,#N/A,FALSE,"FIN";#N/A,#N/A,FALSE,"OA";#N/A,#N/A,FALSE,"Total"}</definedName>
    <definedName name="t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tato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TEST" hidden="1">{#N/A,#N/A,FALSE,"Inputs-Results"}</definedName>
    <definedName name="TEST1" hidden="1">{#N/A,#N/A,FALSE,"Consolidated Financials";#N/A,#N/A,FALSE,"US Mkt";#N/A,#N/A,FALSE,"Eur Mkt"}</definedName>
    <definedName name="TextRefCopyRangeCount" hidden="1">26</definedName>
    <definedName name="tha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that" hidden="1">{#N/A,#N/A,FALSE,"Consol.";#N/A,#N/A,FALSE,"EM";#N/A,#N/A,FALSE,"Reagent";#N/A,#N/A,FALSE,"Raritan";#N/A,#N/A,FALSE,"UK";#N/A,#N/A,FALSE,"Germany"}</definedName>
    <definedName name="this" hidden="1">{#N/A,#N/A,FALSE,"Consol.";#N/A,#N/A,FALSE,"EM";#N/A,#N/A,FALSE,"Reagent";#N/A,#N/A,FALSE,"Raritan";#N/A,#N/A,FALSE,"UK";#N/A,#N/A,FALSE,"Germany"}</definedName>
    <definedName name="tico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ttttt" hidden="1">{#N/A,#N/A,FALSE,"Consol.";#N/A,#N/A,FALSE,"EM";#N/A,#N/A,FALSE,"Reagent";#N/A,#N/A,FALSE,"Raritan";#N/A,#N/A,FALSE,"UK";#N/A,#N/A,FALSE,"Germany"}</definedName>
    <definedName name="tttttttttttttttttt" hidden="1">{#N/A,#N/A,FALSE,"Consol.";#N/A,#N/A,FALSE,"EM";#N/A,#N/A,FALSE,"Reagent";#N/A,#N/A,FALSE,"Raritan";#N/A,#N/A,FALSE,"UK";#N/A,#N/A,FALSE,"Germany"}</definedName>
    <definedName name="tyrtyr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u" hidden="1">{#N/A,#N/A,FALSE,"Consol.";#N/A,#N/A,FALSE,"EM";#N/A,#N/A,FALSE,"Reagent";#N/A,#N/A,FALSE,"Raritan";#N/A,#N/A,FALSE,"UK";#N/A,#N/A,FALSE,"Germany"}</definedName>
    <definedName name="ueirouar" hidden="1">[4]Sheet3!#REF!</definedName>
    <definedName name="uh" hidden="1">#REF!</definedName>
    <definedName name="uj" hidden="1">{#N/A,#N/A,FALSE,"Project Properties";#N/A,#N/A,FALSE,"Eng %";#N/A,#N/A,FALSE,"ENGFORM";#N/A,#N/A,FALSE,"staffing";#N/A,#N/A,FALSE,"spending"}</definedName>
    <definedName name="Upside" hidden="1">'[15]Volume Analysis'!#REF!</definedName>
    <definedName name="UT" hidden="1">{#N/A,#N/A,FALSE,"Inputs-Results"}</definedName>
    <definedName name="uuuuu" hidden="1">{#N/A,#N/A,FALSE,"Consol.";#N/A,#N/A,FALSE,"EM";#N/A,#N/A,FALSE,"Reagents";#N/A,#N/A,FALSE,"UK";#N/A,#N/A,FALSE,"Raritan";#N/A,#N/A,FALSE,"Germany"}</definedName>
    <definedName name="v" hidden="1">{#N/A,#N/A,FALSE,"Project Properties";#N/A,#N/A,FALSE,"Eng %";#N/A,#N/A,FALSE,"ENGFORM";#N/A,#N/A,FALSE,"staffing";#N/A,#N/A,FALSE,"spending"}</definedName>
    <definedName name="volumes" hidden="1">{#N/A,#N/A,FALSE,"Consol.";#N/A,#N/A,FALSE,"EM";#N/A,#N/A,FALSE,"Reagents";#N/A,#N/A,FALSE,"UK";#N/A,#N/A,FALSE,"Raritan";#N/A,#N/A,FALSE,"Germany"}</definedName>
    <definedName name="vv" hidden="1">{#N/A,#N/A,FALSE,"Consol.";#N/A,#N/A,FALSE,"EM";#N/A,#N/A,FALSE,"Reagent";#N/A,#N/A,FALSE,"Raritan";#N/A,#N/A,FALSE,"UK";#N/A,#N/A,FALSE,"Germany"}</definedName>
    <definedName name="vvvv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vvvvvvvv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w" hidden="1">{#N/A,#N/A,FALSE,"Project Properties";#N/A,#N/A,FALSE,"Eng %";#N/A,#N/A,FALSE,"ENGFORM";#N/A,#N/A,FALSE,"staffing";#N/A,#N/A,FALSE,"spending"}</definedName>
    <definedName name="WB_B003401A.412B.484D.AC81.7276D5F1A41B" hidden="1">"InfoPro"</definedName>
    <definedName name="werqwer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work" hidden="1">{#N/A,#N/A,FALSE,"Consol.";#N/A,#N/A,FALSE,"EM";#N/A,#N/A,FALSE,"Reagents";#N/A,#N/A,FALSE,"UK";#N/A,#N/A,FALSE,"Raritan";#N/A,#N/A,FALSE,"Germany"}</definedName>
    <definedName name="working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wrn.1998._.Plan." hidden="1">{#N/A,#N/A,TRUE,"Market 5 Year Plan";#N/A,#N/A,TRUE,"Market";#N/A,#N/A,TRUE,"Plan Summ";#N/A,#N/A,TRUE,"Hosp vs AltSite";#N/A,#N/A,TRUE,"Series Summary 98 Plan";#N/A,#N/A,TRUE,"Ndlss"}</definedName>
    <definedName name="wrn.Admin" hidden="1">{#N/A,#N/A,FALSE,"IM";#N/A,#N/A,FALSE,"HR";#N/A,#N/A,FALSE,"FIN";#N/A,#N/A,FALSE,"OA";#N/A,#N/A,FALSE,"Total"}</definedName>
    <definedName name="wrn.Admin._.Sum." hidden="1">{#N/A,#N/A,FALSE,"IM";#N/A,#N/A,FALSE,"HR";#N/A,#N/A,FALSE,"FIN";#N/A,#N/A,FALSE,"OA";#N/A,#N/A,FALSE,"Total"}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{#N/A,#N/A,FALSE,"Inputs-Results"}</definedName>
    <definedName name="wrn.autoproj." hidden="1">{#N/A,#N/A,FALSE,"Project Properties";#N/A,#N/A,FALSE,"Eng %";#N/A,#N/A,FALSE,"ENGFORM";#N/A,#N/A,FALSE,"staffing";#N/A,#N/A,FALSE,"spending"}</definedName>
    <definedName name="wrn.Ballymoney." hidden="1">{#N/A,#N/A,TRUE,"Ballymoney"}</definedName>
    <definedName name="wrn.BP._.Change." hidden="1">{#N/A,#N/A,FALSE,"BP change";#N/A,#N/A,FALSE,"trg red"}</definedName>
    <definedName name="wrn.Budget." hidden="1">{#N/A,#N/A,FALSE,"Instructions";#N/A,#N/A,FALSE,"Front Cover";#N/A,#N/A,FALSE,"Overview";#N/A,#N/A,FALSE,"Commentary";#N/A,#N/A,FALSE,"Volumes";#N/A,#N/A,FALSE,"Fixed OH Recovery";#N/A,#N/A,FALSE,"Summary";#N/A,#N/A,FALSE,"Summary (USD)";#N/A,#N/A,FALSE,"PPV";#N/A,#N/A,FALSE,"Material";#N/A,#N/A,FALSE,"Direct Labour";#N/A,#N/A,FALSE,"Wage Rate Var";#N/A,#N/A,FALSE,"Var Overhead";#N/A,#N/A,FALSE,"Expense(VO)";#N/A,#N/A,FALSE,"Fixed Overhead";#N/A,#N/A,FALSE,"Expense (FO)";#N/A,#N/A,FALSE,"Capital";#N/A,#N/A,FALSE,"Other Plant Costs";#N/A,#N/A,FALSE,"Cost Red'n L.C.";#N/A,#N/A,FALSE,"Cost Red'n US$";#N/A,#N/A,FALSE,"Headcount";#N/A,#N/A,FALSE,"Mfg. Cost Change";#N/A,#N/A,FALSE,"Cost Change"}</definedName>
    <definedName name="wrn.Camp." hidden="1">{#N/A,#N/A,FALSE,"Camp"}</definedName>
    <definedName name="wrn.Capacity._.Analysis._.on._.the._.Tables." hidden="1">{#N/A,#N/A,TRUE,"Model"}</definedName>
    <definedName name="wrn.CAR._.IN." hidden="1">{#N/A,#N/A,FALSE,"CAR NI";"MILEAGE1",#N/A,FALSE,"MILEAGE";#N/A,#N/A,FALSE,"MILEAGE"}</definedName>
    <definedName name="wrn.CASH._.FLOW._.BUDGET." hidden="1">{#N/A,#N/A,FALSE,"BUDGET"}</definedName>
    <definedName name="wrn.CFR." hidden="1">{#N/A,#N/A,FALSE,"Op_Stmt";#N/A,#N/A,FALSE,"Consol_Op_Stmt";#N/A,#N/A,FALSE,"rev_summ";#N/A,#N/A,FALSE,"Unit_Summ";#N/A,#N/A,FALSE,"EBIT_summ";#N/A,#N/A,FALSE,"RONA_NetAssets"}</definedName>
    <definedName name="wrn.COLIN._.SALES." hidden="1">{#N/A,#N/A,FALSE,"3";#N/A,#N/A,FALSE,"4"}</definedName>
    <definedName name="wrn.Consolinv." hidden="1">{#N/A,#N/A,FALSE,"Consol.";#N/A,#N/A,FALSE,"EM";#N/A,#N/A,FALSE,"Reagents";#N/A,#N/A,FALSE,"UK";#N/A,#N/A,FALSE,"Raritan";#N/A,#N/A,FALSE,"Germany"}</definedName>
    <definedName name="wrn.consollab." hidden="1">{#N/A,#N/A,FALSE,"Consol.";#N/A,#N/A,FALSE,"EM";#N/A,#N/A,FALSE,"Reagent";#N/A,#N/A,FALSE,"Raritan";#N/A,#N/A,FALSE,"UK";#N/A,#N/A,FALSE,"Germany"}</definedName>
    <definedName name="wrn.Driver." hidden="1">{#N/A,#N/A,FALSE,"Order YTD";#N/A,#N/A,FALSE,"Inquiry";#N/A,#N/A,FALSE,"Space";#N/A,#N/A,FALSE,"Move YTD";#N/A,#N/A,FALSE,"Transport";#N/A,#N/A,FALSE,"Cost Claim&amp;Collect";#N/A,#N/A,FALSE,"EUS, Bill, Rebate";#N/A,#N/A,FALSE,"Contact";#N/A,#N/A,FALSE,"Sales";#N/A,#N/A,FALSE,"Govt Oper";#N/A,#N/A,FALSE,"Corp Part";#N/A,#N/A,FALSE,"MIC"}</definedName>
    <definedName name="wrn.EOM._.Package.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wrn.FSLN." hidden="1">{#N/A,#N/A,FALSE,"FSLN By Segment";#N/A,#N/A,FALSE,"FSLN By OC"}</definedName>
    <definedName name="wrn.Gosport." hidden="1">{#N/A,#N/A,FALSE,"Gosport"}</definedName>
    <definedName name="wrn.Grainger." hidden="1">{"Income Statement",#N/A,FALSE,"Annual";"Balance Sheet",#N/A,FALSE,"Annual";"Cash Flow Statement",#N/A,FALSE,"Annual";"ROIC",#N/A,FALSE,"Annual"}</definedName>
    <definedName name="wrn.Grenoble." hidden="1">{#N/A,#N/A,FALSE,"Grenoble"}</definedName>
    <definedName name="wrn.Grevenbroich." hidden="1">{#N/A,#N/A,FALSE,"Grevenbroich"}</definedName>
    <definedName name="wrn.Halberstadt." hidden="1">{#N/A,#N/A,FALSE,"Halberstadt"}</definedName>
    <definedName name="wrn.headcount.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wrn.IMPROVED." hidden="1">{"gRP1",#N/A,FALSE,"GRP R&amp;D";"gRP2",#N/A,FALSE,"GRP R&amp;D"}</definedName>
    <definedName name="wrn.JJNPPC." hidden="1">{#N/A,#N/A,TRUE,"COVER.XLS";#N/A,#N/A,TRUE,"SUMNPPC.XLS";#N/A,#N/A,TRUE,"AUSPRJ.XLS";#N/A,#N/A,TRUE,"BLGPRJ.XLS";#N/A,#N/A,TRUE,"BRAPRJ.XLS";#N/A,#N/A,TRUE,"CDNPRJ.XLS";#N/A,#N/A,TRUE,"FRAPRJ.XLS";#N/A,#N/A,TRUE,"GRMPRJ.XLS";#N/A,#N/A,TRUE,"ITAPRJ.XLS";#N/A,#N/A,TRUE,"JAPPRJ.XLS";#N/A,#N/A,TRUE,"MEXPRJ.XLS";#N/A,#N/A,TRUE,"NTHPRJ.XLS";#N/A,#N/A,TRUE,"SAFPRJ.XLS";#N/A,#N/A,TRUE,"SWZPRJ.XLS";#N/A,#N/A,TRUE,"UK-PRJ.XLS"}</definedName>
    <definedName name="wrn.JU._.2003." hidden="1">{#N/A,#N/A,FALSE,"JU 03 Highlights";#N/A,#N/A,FALSE,"03 JU vs 03 MU";#N/A,#N/A,FALSE,"03JU v 03MU Comments";#N/A,#N/A,FALSE,"JU 2004 Key Issues";#N/A,#N/A,FALSE,"04JUvs03JU";#N/A,#N/A,FALSE,"JU 2004 Gr Spend";#N/A,#N/A,FALSE,"Headcount";#N/A,#N/A,FALSE,"00ACT-03 Conversions";#N/A,#N/A,FALSE,"02ACT-03 Conversions";#N/A,#N/A,FALSE,"Capital"}</definedName>
    <definedName name="wrn.June._.Draft2._.bk" hidden="1">{#N/A,#N/A,FALSE,"Trading Trends";#N/A,#N/A,FALSE,"Act vs Flash Statement";#N/A,#N/A,FALSE,"SST Ex HPC";#N/A,#N/A,FALSE,"SST HPC Only";#N/A,#N/A,FALSE,"SST SF Only";#N/A,#N/A,FALSE,"SST TOTAL";#N/A,#N/A,FALSE,"Fcst UBFLA Only";#N/A,#N/A,FALSE,"Fcst HPC";#N/A,#N/A,FALSE,"Fcst Slim Fast";#N/A,#N/A,FALSE,"Fcst UBFLA w HPC &amp; SL Fast";#N/A,#N/A,FALSE,"P&amp;L Country Matrix";#N/A,#N/A,FALSE,"UVG";#N/A,#N/A,FALSE,"Price Growth";#N/A,#N/A,FALSE,"UBFLA TC";#N/A,#N/A,FALSE,"BRA TC";#N/A,#N/A,FALSE,"RP TC";#N/A,#N/A,FALSE,"MEX TC";#N/A,#N/A,FALSE,"CHI TC";#N/A,#N/A,FALSE,"NO AND TC";#N/A,#N/A,FALSE,"SO AND TC";#N/A,#N/A,FALSE,"CAM TC";#N/A,#N/A,FALSE,"CAR TC";#N/A,#N/A,FALSE,"Total UBLA OCF";#N/A,#N/A,FALSE,"BRAZIL  OCF";#N/A,#N/A,FALSE,"RP OCF";#N/A,#N/A,FALSE,"MEXICO OCF";#N/A,#N/A,FALSE,"CHILE OCF";#N/A,#N/A,FALSE,"NO ANDINA OCF";#N/A,#N/A,FALSE,"SO AND  OCF";#N/A,#N/A,FALSE,"CENTRAL AM OCF";#N/A,#N/A,FALSE,"CARIBBEAN  OCF";#N/A,#N/A,FALSE,"NPS Variance";#N/A,#N/A,FALSE,"Culinary Brkdwn";#N/A,#N/A,FALSE,"Breakdown Graphs";#N/A,#N/A,FALSE,"Breakdown Graphs (2)"}</definedName>
    <definedName name="wrn.Labor._.Overhead." hidden="1">{#N/A,#N/A,FALSE,"Consol.";#N/A,#N/A,FALSE,"EM";#N/A,#N/A,FALSE,"Reagent";#N/A,#N/A,FALSE,"Raritan";#N/A,#N/A,FALSE,"UK";#N/A,#N/A,FALSE,"Germany"}</definedName>
    <definedName name="wrn.Lille." hidden="1">{#N/A,#N/A,FALSE,"Lille"}</definedName>
    <definedName name="wrn.Materials._.Labor._.Overhead.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wrn.MEpkg." hidden="1">{#N/A,#N/A,FALSE,"Summary";#N/A,#N/A,FALSE,"32100";#N/A,#N/A,FALSE,"32101";#N/A,#N/A,FALSE,"32140";#N/A,#N/A,FALSE,"32161";#N/A,#N/A,FALSE,"32202";#N/A,#N/A,FALSE,"32300";#N/A,#N/A,FALSE,"32400";#N/A,#N/A,FALSE,"32500";#N/A,#N/A,FALSE,"32600";#N/A,#N/A,FALSE,"32700";#N/A,#N/A,FALSE,"32800"}</definedName>
    <definedName name="wrn.Neustadt." hidden="1">{#N/A,#N/A,FALSE,"Neustadt"}</definedName>
    <definedName name="wrn.Pentair." hidden="1">{#N/A,#N/A,FALSE,"IS";#N/A,#N/A,FALSE,"FF";#N/A,#N/A,FALSE,"BS";#N/A,#N/A,FALSE,"DCF";#N/A,#N/A,FALSE,"EVA";#N/A,#N/A,FALSE,"%";#N/A,#N/A,FALSE,"WTF";#N/A,#N/A,FALSE,"Spec";#N/A,#N/A,FALSE,"Gen"}</definedName>
    <definedName name="wrn.Print._.All._.A4.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Letter.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2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Results._.A4." hidden="1">{"Valuation",#N/A,TRUE,"Valuation Summary";"Financial Statements",#N/A,TRUE,"Results";"Results",#N/A,TRUE,"Results";"Ratios",#N/A,TRUE,"Results"}</definedName>
    <definedName name="wrn.Print._.Results._.Letter." hidden="1">{"Valuation Letter",#N/A,TRUE,"Valuation Summary";"Financial Statements Letter",#N/A,TRUE,"Results";"Results Letter",#N/A,TRUE,"Results";"Ratios Letter",#N/A,TRUE,"Results"}</definedName>
    <definedName name="wrn.Process._.Cost." hidden="1">{#N/A,#N/A,FALSE,"Div";#N/A,#N/A,FALSE,"Process";#N/A,#N/A,FALSE,"Summary"}</definedName>
    <definedName name="wrn.Redruth." hidden="1">{#N/A,#N/A,FALSE,"Redruth"}</definedName>
    <definedName name="WRN.RODENCHG" hidden="1">{#N/A,#N/A,FALSE,"IM";#N/A,#N/A,FALSE,"HR";#N/A,#N/A,FALSE,"FIN";#N/A,#N/A,FALSE,"OA";#N/A,#N/A,FALSE,"Total"}</definedName>
    <definedName name="wrn.sales." hidden="1">{#N/A,#N/A,TRUE,"Cover";#N/A,#N/A,TRUE,"Report (Total)";#N/A,#N/A,TRUE,"Report (Export) (Zero)";#N/A,#N/A,TRUE,"Report (Order Book)"}</definedName>
    <definedName name="wrn.Sample." hidden="1">{#N/A,#N/A,TRUE,"Market 5 Year Plan";#N/A,#N/A,TRUE,"Market"}</definedName>
    <definedName name="wrn.Six._.Months." hidden="1">{#N/A,#N/A,FALSE,"INDEX";"gRP1",#N/A,FALSE,"GRP R&amp;D";"gRP2",#N/A,FALSE,"GRP R&amp;D";#N/A,#N/A,FALSE,"CAR NI";#N/A,#N/A,FALSE,"MILEAGE";"MILEAGE1",#N/A,FALSE,"MILEAGE";#N/A,#N/A,FALSE,"MISC 09";#N/A,#N/A,FALSE,"RENTRATE"}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ibset." hidden="1">{#N/A,#N/A,FALSE,"Istanbul"}</definedName>
    <definedName name="wrn.Total._.and._.all._.Manfg._.Sites." hidden="1">{"Total",#N/A,TRUE,"Total Europe";#N/A,#N/A,TRUE,"Ballymoney";#N/A,#N/A,TRUE,"Camp";#N/A,#N/A,TRUE,"Gosport";#N/A,#N/A,TRUE,"Grenoble";#N/A,#N/A,TRUE,"Neustadt";#N/A,#N/A,TRUE,"Halberstadt";#N/A,#N/A,TRUE,"Grevenbroich";#N/A,#N/A,TRUE,"Lille";#N/A,#N/A,TRUE,"Redruth";#N/A,#N/A,TRUE,"Tullamore";#N/A,#N/A,TRUE,"Istanbul";#N/A,#N/A,TRUE,"Dexcide"}</definedName>
    <definedName name="wrn.Total._.Europe." hidden="1">{"Total",#N/A,TRUE,"Total Europe"}</definedName>
    <definedName name="wrn.Tullamore." hidden="1">{#N/A,#N/A,FALSE,"Tullamore"}</definedName>
    <definedName name="wrn.U.S.._.Industries._.Inc.." hidden="1">{#N/A,#N/A,TRUE,"IS";#N/A,#N/A,TRUE,"SG";#N/A,#N/A,TRUE,"FF";#N/A,#N/A,TRUE,"BS";#N/A,#N/A,TRUE,"DCF";#N/A,#N/A,TRUE,"Int";#N/A,#N/A,TRUE,"Consumer";#N/A,#N/A,TRUE,"Building";#N/A,#N/A,TRUE,"Industrial"}</definedName>
    <definedName name="wrn.US._.and._.Europe." hidden="1">{#N/A,#N/A,FALSE,"Consolidated Financials";#N/A,#N/A,FALSE,"US Mkt";#N/A,#N/A,FALSE,"Eur Mkt"}</definedName>
    <definedName name="ww" hidden="1">{#N/A,#N/A,FALSE,"Summary";#N/A,#N/A,FALSE,"Detail 1";#N/A,#N/A,FALSE,"Detail 2";#N/A,#N/A,FALSE,"Act Spend"}</definedName>
    <definedName name="www" hidden="1">{#N/A,#N/A,FALSE,"Consol.";#N/A,#N/A,FALSE,"EM";#N/A,#N/A,FALSE,"Reagent";#N/A,#N/A,FALSE,"Raritan";#N/A,#N/A,FALSE,"UK";#N/A,#N/A,FALSE,"Germany"}</definedName>
    <definedName name="X" hidden="1">{#N/A,#N/A,FALSE,"IM";#N/A,#N/A,FALSE,"HR";#N/A,#N/A,FALSE,"FIN";#N/A,#N/A,FALSE,"OA";#N/A,#N/A,FALSE,"Total"}</definedName>
    <definedName name="xes" hidden="1">{#N/A,#N/A,FALSE,"Aging Summary";#N/A,#N/A,FALSE,"Ratio Analysis";#N/A,#N/A,FALSE,"Test 120 Day Accts";#N/A,#N/A,FALSE,"Tickmarks"}</definedName>
    <definedName name="XREF_COLUMN_1" hidden="1">#REF!</definedName>
    <definedName name="XREF_COLUMN_10" hidden="1">#REF!</definedName>
    <definedName name="XREF_COLUMN_2" hidden="1">[23]Lead!#REF!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Row" hidden="1">[24]XREF!#REF!</definedName>
    <definedName name="XRefCopy3" hidden="1">#REF!</definedName>
    <definedName name="XRefCopy3Row" hidden="1">#REF!</definedName>
    <definedName name="XRefCopy4" hidden="1">'[25]Cédula de Movimientos'!#REF!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1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[25]Depreciación!#REF!</definedName>
    <definedName name="XRefPaste4Row" hidden="1">#REF!</definedName>
    <definedName name="XRefPaste5Row" hidden="1">#REF!</definedName>
    <definedName name="XRefPaste6" hidden="1">[25]Depreciación!#REF!</definedName>
    <definedName name="XRefPaste6Row" hidden="1">[26]XREF!#REF!</definedName>
    <definedName name="XRefPasteRangeCount" hidden="1">3</definedName>
    <definedName name="xx" hidden="1">{#N/A,#N/A,FALSE,"Consol.";#N/A,#N/A,FALSE,"EM";#N/A,#N/A,FALSE,"Reagent";#N/A,#N/A,FALSE,"Raritan";#N/A,#N/A,FALSE,"UK";#N/A,#N/A,FALSE,"Germany"}</definedName>
    <definedName name="xxx" hidden="1">{#N/A,#N/A,FALSE,"Consol.";#N/A,#N/A,FALSE,"EM";#N/A,#N/A,FALSE,"Reagent";#N/A,#N/A,FALSE,"Raritan";#N/A,#N/A,FALSE,"UK";#N/A,#N/A,FALSE,"Germany"}</definedName>
    <definedName name="xxxxx" hidden="1">{#N/A,#N/A,FALSE,"Consol.";#N/A,#N/A,FALSE,"EM";#N/A,#N/A,FALSE,"Reagent";#N/A,#N/A,FALSE,"Raritan";#N/A,#N/A,FALSE,"UK";#N/A,#N/A,FALSE,"Germany"}</definedName>
    <definedName name="xya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xyz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yh" hidden="1">{#N/A,#N/A,FALSE,"Project Properties";#N/A,#N/A,FALSE,"Eng %";#N/A,#N/A,FALSE,"ENGFORM";#N/A,#N/A,FALSE,"staffing";#N/A,#N/A,FALSE,"spending"}</definedName>
    <definedName name="z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Z_16272DB3_A13D_46DE_A685_A51C72EBF90D_.wvu.Cols" hidden="1">#REF!</definedName>
    <definedName name="Z_16272DB3_A13D_46DE_A685_A51C72EBF90D_.wvu.PrintTitles" hidden="1">#REF!</definedName>
    <definedName name="Z_16272DB3_A13D_46DE_A685_A51C72EBF90D_.wvu.Rows" hidden="1">#REF!,#REF!</definedName>
    <definedName name="Z_17184ED8_EBBF_4387_9E34_46E8EF83D4FD_.wvu.Cols" hidden="1">#REF!</definedName>
    <definedName name="Z_2BE7CBFF_F95C_479C_9CBE_8B0B5213D49F_.wvu.Cols" hidden="1">'[27]Absorption trend Rev#2'!$B$1:$C$65536,'[27]Absorption trend Rev#2'!$F$1:$AB$65536,'[27]Absorption trend Rev#2'!$AH$1:$AL$65536,'[27]Absorption trend Rev#2'!$BM$1:$BP$65536</definedName>
    <definedName name="Z_2BE7CBFF_F95C_479C_9CBE_8B0B5213D49F_.wvu.PrintArea" hidden="1">'[27]Absorption trend Rev#2'!$A$2:$CA$63</definedName>
    <definedName name="Z_2BE7CBFF_F95C_479C_9CBE_8B0B5213D49F_.wvu.PrintTitles" hidden="1">#REF!</definedName>
    <definedName name="Z_2BE7CBFF_F95C_479C_9CBE_8B0B5213D49F_.wvu.Rows" hidden="1">'[27]Absorption trend Rev#2'!$A$14:$IV$15,'[27]Absorption trend Rev#2'!$A$19:$IV$19,'[27]Absorption trend Rev#2'!$A$31:$IV$32,'[27]Absorption trend Rev#2'!$A$36:$IV$36,'[27]Absorption trend Rev#2'!$A$49:$IV$50,'[27]Absorption trend Rev#2'!$A$54:$IV$54</definedName>
    <definedName name="Z_2DC9E1FF_5A43_4BE0_9EB9_BCE83D38476F_.wvu.Cols" hidden="1">#REF!</definedName>
    <definedName name="Z_2DC9E1FF_5A43_4BE0_9EB9_BCE83D38476F_.wvu.PrintTitles" hidden="1">#REF!</definedName>
    <definedName name="Z_2DC9E1FF_5A43_4BE0_9EB9_BCE83D38476F_.wvu.Rows" hidden="1">#REF!</definedName>
    <definedName name="Z_5CC3F8CD_4951_4E2C_8AEA_6957032A35E9_.wvu.Cols" hidden="1">#REF!</definedName>
    <definedName name="Z_5CC3F8CD_4951_4E2C_8AEA_6957032A35E9_.wvu.PrintTitles" hidden="1">#REF!</definedName>
    <definedName name="Z_5CC3F8CD_4951_4E2C_8AEA_6957032A35E9_.wvu.Rows" hidden="1">#REF!,#REF!</definedName>
    <definedName name="Z_890C8F11_C15D_4AB1_934E_8A306AD77027_.wvu.Cols" hidden="1">#REF!</definedName>
    <definedName name="Z_890C8F11_C15D_4AB1_934E_8A306AD77027_.wvu.PrintTitles" hidden="1">#REF!</definedName>
    <definedName name="Z_890C8F11_C15D_4AB1_934E_8A306AD77027_.wvu.Rows" hidden="1">#REF!</definedName>
    <definedName name="Z_9050366A_5A72_4F2A_A2B6_688796294CDA_.wvu.Cols" hidden="1">'[27]Absorption trend Rev#2'!$B$1:$C$65536,'[27]Absorption trend Rev#2'!$F$1:$AB$65536,'[27]Absorption trend Rev#2'!$AH$1:$AL$65536,'[27]Absorption trend Rev#2'!$BM$1:$BP$65536</definedName>
    <definedName name="Z_9050366A_5A72_4F2A_A2B6_688796294CDA_.wvu.PrintArea" hidden="1">'[27]Absorption trend Rev#2'!$A$2:$CA$63</definedName>
    <definedName name="Z_9050366A_5A72_4F2A_A2B6_688796294CDA_.wvu.PrintTitles" hidden="1">#REF!</definedName>
    <definedName name="Z_9050366A_5A72_4F2A_A2B6_688796294CDA_.wvu.Rows" hidden="1">'[27]Absorption trend Rev#2'!$A$14:$IV$15,'[27]Absorption trend Rev#2'!$A$19:$IV$19,'[27]Absorption trend Rev#2'!$A$31:$IV$32,'[27]Absorption trend Rev#2'!$A$36:$IV$36,'[27]Absorption trend Rev#2'!$A$49:$IV$50,'[27]Absorption trend Rev#2'!$A$54:$IV$54</definedName>
    <definedName name="Z_C1E28AE4_EEF0_4CEA_AE6B_177A6C5BC255_.wvu.Cols" hidden="1">'[28]Absorption trend'!$B$1:$C$65536,'[28]Absorption trend'!$E$1:$E$65536,'[28]Absorption trend'!#REF!,'[28]Absorption trend'!$R$1:$U$65536,'[28]Absorption trend'!$W$1:$AD$65536,'[28]Absorption trend'!$AH$1:$AL$65536,'[28]Absorption trend'!$DJ$1:$DM$65536</definedName>
    <definedName name="Z_C1E28AE4_EEF0_4CEA_AE6B_177A6C5BC255_.wvu.PrintArea" hidden="1">'[27]Absorption trend Rev#2'!$A$2:$CA$63</definedName>
    <definedName name="Z_C1E28AE4_EEF0_4CEA_AE6B_177A6C5BC255_.wvu.Rows" hidden="1">'[27]Absorption trend Rev#2'!$A$14:$IV$15,'[27]Absorption trend Rev#2'!$A$19:$IV$19,'[27]Absorption trend Rev#2'!$A$31:$IV$32,'[27]Absorption trend Rev#2'!$A$36:$IV$36,'[27]Absorption trend Rev#2'!$A$49:$IV$50,'[27]Absorption trend Rev#2'!$A$54:$IV$54</definedName>
    <definedName name="Z_ECEE63E3_DEA9_4589_BE77_72C7869F55A8_.wvu.Cols" hidden="1">'[27]Absorption trend Rev#2'!$B$1:$C$65536,'[27]Absorption trend Rev#2'!$F$1:$AB$65536,'[27]Absorption trend Rev#2'!$AH$1:$AL$65536,'[27]Absorption trend Rev#2'!$BM$1:$BP$65536</definedName>
    <definedName name="Z_ECEE63E3_DEA9_4589_BE77_72C7869F55A8_.wvu.PrintArea" hidden="1">'[27]Absorption trend Rev#2'!$A$2:$CA$63</definedName>
    <definedName name="Z_ECEE63E3_DEA9_4589_BE77_72C7869F55A8_.wvu.PrintTitles" hidden="1">#REF!</definedName>
    <definedName name="Z_ECEE63E3_DEA9_4589_BE77_72C7869F55A8_.wvu.Rows" hidden="1">'[27]Absorption trend Rev#2'!$A$14:$IV$15,'[27]Absorption trend Rev#2'!$A$19:$IV$19,'[27]Absorption trend Rev#2'!$A$31:$IV$32,'[27]Absorption trend Rev#2'!$A$36:$IV$36,'[27]Absorption trend Rev#2'!$A$49:$IV$50,'[27]Absorption trend Rev#2'!$A$54:$IV$54</definedName>
    <definedName name="zzz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zzzz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zzzzzzz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9" i="1" l="1"/>
  <c r="AD29" i="1"/>
  <c r="AE29" i="1"/>
  <c r="AF29" i="1"/>
  <c r="AG29" i="1"/>
  <c r="AH29" i="1"/>
  <c r="AI29" i="1"/>
  <c r="AJ29" i="1"/>
  <c r="AK29" i="1"/>
  <c r="AL29" i="1"/>
  <c r="AB29" i="1"/>
  <c r="AC26" i="1"/>
  <c r="AD26" i="1"/>
  <c r="AE26" i="1"/>
  <c r="AF26" i="1"/>
  <c r="AG26" i="1"/>
  <c r="AH26" i="1"/>
  <c r="AI26" i="1"/>
  <c r="AJ26" i="1"/>
  <c r="AK26" i="1"/>
  <c r="AL26" i="1"/>
  <c r="AB26" i="1"/>
  <c r="AC24" i="1"/>
  <c r="AD24" i="1"/>
  <c r="AE24" i="1"/>
  <c r="AF24" i="1"/>
  <c r="AG24" i="1"/>
  <c r="AH24" i="1"/>
  <c r="AI24" i="1"/>
  <c r="AJ24" i="1"/>
  <c r="AK24" i="1"/>
  <c r="AL24" i="1"/>
  <c r="AB24" i="1"/>
  <c r="Y24" i="1"/>
  <c r="Z24" i="1"/>
  <c r="AA24" i="1"/>
  <c r="AL13" i="1"/>
  <c r="AL14" i="1"/>
  <c r="AL15" i="1"/>
  <c r="AL16" i="1"/>
  <c r="AL17" i="1"/>
  <c r="AL18" i="1"/>
  <c r="AL19" i="1"/>
  <c r="AL20" i="1"/>
  <c r="AL21" i="1"/>
  <c r="AL22" i="1"/>
  <c r="AL23" i="1"/>
  <c r="AL25" i="1"/>
  <c r="AL27" i="1"/>
  <c r="AL28" i="1"/>
  <c r="AC13" i="1"/>
  <c r="AD13" i="1"/>
  <c r="AE13" i="1"/>
  <c r="AF13" i="1"/>
  <c r="AG13" i="1"/>
  <c r="AH13" i="1"/>
  <c r="AI13" i="1"/>
  <c r="AJ13" i="1"/>
  <c r="AK13" i="1"/>
  <c r="AC14" i="1"/>
  <c r="AD14" i="1"/>
  <c r="AE14" i="1"/>
  <c r="AF14" i="1"/>
  <c r="AG14" i="1"/>
  <c r="AH14" i="1"/>
  <c r="AI14" i="1"/>
  <c r="AJ14" i="1"/>
  <c r="AK14" i="1"/>
  <c r="AC15" i="1"/>
  <c r="AD15" i="1"/>
  <c r="AE15" i="1"/>
  <c r="AF15" i="1"/>
  <c r="AG15" i="1"/>
  <c r="AH15" i="1"/>
  <c r="AI15" i="1"/>
  <c r="AJ15" i="1"/>
  <c r="AK15" i="1"/>
  <c r="AC16" i="1"/>
  <c r="AD16" i="1"/>
  <c r="AE16" i="1"/>
  <c r="AF16" i="1"/>
  <c r="AG16" i="1"/>
  <c r="AH16" i="1"/>
  <c r="AI16" i="1"/>
  <c r="AJ16" i="1"/>
  <c r="AK16" i="1"/>
  <c r="AC17" i="1"/>
  <c r="AD17" i="1"/>
  <c r="AE17" i="1"/>
  <c r="AF17" i="1"/>
  <c r="AG17" i="1"/>
  <c r="AH17" i="1"/>
  <c r="AI17" i="1"/>
  <c r="AJ17" i="1"/>
  <c r="AK17" i="1"/>
  <c r="AC18" i="1"/>
  <c r="AD18" i="1"/>
  <c r="AE18" i="1"/>
  <c r="AF18" i="1"/>
  <c r="AG18" i="1"/>
  <c r="AH18" i="1"/>
  <c r="AI18" i="1"/>
  <c r="AJ18" i="1"/>
  <c r="AK18" i="1"/>
  <c r="AC19" i="1"/>
  <c r="AD19" i="1"/>
  <c r="AE19" i="1"/>
  <c r="AF19" i="1"/>
  <c r="AG19" i="1"/>
  <c r="AH19" i="1"/>
  <c r="AI19" i="1"/>
  <c r="AJ19" i="1"/>
  <c r="AK19" i="1"/>
  <c r="AC20" i="1"/>
  <c r="AD20" i="1"/>
  <c r="AE20" i="1"/>
  <c r="AF20" i="1"/>
  <c r="AG20" i="1"/>
  <c r="AH20" i="1"/>
  <c r="AI20" i="1"/>
  <c r="AJ20" i="1"/>
  <c r="AK20" i="1"/>
  <c r="AC21" i="1"/>
  <c r="AD21" i="1"/>
  <c r="AE21" i="1"/>
  <c r="AF21" i="1"/>
  <c r="AG21" i="1"/>
  <c r="AH21" i="1"/>
  <c r="AI21" i="1"/>
  <c r="AJ21" i="1"/>
  <c r="AK21" i="1"/>
  <c r="AC22" i="1"/>
  <c r="AD22" i="1"/>
  <c r="AE22" i="1"/>
  <c r="AF22" i="1"/>
  <c r="AG22" i="1"/>
  <c r="AH22" i="1"/>
  <c r="AI22" i="1"/>
  <c r="AJ22" i="1"/>
  <c r="AK22" i="1"/>
  <c r="AC23" i="1"/>
  <c r="AD23" i="1"/>
  <c r="AE23" i="1"/>
  <c r="AF23" i="1"/>
  <c r="AG23" i="1"/>
  <c r="AH23" i="1"/>
  <c r="AI23" i="1"/>
  <c r="AJ23" i="1"/>
  <c r="AK23" i="1"/>
  <c r="AC25" i="1"/>
  <c r="AD25" i="1"/>
  <c r="AE25" i="1"/>
  <c r="AF25" i="1"/>
  <c r="AG25" i="1"/>
  <c r="AH25" i="1"/>
  <c r="AI25" i="1"/>
  <c r="AJ25" i="1"/>
  <c r="AK25" i="1"/>
  <c r="AC27" i="1"/>
  <c r="AD27" i="1"/>
  <c r="AE27" i="1"/>
  <c r="AF27" i="1"/>
  <c r="AG27" i="1"/>
  <c r="AH27" i="1"/>
  <c r="AI27" i="1"/>
  <c r="AJ27" i="1"/>
  <c r="AK27" i="1"/>
  <c r="AC28" i="1"/>
  <c r="AD28" i="1"/>
  <c r="AE28" i="1"/>
  <c r="AF28" i="1"/>
  <c r="AG28" i="1"/>
  <c r="AH28" i="1"/>
  <c r="AI28" i="1"/>
  <c r="AJ28" i="1"/>
  <c r="AK28" i="1"/>
  <c r="AB14" i="1"/>
  <c r="AB15" i="1"/>
  <c r="AB16" i="1"/>
  <c r="AB17" i="1"/>
  <c r="AB18" i="1"/>
  <c r="AB19" i="1"/>
  <c r="AB20" i="1"/>
  <c r="AB21" i="1"/>
  <c r="AB22" i="1"/>
  <c r="AB23" i="1"/>
  <c r="AB25" i="1"/>
  <c r="AB27" i="1"/>
  <c r="AB28" i="1"/>
  <c r="AB13" i="1"/>
  <c r="AA13" i="1"/>
  <c r="AA14" i="1"/>
  <c r="AA15" i="1"/>
  <c r="AA16" i="1"/>
  <c r="AA17" i="1"/>
  <c r="AA18" i="1"/>
  <c r="AA19" i="1"/>
  <c r="AA20" i="1"/>
  <c r="AA21" i="1"/>
  <c r="AA22" i="1"/>
  <c r="AA23" i="1"/>
  <c r="AA25" i="1"/>
  <c r="AA26" i="1"/>
  <c r="AA27" i="1"/>
  <c r="AA28" i="1"/>
  <c r="AA29" i="1"/>
  <c r="Z14" i="1"/>
  <c r="Z15" i="1"/>
  <c r="Z16" i="1"/>
  <c r="Z17" i="1"/>
  <c r="Z18" i="1"/>
  <c r="Z19" i="1"/>
  <c r="Z20" i="1"/>
  <c r="Z21" i="1"/>
  <c r="Z22" i="1"/>
  <c r="Z23" i="1"/>
  <c r="Z25" i="1"/>
  <c r="Z26" i="1"/>
  <c r="Z27" i="1"/>
  <c r="Z28" i="1"/>
  <c r="Z29" i="1"/>
  <c r="Z13" i="1"/>
  <c r="Y14" i="1"/>
  <c r="Y15" i="1"/>
  <c r="Y16" i="1"/>
  <c r="Y17" i="1"/>
  <c r="Y18" i="1"/>
  <c r="Y19" i="1"/>
  <c r="Y20" i="1"/>
  <c r="Y21" i="1"/>
  <c r="Y22" i="1"/>
  <c r="Y23" i="1"/>
  <c r="Y25" i="1"/>
  <c r="Y26" i="1"/>
  <c r="Y27" i="1"/>
  <c r="Y28" i="1"/>
  <c r="Y29" i="1"/>
  <c r="Y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13" i="1"/>
  <c r="H29" i="1"/>
  <c r="I29" i="1"/>
  <c r="J29" i="1"/>
  <c r="K29" i="1"/>
  <c r="L29" i="1"/>
  <c r="M29" i="1"/>
  <c r="N29" i="1"/>
  <c r="O29" i="1"/>
  <c r="P29" i="1"/>
  <c r="Q29" i="1"/>
  <c r="R29" i="1"/>
  <c r="G29" i="1"/>
  <c r="H13" i="1"/>
  <c r="I13" i="1"/>
  <c r="J13" i="1"/>
  <c r="K13" i="1"/>
  <c r="L13" i="1"/>
  <c r="M13" i="1"/>
  <c r="N13" i="1"/>
  <c r="O13" i="1"/>
  <c r="O24" i="1" s="1"/>
  <c r="O26" i="1" s="1"/>
  <c r="P13" i="1"/>
  <c r="Q13" i="1"/>
  <c r="R13" i="1"/>
  <c r="H14" i="1"/>
  <c r="H24" i="1" s="1"/>
  <c r="H26" i="1" s="1"/>
  <c r="I14" i="1"/>
  <c r="I24" i="1" s="1"/>
  <c r="I26" i="1" s="1"/>
  <c r="J14" i="1"/>
  <c r="J24" i="1" s="1"/>
  <c r="J26" i="1" s="1"/>
  <c r="K14" i="1"/>
  <c r="K24" i="1" s="1"/>
  <c r="K26" i="1" s="1"/>
  <c r="L14" i="1"/>
  <c r="L24" i="1" s="1"/>
  <c r="L26" i="1" s="1"/>
  <c r="M14" i="1"/>
  <c r="N14" i="1"/>
  <c r="O14" i="1"/>
  <c r="P14" i="1"/>
  <c r="P24" i="1" s="1"/>
  <c r="P26" i="1" s="1"/>
  <c r="Q14" i="1"/>
  <c r="Q24" i="1" s="1"/>
  <c r="Q26" i="1" s="1"/>
  <c r="R14" i="1"/>
  <c r="R24" i="1" s="1"/>
  <c r="R26" i="1" s="1"/>
  <c r="H15" i="1"/>
  <c r="I15" i="1"/>
  <c r="J15" i="1"/>
  <c r="K15" i="1"/>
  <c r="L15" i="1"/>
  <c r="M15" i="1"/>
  <c r="N15" i="1"/>
  <c r="O15" i="1"/>
  <c r="P15" i="1"/>
  <c r="Q15" i="1"/>
  <c r="R15" i="1"/>
  <c r="H16" i="1"/>
  <c r="I16" i="1"/>
  <c r="J16" i="1"/>
  <c r="K16" i="1"/>
  <c r="L16" i="1"/>
  <c r="M16" i="1"/>
  <c r="N16" i="1"/>
  <c r="O16" i="1"/>
  <c r="P16" i="1"/>
  <c r="Q16" i="1"/>
  <c r="R16" i="1"/>
  <c r="H17" i="1"/>
  <c r="I17" i="1"/>
  <c r="J17" i="1"/>
  <c r="K17" i="1"/>
  <c r="L17" i="1"/>
  <c r="M17" i="1"/>
  <c r="N17" i="1"/>
  <c r="O17" i="1"/>
  <c r="P17" i="1"/>
  <c r="Q17" i="1"/>
  <c r="R17" i="1"/>
  <c r="H18" i="1"/>
  <c r="I18" i="1"/>
  <c r="J18" i="1"/>
  <c r="K18" i="1"/>
  <c r="L18" i="1"/>
  <c r="M18" i="1"/>
  <c r="N18" i="1"/>
  <c r="O18" i="1"/>
  <c r="P18" i="1"/>
  <c r="Q18" i="1"/>
  <c r="R18" i="1"/>
  <c r="H19" i="1"/>
  <c r="I19" i="1"/>
  <c r="J19" i="1"/>
  <c r="K19" i="1"/>
  <c r="L19" i="1"/>
  <c r="M19" i="1"/>
  <c r="M24" i="1" s="1"/>
  <c r="M26" i="1" s="1"/>
  <c r="N19" i="1"/>
  <c r="O19" i="1"/>
  <c r="P19" i="1"/>
  <c r="Q19" i="1"/>
  <c r="R19" i="1"/>
  <c r="H20" i="1"/>
  <c r="I20" i="1"/>
  <c r="J20" i="1"/>
  <c r="K20" i="1"/>
  <c r="L20" i="1"/>
  <c r="M20" i="1"/>
  <c r="N20" i="1"/>
  <c r="O20" i="1"/>
  <c r="P20" i="1"/>
  <c r="Q20" i="1"/>
  <c r="R20" i="1"/>
  <c r="H21" i="1"/>
  <c r="I21" i="1"/>
  <c r="J21" i="1"/>
  <c r="K21" i="1"/>
  <c r="L21" i="1"/>
  <c r="M21" i="1"/>
  <c r="N21" i="1"/>
  <c r="O21" i="1"/>
  <c r="P21" i="1"/>
  <c r="Q21" i="1"/>
  <c r="R21" i="1"/>
  <c r="H22" i="1"/>
  <c r="I22" i="1"/>
  <c r="J22" i="1"/>
  <c r="K22" i="1"/>
  <c r="L22" i="1"/>
  <c r="M22" i="1"/>
  <c r="N22" i="1"/>
  <c r="O22" i="1"/>
  <c r="P22" i="1"/>
  <c r="Q22" i="1"/>
  <c r="R22" i="1"/>
  <c r="H23" i="1"/>
  <c r="I23" i="1"/>
  <c r="J23" i="1"/>
  <c r="K23" i="1"/>
  <c r="L23" i="1"/>
  <c r="M23" i="1"/>
  <c r="N23" i="1"/>
  <c r="O23" i="1"/>
  <c r="P23" i="1"/>
  <c r="Q23" i="1"/>
  <c r="R23" i="1"/>
  <c r="N24" i="1"/>
  <c r="N26" i="1" s="1"/>
  <c r="H25" i="1"/>
  <c r="I25" i="1"/>
  <c r="J25" i="1"/>
  <c r="K25" i="1"/>
  <c r="L25" i="1"/>
  <c r="M25" i="1"/>
  <c r="N25" i="1"/>
  <c r="O25" i="1"/>
  <c r="P25" i="1"/>
  <c r="Q25" i="1"/>
  <c r="R25" i="1"/>
  <c r="H27" i="1"/>
  <c r="I27" i="1"/>
  <c r="J27" i="1"/>
  <c r="K27" i="1"/>
  <c r="L27" i="1"/>
  <c r="M27" i="1"/>
  <c r="N27" i="1"/>
  <c r="O27" i="1"/>
  <c r="P27" i="1"/>
  <c r="Q27" i="1"/>
  <c r="R27" i="1"/>
  <c r="H28" i="1"/>
  <c r="I28" i="1"/>
  <c r="J28" i="1"/>
  <c r="K28" i="1"/>
  <c r="L28" i="1"/>
  <c r="M28" i="1"/>
  <c r="N28" i="1"/>
  <c r="O28" i="1"/>
  <c r="P28" i="1"/>
  <c r="Q28" i="1"/>
  <c r="R28" i="1"/>
  <c r="G26" i="1"/>
  <c r="G24" i="1"/>
  <c r="G25" i="1"/>
  <c r="G27" i="1"/>
  <c r="G28" i="1"/>
  <c r="G14" i="1"/>
  <c r="G15" i="1"/>
  <c r="G16" i="1"/>
  <c r="G17" i="1"/>
  <c r="G18" i="1"/>
  <c r="G19" i="1"/>
  <c r="G20" i="1"/>
  <c r="G21" i="1"/>
  <c r="G22" i="1"/>
  <c r="G23" i="1"/>
  <c r="G13" i="1"/>
  <c r="K5511" i="2"/>
  <c r="L5511" i="2" s="1"/>
  <c r="J5511" i="2"/>
  <c r="I5511" i="2"/>
  <c r="K5510" i="2"/>
  <c r="L5510" i="2" s="1"/>
  <c r="J5510" i="2"/>
  <c r="I5510" i="2"/>
  <c r="K5509" i="2"/>
  <c r="L5509" i="2" s="1"/>
  <c r="J5509" i="2"/>
  <c r="I5509" i="2"/>
  <c r="K5508" i="2"/>
  <c r="L5508" i="2" s="1"/>
  <c r="J5508" i="2"/>
  <c r="I5508" i="2"/>
  <c r="K5507" i="2"/>
  <c r="L5507" i="2" s="1"/>
  <c r="J5507" i="2"/>
  <c r="I5507" i="2"/>
  <c r="K5506" i="2"/>
  <c r="L5506" i="2" s="1"/>
  <c r="J5506" i="2"/>
  <c r="I5506" i="2"/>
  <c r="K5505" i="2"/>
  <c r="L5505" i="2" s="1"/>
  <c r="J5505" i="2"/>
  <c r="I5505" i="2"/>
  <c r="L5504" i="2"/>
  <c r="K5504" i="2"/>
  <c r="J5504" i="2"/>
  <c r="I5504" i="2"/>
  <c r="K5503" i="2"/>
  <c r="L5503" i="2" s="1"/>
  <c r="J5503" i="2"/>
  <c r="I5503" i="2"/>
  <c r="L5502" i="2"/>
  <c r="K5502" i="2"/>
  <c r="J5502" i="2"/>
  <c r="I5502" i="2"/>
  <c r="K5501" i="2"/>
  <c r="L5501" i="2" s="1"/>
  <c r="J5501" i="2"/>
  <c r="I5501" i="2"/>
  <c r="K5500" i="2"/>
  <c r="L5500" i="2" s="1"/>
  <c r="J5500" i="2"/>
  <c r="I5500" i="2"/>
  <c r="K5499" i="2"/>
  <c r="L5499" i="2" s="1"/>
  <c r="J5499" i="2"/>
  <c r="I5499" i="2"/>
  <c r="K5498" i="2"/>
  <c r="L5498" i="2" s="1"/>
  <c r="J5498" i="2"/>
  <c r="I5498" i="2"/>
  <c r="K5497" i="2"/>
  <c r="L5497" i="2" s="1"/>
  <c r="J5497" i="2"/>
  <c r="I5497" i="2"/>
  <c r="K5496" i="2"/>
  <c r="L5496" i="2" s="1"/>
  <c r="J5496" i="2"/>
  <c r="I5496" i="2"/>
  <c r="K5495" i="2"/>
  <c r="L5495" i="2" s="1"/>
  <c r="J5495" i="2"/>
  <c r="I5495" i="2"/>
  <c r="K5494" i="2"/>
  <c r="L5494" i="2" s="1"/>
  <c r="J5494" i="2"/>
  <c r="I5494" i="2"/>
  <c r="K5493" i="2"/>
  <c r="L5493" i="2" s="1"/>
  <c r="J5493" i="2"/>
  <c r="I5493" i="2"/>
  <c r="K5492" i="2"/>
  <c r="L5492" i="2" s="1"/>
  <c r="J5492" i="2"/>
  <c r="I5492" i="2"/>
  <c r="K5491" i="2"/>
  <c r="L5491" i="2" s="1"/>
  <c r="J5491" i="2"/>
  <c r="I5491" i="2"/>
  <c r="K5490" i="2"/>
  <c r="L5490" i="2" s="1"/>
  <c r="J5490" i="2"/>
  <c r="I5490" i="2"/>
  <c r="K5489" i="2"/>
  <c r="L5489" i="2" s="1"/>
  <c r="J5489" i="2"/>
  <c r="I5489" i="2"/>
  <c r="L5488" i="2"/>
  <c r="K5488" i="2"/>
  <c r="J5488" i="2"/>
  <c r="I5488" i="2"/>
  <c r="K5487" i="2"/>
  <c r="L5487" i="2" s="1"/>
  <c r="J5487" i="2"/>
  <c r="I5487" i="2"/>
  <c r="L5486" i="2"/>
  <c r="K5486" i="2"/>
  <c r="J5486" i="2"/>
  <c r="I5486" i="2"/>
  <c r="K5485" i="2"/>
  <c r="L5485" i="2" s="1"/>
  <c r="J5485" i="2"/>
  <c r="I5485" i="2"/>
  <c r="K5484" i="2"/>
  <c r="L5484" i="2" s="1"/>
  <c r="J5484" i="2"/>
  <c r="I5484" i="2"/>
  <c r="K5483" i="2"/>
  <c r="L5483" i="2" s="1"/>
  <c r="J5483" i="2"/>
  <c r="I5483" i="2"/>
  <c r="K5482" i="2"/>
  <c r="L5482" i="2" s="1"/>
  <c r="J5482" i="2"/>
  <c r="I5482" i="2"/>
  <c r="K5481" i="2"/>
  <c r="L5481" i="2" s="1"/>
  <c r="J5481" i="2"/>
  <c r="I5481" i="2"/>
  <c r="K5480" i="2"/>
  <c r="L5480" i="2" s="1"/>
  <c r="J5480" i="2"/>
  <c r="I5480" i="2"/>
  <c r="K5479" i="2"/>
  <c r="L5479" i="2" s="1"/>
  <c r="J5479" i="2"/>
  <c r="I5479" i="2"/>
  <c r="L5478" i="2"/>
  <c r="K5478" i="2"/>
  <c r="J5478" i="2"/>
  <c r="I5478" i="2"/>
  <c r="K5477" i="2"/>
  <c r="L5477" i="2" s="1"/>
  <c r="J5477" i="2"/>
  <c r="I5477" i="2"/>
  <c r="K5476" i="2"/>
  <c r="L5476" i="2" s="1"/>
  <c r="J5476" i="2"/>
  <c r="I5476" i="2"/>
  <c r="K5475" i="2"/>
  <c r="L5475" i="2" s="1"/>
  <c r="J5475" i="2"/>
  <c r="I5475" i="2"/>
  <c r="K5474" i="2"/>
  <c r="L5474" i="2" s="1"/>
  <c r="J5474" i="2"/>
  <c r="I5474" i="2"/>
  <c r="K5473" i="2"/>
  <c r="L5473" i="2" s="1"/>
  <c r="J5473" i="2"/>
  <c r="I5473" i="2"/>
  <c r="L5472" i="2"/>
  <c r="K5472" i="2"/>
  <c r="J5472" i="2"/>
  <c r="I5472" i="2"/>
  <c r="K5471" i="2"/>
  <c r="L5471" i="2" s="1"/>
  <c r="J5471" i="2"/>
  <c r="I5471" i="2"/>
  <c r="L5470" i="2"/>
  <c r="K5470" i="2"/>
  <c r="J5470" i="2"/>
  <c r="I5470" i="2"/>
  <c r="K5469" i="2"/>
  <c r="L5469" i="2" s="1"/>
  <c r="J5469" i="2"/>
  <c r="I5469" i="2"/>
  <c r="K5468" i="2"/>
  <c r="L5468" i="2" s="1"/>
  <c r="J5468" i="2"/>
  <c r="I5468" i="2"/>
  <c r="K5467" i="2"/>
  <c r="L5467" i="2" s="1"/>
  <c r="J5467" i="2"/>
  <c r="I5467" i="2"/>
  <c r="L5466" i="2"/>
  <c r="K5466" i="2"/>
  <c r="J5466" i="2"/>
  <c r="I5466" i="2"/>
  <c r="K5465" i="2"/>
  <c r="L5465" i="2" s="1"/>
  <c r="J5465" i="2"/>
  <c r="I5465" i="2"/>
  <c r="K5464" i="2"/>
  <c r="L5464" i="2" s="1"/>
  <c r="J5464" i="2"/>
  <c r="I5464" i="2"/>
  <c r="K5463" i="2"/>
  <c r="L5463" i="2" s="1"/>
  <c r="J5463" i="2"/>
  <c r="I5463" i="2"/>
  <c r="K5462" i="2"/>
  <c r="L5462" i="2" s="1"/>
  <c r="J5462" i="2"/>
  <c r="I5462" i="2"/>
  <c r="K5461" i="2"/>
  <c r="L5461" i="2" s="1"/>
  <c r="J5461" i="2"/>
  <c r="I5461" i="2"/>
  <c r="K5460" i="2"/>
  <c r="L5460" i="2" s="1"/>
  <c r="J5460" i="2"/>
  <c r="I5460" i="2"/>
  <c r="K5459" i="2"/>
  <c r="L5459" i="2" s="1"/>
  <c r="J5459" i="2"/>
  <c r="I5459" i="2"/>
  <c r="K5458" i="2"/>
  <c r="L5458" i="2" s="1"/>
  <c r="J5458" i="2"/>
  <c r="I5458" i="2"/>
  <c r="K5457" i="2"/>
  <c r="L5457" i="2" s="1"/>
  <c r="J5457" i="2"/>
  <c r="I5457" i="2"/>
  <c r="L5456" i="2"/>
  <c r="K5456" i="2"/>
  <c r="J5456" i="2"/>
  <c r="I5456" i="2"/>
  <c r="K5455" i="2"/>
  <c r="L5455" i="2" s="1"/>
  <c r="J5455" i="2"/>
  <c r="I5455" i="2"/>
  <c r="L5454" i="2"/>
  <c r="K5454" i="2"/>
  <c r="J5454" i="2"/>
  <c r="I5454" i="2"/>
  <c r="K5453" i="2"/>
  <c r="L5453" i="2" s="1"/>
  <c r="J5453" i="2"/>
  <c r="I5453" i="2"/>
  <c r="K5452" i="2"/>
  <c r="L5452" i="2" s="1"/>
  <c r="J5452" i="2"/>
  <c r="I5452" i="2"/>
  <c r="K5451" i="2"/>
  <c r="L5451" i="2" s="1"/>
  <c r="J5451" i="2"/>
  <c r="I5451" i="2"/>
  <c r="K5450" i="2"/>
  <c r="L5450" i="2" s="1"/>
  <c r="J5450" i="2"/>
  <c r="I5450" i="2"/>
  <c r="K5449" i="2"/>
  <c r="L5449" i="2" s="1"/>
  <c r="J5449" i="2"/>
  <c r="I5449" i="2"/>
  <c r="K5448" i="2"/>
  <c r="L5448" i="2" s="1"/>
  <c r="J5448" i="2"/>
  <c r="I5448" i="2"/>
  <c r="K5447" i="2"/>
  <c r="L5447" i="2" s="1"/>
  <c r="J5447" i="2"/>
  <c r="I5447" i="2"/>
  <c r="K5446" i="2"/>
  <c r="L5446" i="2" s="1"/>
  <c r="J5446" i="2"/>
  <c r="I5446" i="2"/>
  <c r="K5445" i="2"/>
  <c r="L5445" i="2" s="1"/>
  <c r="J5445" i="2"/>
  <c r="I5445" i="2"/>
  <c r="K5444" i="2"/>
  <c r="L5444" i="2" s="1"/>
  <c r="J5444" i="2"/>
  <c r="I5444" i="2"/>
  <c r="K5443" i="2"/>
  <c r="L5443" i="2" s="1"/>
  <c r="J5443" i="2"/>
  <c r="I5443" i="2"/>
  <c r="K5442" i="2"/>
  <c r="L5442" i="2" s="1"/>
  <c r="J5442" i="2"/>
  <c r="I5442" i="2"/>
  <c r="K5441" i="2"/>
  <c r="L5441" i="2" s="1"/>
  <c r="J5441" i="2"/>
  <c r="I5441" i="2"/>
  <c r="L5440" i="2"/>
  <c r="K5440" i="2"/>
  <c r="J5440" i="2"/>
  <c r="I5440" i="2"/>
  <c r="K5439" i="2"/>
  <c r="L5439" i="2" s="1"/>
  <c r="J5439" i="2"/>
  <c r="I5439" i="2"/>
  <c r="L5438" i="2"/>
  <c r="K5438" i="2"/>
  <c r="J5438" i="2"/>
  <c r="I5438" i="2"/>
  <c r="K5437" i="2"/>
  <c r="L5437" i="2" s="1"/>
  <c r="J5437" i="2"/>
  <c r="I5437" i="2"/>
  <c r="K5436" i="2"/>
  <c r="L5436" i="2" s="1"/>
  <c r="J5436" i="2"/>
  <c r="I5436" i="2"/>
  <c r="K5435" i="2"/>
  <c r="L5435" i="2" s="1"/>
  <c r="J5435" i="2"/>
  <c r="I5435" i="2"/>
  <c r="K5434" i="2"/>
  <c r="L5434" i="2" s="1"/>
  <c r="J5434" i="2"/>
  <c r="I5434" i="2"/>
  <c r="K5433" i="2"/>
  <c r="L5433" i="2" s="1"/>
  <c r="J5433" i="2"/>
  <c r="I5433" i="2"/>
  <c r="K5432" i="2"/>
  <c r="L5432" i="2" s="1"/>
  <c r="J5432" i="2"/>
  <c r="I5432" i="2"/>
  <c r="K5431" i="2"/>
  <c r="L5431" i="2" s="1"/>
  <c r="J5431" i="2"/>
  <c r="I5431" i="2"/>
  <c r="K5430" i="2"/>
  <c r="L5430" i="2" s="1"/>
  <c r="J5430" i="2"/>
  <c r="I5430" i="2"/>
  <c r="K5429" i="2"/>
  <c r="L5429" i="2" s="1"/>
  <c r="J5429" i="2"/>
  <c r="I5429" i="2"/>
  <c r="K5428" i="2"/>
  <c r="L5428" i="2" s="1"/>
  <c r="J5428" i="2"/>
  <c r="I5428" i="2"/>
  <c r="K5427" i="2"/>
  <c r="L5427" i="2" s="1"/>
  <c r="J5427" i="2"/>
  <c r="I5427" i="2"/>
  <c r="K5426" i="2"/>
  <c r="L5426" i="2" s="1"/>
  <c r="J5426" i="2"/>
  <c r="I5426" i="2"/>
  <c r="K5425" i="2"/>
  <c r="L5425" i="2" s="1"/>
  <c r="J5425" i="2"/>
  <c r="I5425" i="2"/>
  <c r="L5424" i="2"/>
  <c r="K5424" i="2"/>
  <c r="J5424" i="2"/>
  <c r="I5424" i="2"/>
  <c r="K5423" i="2"/>
  <c r="L5423" i="2" s="1"/>
  <c r="J5423" i="2"/>
  <c r="I5423" i="2"/>
  <c r="L5422" i="2"/>
  <c r="K5422" i="2"/>
  <c r="J5422" i="2"/>
  <c r="I5422" i="2"/>
  <c r="K5421" i="2"/>
  <c r="L5421" i="2" s="1"/>
  <c r="J5421" i="2"/>
  <c r="I5421" i="2"/>
  <c r="K5420" i="2"/>
  <c r="L5420" i="2" s="1"/>
  <c r="J5420" i="2"/>
  <c r="I5420" i="2"/>
  <c r="K5419" i="2"/>
  <c r="L5419" i="2" s="1"/>
  <c r="J5419" i="2"/>
  <c r="I5419" i="2"/>
  <c r="K5418" i="2"/>
  <c r="L5418" i="2" s="1"/>
  <c r="J5418" i="2"/>
  <c r="I5418" i="2"/>
  <c r="K5417" i="2"/>
  <c r="L5417" i="2" s="1"/>
  <c r="J5417" i="2"/>
  <c r="I5417" i="2"/>
  <c r="K5416" i="2"/>
  <c r="L5416" i="2" s="1"/>
  <c r="J5416" i="2"/>
  <c r="I5416" i="2"/>
  <c r="K5415" i="2"/>
  <c r="L5415" i="2" s="1"/>
  <c r="J5415" i="2"/>
  <c r="I5415" i="2"/>
  <c r="L5414" i="2"/>
  <c r="K5414" i="2"/>
  <c r="J5414" i="2"/>
  <c r="I5414" i="2"/>
  <c r="K5413" i="2"/>
  <c r="L5413" i="2" s="1"/>
  <c r="J5413" i="2"/>
  <c r="I5413" i="2"/>
  <c r="K5412" i="2"/>
  <c r="L5412" i="2" s="1"/>
  <c r="J5412" i="2"/>
  <c r="I5412" i="2"/>
  <c r="K5411" i="2"/>
  <c r="L5411" i="2" s="1"/>
  <c r="J5411" i="2"/>
  <c r="I5411" i="2"/>
  <c r="K5410" i="2"/>
  <c r="L5410" i="2" s="1"/>
  <c r="J5410" i="2"/>
  <c r="I5410" i="2"/>
  <c r="K5409" i="2"/>
  <c r="L5409" i="2" s="1"/>
  <c r="J5409" i="2"/>
  <c r="I5409" i="2"/>
  <c r="L5408" i="2"/>
  <c r="K5408" i="2"/>
  <c r="J5408" i="2"/>
  <c r="I5408" i="2"/>
  <c r="K5407" i="2"/>
  <c r="L5407" i="2" s="1"/>
  <c r="J5407" i="2"/>
  <c r="I5407" i="2"/>
  <c r="L5406" i="2"/>
  <c r="K5406" i="2"/>
  <c r="J5406" i="2"/>
  <c r="I5406" i="2"/>
  <c r="K5405" i="2"/>
  <c r="L5405" i="2" s="1"/>
  <c r="J5405" i="2"/>
  <c r="I5405" i="2"/>
  <c r="K5404" i="2"/>
  <c r="L5404" i="2" s="1"/>
  <c r="J5404" i="2"/>
  <c r="I5404" i="2"/>
  <c r="K5403" i="2"/>
  <c r="L5403" i="2" s="1"/>
  <c r="J5403" i="2"/>
  <c r="I5403" i="2"/>
  <c r="L5402" i="2"/>
  <c r="K5402" i="2"/>
  <c r="J5402" i="2"/>
  <c r="I5402" i="2"/>
  <c r="K5401" i="2"/>
  <c r="L5401" i="2" s="1"/>
  <c r="J5401" i="2"/>
  <c r="I5401" i="2"/>
  <c r="L5400" i="2"/>
  <c r="K5400" i="2"/>
  <c r="J5400" i="2"/>
  <c r="I5400" i="2"/>
  <c r="K5399" i="2"/>
  <c r="L5399" i="2" s="1"/>
  <c r="J5399" i="2"/>
  <c r="I5399" i="2"/>
  <c r="K5398" i="2"/>
  <c r="L5398" i="2" s="1"/>
  <c r="J5398" i="2"/>
  <c r="I5398" i="2"/>
  <c r="K5397" i="2"/>
  <c r="L5397" i="2" s="1"/>
  <c r="J5397" i="2"/>
  <c r="I5397" i="2"/>
  <c r="K5396" i="2"/>
  <c r="L5396" i="2" s="1"/>
  <c r="J5396" i="2"/>
  <c r="I5396" i="2"/>
  <c r="K5395" i="2"/>
  <c r="L5395" i="2" s="1"/>
  <c r="J5395" i="2"/>
  <c r="I5395" i="2"/>
  <c r="K5394" i="2"/>
  <c r="L5394" i="2" s="1"/>
  <c r="J5394" i="2"/>
  <c r="I5394" i="2"/>
  <c r="K5393" i="2"/>
  <c r="L5393" i="2" s="1"/>
  <c r="J5393" i="2"/>
  <c r="I5393" i="2"/>
  <c r="L5392" i="2"/>
  <c r="K5392" i="2"/>
  <c r="J5392" i="2"/>
  <c r="I5392" i="2"/>
  <c r="K5391" i="2"/>
  <c r="L5391" i="2" s="1"/>
  <c r="J5391" i="2"/>
  <c r="I5391" i="2"/>
  <c r="L5390" i="2"/>
  <c r="K5390" i="2"/>
  <c r="J5390" i="2"/>
  <c r="I5390" i="2"/>
  <c r="K5389" i="2"/>
  <c r="L5389" i="2" s="1"/>
  <c r="J5389" i="2"/>
  <c r="I5389" i="2"/>
  <c r="K5388" i="2"/>
  <c r="L5388" i="2" s="1"/>
  <c r="J5388" i="2"/>
  <c r="I5388" i="2"/>
  <c r="K5387" i="2"/>
  <c r="L5387" i="2" s="1"/>
  <c r="J5387" i="2"/>
  <c r="I5387" i="2"/>
  <c r="K5386" i="2"/>
  <c r="L5386" i="2" s="1"/>
  <c r="J5386" i="2"/>
  <c r="I5386" i="2"/>
  <c r="K5385" i="2"/>
  <c r="L5385" i="2" s="1"/>
  <c r="J5385" i="2"/>
  <c r="I5385" i="2"/>
  <c r="K5384" i="2"/>
  <c r="L5384" i="2" s="1"/>
  <c r="J5384" i="2"/>
  <c r="I5384" i="2"/>
  <c r="K5383" i="2"/>
  <c r="L5383" i="2" s="1"/>
  <c r="J5383" i="2"/>
  <c r="I5383" i="2"/>
  <c r="K5382" i="2"/>
  <c r="L5382" i="2" s="1"/>
  <c r="J5382" i="2"/>
  <c r="I5382" i="2"/>
  <c r="K5381" i="2"/>
  <c r="L5381" i="2" s="1"/>
  <c r="J5381" i="2"/>
  <c r="I5381" i="2"/>
  <c r="K5380" i="2"/>
  <c r="L5380" i="2" s="1"/>
  <c r="J5380" i="2"/>
  <c r="I5380" i="2"/>
  <c r="K5379" i="2"/>
  <c r="L5379" i="2" s="1"/>
  <c r="J5379" i="2"/>
  <c r="I5379" i="2"/>
  <c r="K5378" i="2"/>
  <c r="L5378" i="2" s="1"/>
  <c r="J5378" i="2"/>
  <c r="I5378" i="2"/>
  <c r="K5377" i="2"/>
  <c r="L5377" i="2" s="1"/>
  <c r="J5377" i="2"/>
  <c r="I5377" i="2"/>
  <c r="L5376" i="2"/>
  <c r="K5376" i="2"/>
  <c r="J5376" i="2"/>
  <c r="I5376" i="2"/>
  <c r="K5375" i="2"/>
  <c r="L5375" i="2" s="1"/>
  <c r="J5375" i="2"/>
  <c r="I5375" i="2"/>
  <c r="L5374" i="2"/>
  <c r="K5374" i="2"/>
  <c r="J5374" i="2"/>
  <c r="I5374" i="2"/>
  <c r="K5373" i="2"/>
  <c r="L5373" i="2" s="1"/>
  <c r="J5373" i="2"/>
  <c r="I5373" i="2"/>
  <c r="K5372" i="2"/>
  <c r="L5372" i="2" s="1"/>
  <c r="J5372" i="2"/>
  <c r="I5372" i="2"/>
  <c r="K5371" i="2"/>
  <c r="L5371" i="2" s="1"/>
  <c r="J5371" i="2"/>
  <c r="I5371" i="2"/>
  <c r="K5370" i="2"/>
  <c r="L5370" i="2" s="1"/>
  <c r="J5370" i="2"/>
  <c r="I5370" i="2"/>
  <c r="K5369" i="2"/>
  <c r="L5369" i="2" s="1"/>
  <c r="J5369" i="2"/>
  <c r="I5369" i="2"/>
  <c r="K5368" i="2"/>
  <c r="L5368" i="2" s="1"/>
  <c r="J5368" i="2"/>
  <c r="I5368" i="2"/>
  <c r="K5367" i="2"/>
  <c r="L5367" i="2" s="1"/>
  <c r="J5367" i="2"/>
  <c r="I5367" i="2"/>
  <c r="K5366" i="2"/>
  <c r="L5366" i="2" s="1"/>
  <c r="J5366" i="2"/>
  <c r="I5366" i="2"/>
  <c r="K5365" i="2"/>
  <c r="L5365" i="2" s="1"/>
  <c r="J5365" i="2"/>
  <c r="I5365" i="2"/>
  <c r="K5364" i="2"/>
  <c r="L5364" i="2" s="1"/>
  <c r="J5364" i="2"/>
  <c r="I5364" i="2"/>
  <c r="K5363" i="2"/>
  <c r="L5363" i="2" s="1"/>
  <c r="J5363" i="2"/>
  <c r="I5363" i="2"/>
  <c r="K5362" i="2"/>
  <c r="L5362" i="2" s="1"/>
  <c r="J5362" i="2"/>
  <c r="I5362" i="2"/>
  <c r="K5361" i="2"/>
  <c r="L5361" i="2" s="1"/>
  <c r="J5361" i="2"/>
  <c r="I5361" i="2"/>
  <c r="L5360" i="2"/>
  <c r="K5360" i="2"/>
  <c r="J5360" i="2"/>
  <c r="I5360" i="2"/>
  <c r="K5359" i="2"/>
  <c r="L5359" i="2" s="1"/>
  <c r="J5359" i="2"/>
  <c r="I5359" i="2"/>
  <c r="L5358" i="2"/>
  <c r="K5358" i="2"/>
  <c r="J5358" i="2"/>
  <c r="I5358" i="2"/>
  <c r="K5357" i="2"/>
  <c r="L5357" i="2" s="1"/>
  <c r="J5357" i="2"/>
  <c r="I5357" i="2"/>
  <c r="K5356" i="2"/>
  <c r="L5356" i="2" s="1"/>
  <c r="J5356" i="2"/>
  <c r="I5356" i="2"/>
  <c r="K5355" i="2"/>
  <c r="L5355" i="2" s="1"/>
  <c r="J5355" i="2"/>
  <c r="I5355" i="2"/>
  <c r="K5354" i="2"/>
  <c r="L5354" i="2" s="1"/>
  <c r="J5354" i="2"/>
  <c r="I5354" i="2"/>
  <c r="K5353" i="2"/>
  <c r="L5353" i="2" s="1"/>
  <c r="J5353" i="2"/>
  <c r="I5353" i="2"/>
  <c r="K5352" i="2"/>
  <c r="L5352" i="2" s="1"/>
  <c r="J5352" i="2"/>
  <c r="I5352" i="2"/>
  <c r="K5351" i="2"/>
  <c r="L5351" i="2" s="1"/>
  <c r="J5351" i="2"/>
  <c r="I5351" i="2"/>
  <c r="L5350" i="2"/>
  <c r="K5350" i="2"/>
  <c r="J5350" i="2"/>
  <c r="I5350" i="2"/>
  <c r="K5349" i="2"/>
  <c r="L5349" i="2" s="1"/>
  <c r="J5349" i="2"/>
  <c r="I5349" i="2"/>
  <c r="K5348" i="2"/>
  <c r="L5348" i="2" s="1"/>
  <c r="J5348" i="2"/>
  <c r="I5348" i="2"/>
  <c r="K5347" i="2"/>
  <c r="L5347" i="2" s="1"/>
  <c r="J5347" i="2"/>
  <c r="I5347" i="2"/>
  <c r="K5346" i="2"/>
  <c r="L5346" i="2" s="1"/>
  <c r="J5346" i="2"/>
  <c r="I5346" i="2"/>
  <c r="K5345" i="2"/>
  <c r="L5345" i="2" s="1"/>
  <c r="J5345" i="2"/>
  <c r="I5345" i="2"/>
  <c r="L5344" i="2"/>
  <c r="K5344" i="2"/>
  <c r="J5344" i="2"/>
  <c r="I5344" i="2"/>
  <c r="K5343" i="2"/>
  <c r="L5343" i="2" s="1"/>
  <c r="J5343" i="2"/>
  <c r="I5343" i="2"/>
  <c r="L5342" i="2"/>
  <c r="K5342" i="2"/>
  <c r="J5342" i="2"/>
  <c r="I5342" i="2"/>
  <c r="K5341" i="2"/>
  <c r="L5341" i="2" s="1"/>
  <c r="J5341" i="2"/>
  <c r="I5341" i="2"/>
  <c r="L5340" i="2"/>
  <c r="K5340" i="2"/>
  <c r="J5340" i="2"/>
  <c r="I5340" i="2"/>
  <c r="K5339" i="2"/>
  <c r="L5339" i="2" s="1"/>
  <c r="J5339" i="2"/>
  <c r="I5339" i="2"/>
  <c r="L5338" i="2"/>
  <c r="K5338" i="2"/>
  <c r="J5338" i="2"/>
  <c r="I5338" i="2"/>
  <c r="K5337" i="2"/>
  <c r="L5337" i="2" s="1"/>
  <c r="J5337" i="2"/>
  <c r="I5337" i="2"/>
  <c r="L5336" i="2"/>
  <c r="K5336" i="2"/>
  <c r="J5336" i="2"/>
  <c r="I5336" i="2"/>
  <c r="K5335" i="2"/>
  <c r="L5335" i="2" s="1"/>
  <c r="J5335" i="2"/>
  <c r="I5335" i="2"/>
  <c r="L5334" i="2"/>
  <c r="K5334" i="2"/>
  <c r="J5334" i="2"/>
  <c r="I5334" i="2"/>
  <c r="K5333" i="2"/>
  <c r="L5333" i="2" s="1"/>
  <c r="J5333" i="2"/>
  <c r="I5333" i="2"/>
  <c r="L5332" i="2"/>
  <c r="K5332" i="2"/>
  <c r="J5332" i="2"/>
  <c r="I5332" i="2"/>
  <c r="K5331" i="2"/>
  <c r="L5331" i="2" s="1"/>
  <c r="J5331" i="2"/>
  <c r="I5331" i="2"/>
  <c r="L5330" i="2"/>
  <c r="K5330" i="2"/>
  <c r="J5330" i="2"/>
  <c r="I5330" i="2"/>
  <c r="K5329" i="2"/>
  <c r="L5329" i="2" s="1"/>
  <c r="J5329" i="2"/>
  <c r="I5329" i="2"/>
  <c r="L5328" i="2"/>
  <c r="K5328" i="2"/>
  <c r="J5328" i="2"/>
  <c r="I5328" i="2"/>
  <c r="K5327" i="2"/>
  <c r="L5327" i="2" s="1"/>
  <c r="J5327" i="2"/>
  <c r="I5327" i="2"/>
  <c r="L5326" i="2"/>
  <c r="K5326" i="2"/>
  <c r="J5326" i="2"/>
  <c r="I5326" i="2"/>
  <c r="K5325" i="2"/>
  <c r="L5325" i="2" s="1"/>
  <c r="J5325" i="2"/>
  <c r="I5325" i="2"/>
  <c r="L5324" i="2"/>
  <c r="K5324" i="2"/>
  <c r="J5324" i="2"/>
  <c r="I5324" i="2"/>
  <c r="K5323" i="2"/>
  <c r="L5323" i="2" s="1"/>
  <c r="J5323" i="2"/>
  <c r="I5323" i="2"/>
  <c r="L5322" i="2"/>
  <c r="K5322" i="2"/>
  <c r="J5322" i="2"/>
  <c r="I5322" i="2"/>
  <c r="K5321" i="2"/>
  <c r="L5321" i="2" s="1"/>
  <c r="J5321" i="2"/>
  <c r="I5321" i="2"/>
  <c r="L5320" i="2"/>
  <c r="K5320" i="2"/>
  <c r="J5320" i="2"/>
  <c r="I5320" i="2"/>
  <c r="K5319" i="2"/>
  <c r="L5319" i="2" s="1"/>
  <c r="J5319" i="2"/>
  <c r="I5319" i="2"/>
  <c r="L5318" i="2"/>
  <c r="K5318" i="2"/>
  <c r="J5318" i="2"/>
  <c r="I5318" i="2"/>
  <c r="K5317" i="2"/>
  <c r="L5317" i="2" s="1"/>
  <c r="J5317" i="2"/>
  <c r="I5317" i="2"/>
  <c r="L5316" i="2"/>
  <c r="K5316" i="2"/>
  <c r="J5316" i="2"/>
  <c r="I5316" i="2"/>
  <c r="K5315" i="2"/>
  <c r="L5315" i="2" s="1"/>
  <c r="J5315" i="2"/>
  <c r="I5315" i="2"/>
  <c r="L5314" i="2"/>
  <c r="K5314" i="2"/>
  <c r="J5314" i="2"/>
  <c r="I5314" i="2"/>
  <c r="K5313" i="2"/>
  <c r="L5313" i="2" s="1"/>
  <c r="J5313" i="2"/>
  <c r="I5313" i="2"/>
  <c r="L5312" i="2"/>
  <c r="K5312" i="2"/>
  <c r="J5312" i="2"/>
  <c r="I5312" i="2"/>
  <c r="K5311" i="2"/>
  <c r="L5311" i="2" s="1"/>
  <c r="J5311" i="2"/>
  <c r="I5311" i="2"/>
  <c r="L5310" i="2"/>
  <c r="K5310" i="2"/>
  <c r="J5310" i="2"/>
  <c r="I5310" i="2"/>
  <c r="K5309" i="2"/>
  <c r="L5309" i="2" s="1"/>
  <c r="J5309" i="2"/>
  <c r="I5309" i="2"/>
  <c r="L5308" i="2"/>
  <c r="K5308" i="2"/>
  <c r="J5308" i="2"/>
  <c r="I5308" i="2"/>
  <c r="K5307" i="2"/>
  <c r="L5307" i="2" s="1"/>
  <c r="J5307" i="2"/>
  <c r="I5307" i="2"/>
  <c r="L5306" i="2"/>
  <c r="K5306" i="2"/>
  <c r="J5306" i="2"/>
  <c r="I5306" i="2"/>
  <c r="K5305" i="2"/>
  <c r="L5305" i="2" s="1"/>
  <c r="J5305" i="2"/>
  <c r="I5305" i="2"/>
  <c r="L5304" i="2"/>
  <c r="K5304" i="2"/>
  <c r="J5304" i="2"/>
  <c r="I5304" i="2"/>
  <c r="K5303" i="2"/>
  <c r="L5303" i="2" s="1"/>
  <c r="J5303" i="2"/>
  <c r="I5303" i="2"/>
  <c r="L5302" i="2"/>
  <c r="K5302" i="2"/>
  <c r="J5302" i="2"/>
  <c r="I5302" i="2"/>
  <c r="K5301" i="2"/>
  <c r="L5301" i="2" s="1"/>
  <c r="J5301" i="2"/>
  <c r="I5301" i="2"/>
  <c r="L5300" i="2"/>
  <c r="K5300" i="2"/>
  <c r="J5300" i="2"/>
  <c r="I5300" i="2"/>
  <c r="K5299" i="2"/>
  <c r="L5299" i="2" s="1"/>
  <c r="J5299" i="2"/>
  <c r="I5299" i="2"/>
  <c r="L5298" i="2"/>
  <c r="K5298" i="2"/>
  <c r="J5298" i="2"/>
  <c r="I5298" i="2"/>
  <c r="K5297" i="2"/>
  <c r="L5297" i="2" s="1"/>
  <c r="J5297" i="2"/>
  <c r="I5297" i="2"/>
  <c r="L5296" i="2"/>
  <c r="K5296" i="2"/>
  <c r="J5296" i="2"/>
  <c r="I5296" i="2"/>
  <c r="K5295" i="2"/>
  <c r="L5295" i="2" s="1"/>
  <c r="J5295" i="2"/>
  <c r="I5295" i="2"/>
  <c r="L5294" i="2"/>
  <c r="K5294" i="2"/>
  <c r="J5294" i="2"/>
  <c r="I5294" i="2"/>
  <c r="K5293" i="2"/>
  <c r="L5293" i="2" s="1"/>
  <c r="J5293" i="2"/>
  <c r="I5293" i="2"/>
  <c r="L5292" i="2"/>
  <c r="K5292" i="2"/>
  <c r="J5292" i="2"/>
  <c r="I5292" i="2"/>
  <c r="K5291" i="2"/>
  <c r="L5291" i="2" s="1"/>
  <c r="J5291" i="2"/>
  <c r="I5291" i="2"/>
  <c r="L5290" i="2"/>
  <c r="K5290" i="2"/>
  <c r="J5290" i="2"/>
  <c r="I5290" i="2"/>
  <c r="K5289" i="2"/>
  <c r="L5289" i="2" s="1"/>
  <c r="J5289" i="2"/>
  <c r="I5289" i="2"/>
  <c r="L5288" i="2"/>
  <c r="K5288" i="2"/>
  <c r="J5288" i="2"/>
  <c r="I5288" i="2"/>
  <c r="K5287" i="2"/>
  <c r="L5287" i="2" s="1"/>
  <c r="J5287" i="2"/>
  <c r="I5287" i="2"/>
  <c r="L5286" i="2"/>
  <c r="K5286" i="2"/>
  <c r="J5286" i="2"/>
  <c r="I5286" i="2"/>
  <c r="K5285" i="2"/>
  <c r="L5285" i="2" s="1"/>
  <c r="J5285" i="2"/>
  <c r="I5285" i="2"/>
  <c r="L5284" i="2"/>
  <c r="K5284" i="2"/>
  <c r="J5284" i="2"/>
  <c r="I5284" i="2"/>
  <c r="K5283" i="2"/>
  <c r="L5283" i="2" s="1"/>
  <c r="J5283" i="2"/>
  <c r="I5283" i="2"/>
  <c r="L5282" i="2"/>
  <c r="K5282" i="2"/>
  <c r="J5282" i="2"/>
  <c r="I5282" i="2"/>
  <c r="K5281" i="2"/>
  <c r="L5281" i="2" s="1"/>
  <c r="J5281" i="2"/>
  <c r="I5281" i="2"/>
  <c r="L5280" i="2"/>
  <c r="K5280" i="2"/>
  <c r="J5280" i="2"/>
  <c r="I5280" i="2"/>
  <c r="K5279" i="2"/>
  <c r="L5279" i="2" s="1"/>
  <c r="J5279" i="2"/>
  <c r="I5279" i="2"/>
  <c r="L5278" i="2"/>
  <c r="K5278" i="2"/>
  <c r="J5278" i="2"/>
  <c r="I5278" i="2"/>
  <c r="K5277" i="2"/>
  <c r="L5277" i="2" s="1"/>
  <c r="J5277" i="2"/>
  <c r="I5277" i="2"/>
  <c r="L5276" i="2"/>
  <c r="K5276" i="2"/>
  <c r="J5276" i="2"/>
  <c r="I5276" i="2"/>
  <c r="K5275" i="2"/>
  <c r="L5275" i="2" s="1"/>
  <c r="J5275" i="2"/>
  <c r="I5275" i="2"/>
  <c r="L5274" i="2"/>
  <c r="K5274" i="2"/>
  <c r="J5274" i="2"/>
  <c r="I5274" i="2"/>
  <c r="K5273" i="2"/>
  <c r="L5273" i="2" s="1"/>
  <c r="J5273" i="2"/>
  <c r="I5273" i="2"/>
  <c r="L5272" i="2"/>
  <c r="K5272" i="2"/>
  <c r="J5272" i="2"/>
  <c r="I5272" i="2"/>
  <c r="K5271" i="2"/>
  <c r="L5271" i="2" s="1"/>
  <c r="J5271" i="2"/>
  <c r="I5271" i="2"/>
  <c r="L5270" i="2"/>
  <c r="K5270" i="2"/>
  <c r="J5270" i="2"/>
  <c r="I5270" i="2"/>
  <c r="L5269" i="2"/>
  <c r="K5269" i="2"/>
  <c r="J5269" i="2"/>
  <c r="I5269" i="2"/>
  <c r="L5268" i="2"/>
  <c r="K5268" i="2"/>
  <c r="J5268" i="2"/>
  <c r="I5268" i="2"/>
  <c r="L5267" i="2"/>
  <c r="K5267" i="2"/>
  <c r="J5267" i="2"/>
  <c r="I5267" i="2"/>
  <c r="L5266" i="2"/>
  <c r="K5266" i="2"/>
  <c r="J5266" i="2"/>
  <c r="I5266" i="2"/>
  <c r="L5265" i="2"/>
  <c r="K5265" i="2"/>
  <c r="J5265" i="2"/>
  <c r="I5265" i="2"/>
  <c r="L5264" i="2"/>
  <c r="K5264" i="2"/>
  <c r="J5264" i="2"/>
  <c r="I5264" i="2"/>
  <c r="L5263" i="2"/>
  <c r="K5263" i="2"/>
  <c r="J5263" i="2"/>
  <c r="I5263" i="2"/>
  <c r="L5262" i="2"/>
  <c r="K5262" i="2"/>
  <c r="J5262" i="2"/>
  <c r="I5262" i="2"/>
  <c r="L5261" i="2"/>
  <c r="K5261" i="2"/>
  <c r="J5261" i="2"/>
  <c r="I5261" i="2"/>
  <c r="L5260" i="2"/>
  <c r="K5260" i="2"/>
  <c r="J5260" i="2"/>
  <c r="I5260" i="2"/>
  <c r="L5259" i="2"/>
  <c r="K5259" i="2"/>
  <c r="J5259" i="2"/>
  <c r="I5259" i="2"/>
  <c r="L5258" i="2"/>
  <c r="K5258" i="2"/>
  <c r="J5258" i="2"/>
  <c r="I5258" i="2"/>
  <c r="L5257" i="2"/>
  <c r="K5257" i="2"/>
  <c r="J5257" i="2"/>
  <c r="I5257" i="2"/>
  <c r="L5256" i="2"/>
  <c r="K5256" i="2"/>
  <c r="J5256" i="2"/>
  <c r="I5256" i="2"/>
  <c r="L5255" i="2"/>
  <c r="K5255" i="2"/>
  <c r="J5255" i="2"/>
  <c r="I5255" i="2"/>
  <c r="L5254" i="2"/>
  <c r="K5254" i="2"/>
  <c r="J5254" i="2"/>
  <c r="I5254" i="2"/>
  <c r="L5253" i="2"/>
  <c r="K5253" i="2"/>
  <c r="J5253" i="2"/>
  <c r="I5253" i="2"/>
  <c r="L5252" i="2"/>
  <c r="K5252" i="2"/>
  <c r="J5252" i="2"/>
  <c r="I5252" i="2"/>
  <c r="L5251" i="2"/>
  <c r="K5251" i="2"/>
  <c r="J5251" i="2"/>
  <c r="I5251" i="2"/>
  <c r="L5250" i="2"/>
  <c r="K5250" i="2"/>
  <c r="J5250" i="2"/>
  <c r="I5250" i="2"/>
  <c r="L5249" i="2"/>
  <c r="K5249" i="2"/>
  <c r="J5249" i="2"/>
  <c r="I5249" i="2"/>
  <c r="L5248" i="2"/>
  <c r="K5248" i="2"/>
  <c r="J5248" i="2"/>
  <c r="I5248" i="2"/>
  <c r="L5247" i="2"/>
  <c r="K5247" i="2"/>
  <c r="J5247" i="2"/>
  <c r="I5247" i="2"/>
  <c r="L5246" i="2"/>
  <c r="K5246" i="2"/>
  <c r="J5246" i="2"/>
  <c r="I5246" i="2"/>
  <c r="L5245" i="2"/>
  <c r="K5245" i="2"/>
  <c r="J5245" i="2"/>
  <c r="I5245" i="2"/>
  <c r="L5244" i="2"/>
  <c r="K5244" i="2"/>
  <c r="J5244" i="2"/>
  <c r="I5244" i="2"/>
  <c r="L5243" i="2"/>
  <c r="K5243" i="2"/>
  <c r="J5243" i="2"/>
  <c r="I5243" i="2"/>
  <c r="L5242" i="2"/>
  <c r="K5242" i="2"/>
  <c r="J5242" i="2"/>
  <c r="I5242" i="2"/>
  <c r="L5241" i="2"/>
  <c r="K5241" i="2"/>
  <c r="J5241" i="2"/>
  <c r="I5241" i="2"/>
  <c r="L5240" i="2"/>
  <c r="K5240" i="2"/>
  <c r="J5240" i="2"/>
  <c r="I5240" i="2"/>
  <c r="L5239" i="2"/>
  <c r="K5239" i="2"/>
  <c r="J5239" i="2"/>
  <c r="I5239" i="2"/>
  <c r="L5238" i="2"/>
  <c r="K5238" i="2"/>
  <c r="J5238" i="2"/>
  <c r="I5238" i="2"/>
  <c r="L5237" i="2"/>
  <c r="K5237" i="2"/>
  <c r="J5237" i="2"/>
  <c r="I5237" i="2"/>
  <c r="L5236" i="2"/>
  <c r="K5236" i="2"/>
  <c r="J5236" i="2"/>
  <c r="I5236" i="2"/>
  <c r="L5235" i="2"/>
  <c r="K5235" i="2"/>
  <c r="J5235" i="2"/>
  <c r="I5235" i="2"/>
  <c r="L5234" i="2"/>
  <c r="K5234" i="2"/>
  <c r="J5234" i="2"/>
  <c r="I5234" i="2"/>
  <c r="L5233" i="2"/>
  <c r="K5233" i="2"/>
  <c r="J5233" i="2"/>
  <c r="I5233" i="2"/>
  <c r="L5232" i="2"/>
  <c r="K5232" i="2"/>
  <c r="J5232" i="2"/>
  <c r="I5232" i="2"/>
  <c r="L5231" i="2"/>
  <c r="K5231" i="2"/>
  <c r="J5231" i="2"/>
  <c r="I5231" i="2"/>
  <c r="L5230" i="2"/>
  <c r="K5230" i="2"/>
  <c r="J5230" i="2"/>
  <c r="I5230" i="2"/>
  <c r="L5229" i="2"/>
  <c r="K5229" i="2"/>
  <c r="J5229" i="2"/>
  <c r="I5229" i="2"/>
  <c r="L5228" i="2"/>
  <c r="K5228" i="2"/>
  <c r="J5228" i="2"/>
  <c r="I5228" i="2"/>
  <c r="L5227" i="2"/>
  <c r="K5227" i="2"/>
  <c r="J5227" i="2"/>
  <c r="I5227" i="2"/>
  <c r="L5226" i="2"/>
  <c r="K5226" i="2"/>
  <c r="J5226" i="2"/>
  <c r="I5226" i="2"/>
  <c r="L5225" i="2"/>
  <c r="K5225" i="2"/>
  <c r="J5225" i="2"/>
  <c r="I5225" i="2"/>
  <c r="L5224" i="2"/>
  <c r="K5224" i="2"/>
  <c r="J5224" i="2"/>
  <c r="I5224" i="2"/>
  <c r="L5223" i="2"/>
  <c r="K5223" i="2"/>
  <c r="J5223" i="2"/>
  <c r="I5223" i="2"/>
  <c r="L5222" i="2"/>
  <c r="K5222" i="2"/>
  <c r="J5222" i="2"/>
  <c r="I5222" i="2"/>
  <c r="L5221" i="2"/>
  <c r="K5221" i="2"/>
  <c r="J5221" i="2"/>
  <c r="I5221" i="2"/>
  <c r="L5220" i="2"/>
  <c r="K5220" i="2"/>
  <c r="J5220" i="2"/>
  <c r="I5220" i="2"/>
  <c r="L5219" i="2"/>
  <c r="K5219" i="2"/>
  <c r="J5219" i="2"/>
  <c r="I5219" i="2"/>
  <c r="L5218" i="2"/>
  <c r="K5218" i="2"/>
  <c r="J5218" i="2"/>
  <c r="I5218" i="2"/>
  <c r="L5217" i="2"/>
  <c r="K5217" i="2"/>
  <c r="J5217" i="2"/>
  <c r="I5217" i="2"/>
  <c r="L5216" i="2"/>
  <c r="K5216" i="2"/>
  <c r="J5216" i="2"/>
  <c r="I5216" i="2"/>
  <c r="L5215" i="2"/>
  <c r="K5215" i="2"/>
  <c r="J5215" i="2"/>
  <c r="I5215" i="2"/>
  <c r="L5214" i="2"/>
  <c r="K5214" i="2"/>
  <c r="J5214" i="2"/>
  <c r="I5214" i="2"/>
  <c r="L5213" i="2"/>
  <c r="K5213" i="2"/>
  <c r="J5213" i="2"/>
  <c r="I5213" i="2"/>
  <c r="L5212" i="2"/>
  <c r="K5212" i="2"/>
  <c r="J5212" i="2"/>
  <c r="I5212" i="2"/>
  <c r="L5211" i="2"/>
  <c r="K5211" i="2"/>
  <c r="J5211" i="2"/>
  <c r="I5211" i="2"/>
  <c r="L5210" i="2"/>
  <c r="K5210" i="2"/>
  <c r="J5210" i="2"/>
  <c r="I5210" i="2"/>
  <c r="L5209" i="2"/>
  <c r="K5209" i="2"/>
  <c r="J5209" i="2"/>
  <c r="I5209" i="2"/>
  <c r="L5208" i="2"/>
  <c r="K5208" i="2"/>
  <c r="J5208" i="2"/>
  <c r="I5208" i="2"/>
  <c r="L5207" i="2"/>
  <c r="K5207" i="2"/>
  <c r="J5207" i="2"/>
  <c r="I5207" i="2"/>
  <c r="L5206" i="2"/>
  <c r="K5206" i="2"/>
  <c r="J5206" i="2"/>
  <c r="I5206" i="2"/>
  <c r="L5205" i="2"/>
  <c r="K5205" i="2"/>
  <c r="J5205" i="2"/>
  <c r="I5205" i="2"/>
  <c r="L5204" i="2"/>
  <c r="K5204" i="2"/>
  <c r="J5204" i="2"/>
  <c r="I5204" i="2"/>
  <c r="L5203" i="2"/>
  <c r="K5203" i="2"/>
  <c r="J5203" i="2"/>
  <c r="I5203" i="2"/>
  <c r="L5202" i="2"/>
  <c r="K5202" i="2"/>
  <c r="J5202" i="2"/>
  <c r="I5202" i="2"/>
  <c r="L5201" i="2"/>
  <c r="K5201" i="2"/>
  <c r="J5201" i="2"/>
  <c r="I5201" i="2"/>
  <c r="L5200" i="2"/>
  <c r="K5200" i="2"/>
  <c r="J5200" i="2"/>
  <c r="I5200" i="2"/>
  <c r="L5199" i="2"/>
  <c r="K5199" i="2"/>
  <c r="J5199" i="2"/>
  <c r="I5199" i="2"/>
  <c r="L5198" i="2"/>
  <c r="K5198" i="2"/>
  <c r="J5198" i="2"/>
  <c r="I5198" i="2"/>
  <c r="L5197" i="2"/>
  <c r="K5197" i="2"/>
  <c r="J5197" i="2"/>
  <c r="I5197" i="2"/>
  <c r="L5196" i="2"/>
  <c r="K5196" i="2"/>
  <c r="J5196" i="2"/>
  <c r="I5196" i="2"/>
  <c r="L5195" i="2"/>
  <c r="K5195" i="2"/>
  <c r="J5195" i="2"/>
  <c r="I5195" i="2"/>
  <c r="L5194" i="2"/>
  <c r="K5194" i="2"/>
  <c r="J5194" i="2"/>
  <c r="I5194" i="2"/>
  <c r="L5193" i="2"/>
  <c r="K5193" i="2"/>
  <c r="J5193" i="2"/>
  <c r="I5193" i="2"/>
  <c r="L5192" i="2"/>
  <c r="K5192" i="2"/>
  <c r="J5192" i="2"/>
  <c r="I5192" i="2"/>
  <c r="L5191" i="2"/>
  <c r="K5191" i="2"/>
  <c r="J5191" i="2"/>
  <c r="I5191" i="2"/>
  <c r="L5190" i="2"/>
  <c r="K5190" i="2"/>
  <c r="J5190" i="2"/>
  <c r="I5190" i="2"/>
  <c r="L5189" i="2"/>
  <c r="K5189" i="2"/>
  <c r="J5189" i="2"/>
  <c r="I5189" i="2"/>
  <c r="L5188" i="2"/>
  <c r="K5188" i="2"/>
  <c r="J5188" i="2"/>
  <c r="I5188" i="2"/>
  <c r="L5187" i="2"/>
  <c r="K5187" i="2"/>
  <c r="J5187" i="2"/>
  <c r="I5187" i="2"/>
  <c r="L5186" i="2"/>
  <c r="K5186" i="2"/>
  <c r="J5186" i="2"/>
  <c r="I5186" i="2"/>
  <c r="L5185" i="2"/>
  <c r="K5185" i="2"/>
  <c r="J5185" i="2"/>
  <c r="I5185" i="2"/>
  <c r="L5184" i="2"/>
  <c r="K5184" i="2"/>
  <c r="J5184" i="2"/>
  <c r="I5184" i="2"/>
  <c r="L5183" i="2"/>
  <c r="K5183" i="2"/>
  <c r="J5183" i="2"/>
  <c r="I5183" i="2"/>
  <c r="L5182" i="2"/>
  <c r="K5182" i="2"/>
  <c r="J5182" i="2"/>
  <c r="I5182" i="2"/>
  <c r="L5181" i="2"/>
  <c r="K5181" i="2"/>
  <c r="J5181" i="2"/>
  <c r="I5181" i="2"/>
  <c r="L5180" i="2"/>
  <c r="K5180" i="2"/>
  <c r="J5180" i="2"/>
  <c r="I5180" i="2"/>
  <c r="L5179" i="2"/>
  <c r="K5179" i="2"/>
  <c r="J5179" i="2"/>
  <c r="I5179" i="2"/>
  <c r="L5178" i="2"/>
  <c r="K5178" i="2"/>
  <c r="J5178" i="2"/>
  <c r="I5178" i="2"/>
  <c r="L5177" i="2"/>
  <c r="K5177" i="2"/>
  <c r="J5177" i="2"/>
  <c r="I5177" i="2"/>
  <c r="L5176" i="2"/>
  <c r="K5176" i="2"/>
  <c r="J5176" i="2"/>
  <c r="I5176" i="2"/>
  <c r="L5175" i="2"/>
  <c r="K5175" i="2"/>
  <c r="J5175" i="2"/>
  <c r="I5175" i="2"/>
  <c r="L5174" i="2"/>
  <c r="K5174" i="2"/>
  <c r="J5174" i="2"/>
  <c r="I5174" i="2"/>
  <c r="L5173" i="2"/>
  <c r="K5173" i="2"/>
  <c r="J5173" i="2"/>
  <c r="I5173" i="2"/>
  <c r="L5172" i="2"/>
  <c r="K5172" i="2"/>
  <c r="J5172" i="2"/>
  <c r="I5172" i="2"/>
  <c r="L5171" i="2"/>
  <c r="K5171" i="2"/>
  <c r="J5171" i="2"/>
  <c r="I5171" i="2"/>
  <c r="L5170" i="2"/>
  <c r="K5170" i="2"/>
  <c r="J5170" i="2"/>
  <c r="I5170" i="2"/>
  <c r="L5169" i="2"/>
  <c r="K5169" i="2"/>
  <c r="J5169" i="2"/>
  <c r="I5169" i="2"/>
  <c r="L5168" i="2"/>
  <c r="K5168" i="2"/>
  <c r="J5168" i="2"/>
  <c r="I5168" i="2"/>
  <c r="L5167" i="2"/>
  <c r="K5167" i="2"/>
  <c r="J5167" i="2"/>
  <c r="I5167" i="2"/>
  <c r="L5166" i="2"/>
  <c r="K5166" i="2"/>
  <c r="J5166" i="2"/>
  <c r="I5166" i="2"/>
  <c r="L5165" i="2"/>
  <c r="K5165" i="2"/>
  <c r="J5165" i="2"/>
  <c r="I5165" i="2"/>
  <c r="L5164" i="2"/>
  <c r="K5164" i="2"/>
  <c r="J5164" i="2"/>
  <c r="I5164" i="2"/>
  <c r="L5163" i="2"/>
  <c r="K5163" i="2"/>
  <c r="J5163" i="2"/>
  <c r="I5163" i="2"/>
  <c r="L5162" i="2"/>
  <c r="K5162" i="2"/>
  <c r="J5162" i="2"/>
  <c r="I5162" i="2"/>
  <c r="L5161" i="2"/>
  <c r="K5161" i="2"/>
  <c r="J5161" i="2"/>
  <c r="I5161" i="2"/>
  <c r="L5160" i="2"/>
  <c r="K5160" i="2"/>
  <c r="J5160" i="2"/>
  <c r="I5160" i="2"/>
  <c r="L5159" i="2"/>
  <c r="K5159" i="2"/>
  <c r="J5159" i="2"/>
  <c r="I5159" i="2"/>
  <c r="L5158" i="2"/>
  <c r="K5158" i="2"/>
  <c r="J5158" i="2"/>
  <c r="I5158" i="2"/>
  <c r="L5157" i="2"/>
  <c r="K5157" i="2"/>
  <c r="J5157" i="2"/>
  <c r="I5157" i="2"/>
  <c r="L5156" i="2"/>
  <c r="K5156" i="2"/>
  <c r="J5156" i="2"/>
  <c r="I5156" i="2"/>
  <c r="L5155" i="2"/>
  <c r="K5155" i="2"/>
  <c r="J5155" i="2"/>
  <c r="I5155" i="2"/>
  <c r="L5154" i="2"/>
  <c r="K5154" i="2"/>
  <c r="J5154" i="2"/>
  <c r="I5154" i="2"/>
  <c r="L5153" i="2"/>
  <c r="K5153" i="2"/>
  <c r="J5153" i="2"/>
  <c r="I5153" i="2"/>
  <c r="L5152" i="2"/>
  <c r="K5152" i="2"/>
  <c r="J5152" i="2"/>
  <c r="I5152" i="2"/>
  <c r="L5151" i="2"/>
  <c r="K5151" i="2"/>
  <c r="J5151" i="2"/>
  <c r="I5151" i="2"/>
  <c r="L5150" i="2"/>
  <c r="K5150" i="2"/>
  <c r="J5150" i="2"/>
  <c r="I5150" i="2"/>
  <c r="L5149" i="2"/>
  <c r="K5149" i="2"/>
  <c r="J5149" i="2"/>
  <c r="I5149" i="2"/>
  <c r="L5148" i="2"/>
  <c r="K5148" i="2"/>
  <c r="J5148" i="2"/>
  <c r="I5148" i="2"/>
  <c r="L5147" i="2"/>
  <c r="K5147" i="2"/>
  <c r="J5147" i="2"/>
  <c r="I5147" i="2"/>
  <c r="L5146" i="2"/>
  <c r="K5146" i="2"/>
  <c r="J5146" i="2"/>
  <c r="I5146" i="2"/>
  <c r="L5145" i="2"/>
  <c r="K5145" i="2"/>
  <c r="J5145" i="2"/>
  <c r="I5145" i="2"/>
  <c r="L5144" i="2"/>
  <c r="K5144" i="2"/>
  <c r="J5144" i="2"/>
  <c r="I5144" i="2"/>
  <c r="L5143" i="2"/>
  <c r="K5143" i="2"/>
  <c r="J5143" i="2"/>
  <c r="I5143" i="2"/>
  <c r="L5142" i="2"/>
  <c r="K5142" i="2"/>
  <c r="J5142" i="2"/>
  <c r="I5142" i="2"/>
  <c r="L5141" i="2"/>
  <c r="K5141" i="2"/>
  <c r="J5141" i="2"/>
  <c r="I5141" i="2"/>
  <c r="L5140" i="2"/>
  <c r="K5140" i="2"/>
  <c r="J5140" i="2"/>
  <c r="I5140" i="2"/>
  <c r="L5139" i="2"/>
  <c r="K5139" i="2"/>
  <c r="J5139" i="2"/>
  <c r="I5139" i="2"/>
  <c r="L5138" i="2"/>
  <c r="K5138" i="2"/>
  <c r="J5138" i="2"/>
  <c r="I5138" i="2"/>
  <c r="L5137" i="2"/>
  <c r="K5137" i="2"/>
  <c r="J5137" i="2"/>
  <c r="I5137" i="2"/>
  <c r="L5136" i="2"/>
  <c r="K5136" i="2"/>
  <c r="J5136" i="2"/>
  <c r="I5136" i="2"/>
  <c r="L5135" i="2"/>
  <c r="K5135" i="2"/>
  <c r="J5135" i="2"/>
  <c r="I5135" i="2"/>
  <c r="L5134" i="2"/>
  <c r="K5134" i="2"/>
  <c r="J5134" i="2"/>
  <c r="I5134" i="2"/>
  <c r="L5133" i="2"/>
  <c r="K5133" i="2"/>
  <c r="J5133" i="2"/>
  <c r="I5133" i="2"/>
  <c r="L5132" i="2"/>
  <c r="K5132" i="2"/>
  <c r="J5132" i="2"/>
  <c r="I5132" i="2"/>
  <c r="L5131" i="2"/>
  <c r="K5131" i="2"/>
  <c r="J5131" i="2"/>
  <c r="I5131" i="2"/>
  <c r="L5130" i="2"/>
  <c r="K5130" i="2"/>
  <c r="J5130" i="2"/>
  <c r="I5130" i="2"/>
  <c r="L5129" i="2"/>
  <c r="K5129" i="2"/>
  <c r="J5129" i="2"/>
  <c r="I5129" i="2"/>
  <c r="L5128" i="2"/>
  <c r="K5128" i="2"/>
  <c r="J5128" i="2"/>
  <c r="I5128" i="2"/>
  <c r="L5127" i="2"/>
  <c r="K5127" i="2"/>
  <c r="J5127" i="2"/>
  <c r="I5127" i="2"/>
  <c r="L5126" i="2"/>
  <c r="K5126" i="2"/>
  <c r="J5126" i="2"/>
  <c r="I5126" i="2"/>
  <c r="L5125" i="2"/>
  <c r="K5125" i="2"/>
  <c r="J5125" i="2"/>
  <c r="I5125" i="2"/>
  <c r="L5124" i="2"/>
  <c r="K5124" i="2"/>
  <c r="J5124" i="2"/>
  <c r="I5124" i="2"/>
  <c r="L5123" i="2"/>
  <c r="K5123" i="2"/>
  <c r="J5123" i="2"/>
  <c r="I5123" i="2"/>
  <c r="L5122" i="2"/>
  <c r="K5122" i="2"/>
  <c r="J5122" i="2"/>
  <c r="I5122" i="2"/>
  <c r="L5121" i="2"/>
  <c r="K5121" i="2"/>
  <c r="J5121" i="2"/>
  <c r="I5121" i="2"/>
  <c r="L5120" i="2"/>
  <c r="K5120" i="2"/>
  <c r="J5120" i="2"/>
  <c r="I5120" i="2"/>
  <c r="L5119" i="2"/>
  <c r="K5119" i="2"/>
  <c r="J5119" i="2"/>
  <c r="I5119" i="2"/>
  <c r="L5118" i="2"/>
  <c r="K5118" i="2"/>
  <c r="J5118" i="2"/>
  <c r="I5118" i="2"/>
  <c r="L5117" i="2"/>
  <c r="K5117" i="2"/>
  <c r="J5117" i="2"/>
  <c r="I5117" i="2"/>
  <c r="L5116" i="2"/>
  <c r="K5116" i="2"/>
  <c r="J5116" i="2"/>
  <c r="I5116" i="2"/>
  <c r="L5115" i="2"/>
  <c r="K5115" i="2"/>
  <c r="J5115" i="2"/>
  <c r="I5115" i="2"/>
  <c r="L5114" i="2"/>
  <c r="K5114" i="2"/>
  <c r="J5114" i="2"/>
  <c r="I5114" i="2"/>
  <c r="L5113" i="2"/>
  <c r="K5113" i="2"/>
  <c r="J5113" i="2"/>
  <c r="I5113" i="2"/>
  <c r="L5112" i="2"/>
  <c r="K5112" i="2"/>
  <c r="J5112" i="2"/>
  <c r="I5112" i="2"/>
  <c r="L5111" i="2"/>
  <c r="K5111" i="2"/>
  <c r="J5111" i="2"/>
  <c r="I5111" i="2"/>
  <c r="L5110" i="2"/>
  <c r="K5110" i="2"/>
  <c r="J5110" i="2"/>
  <c r="I5110" i="2"/>
  <c r="L5109" i="2"/>
  <c r="K5109" i="2"/>
  <c r="J5109" i="2"/>
  <c r="I5109" i="2"/>
  <c r="L5108" i="2"/>
  <c r="K5108" i="2"/>
  <c r="J5108" i="2"/>
  <c r="I5108" i="2"/>
  <c r="L5107" i="2"/>
  <c r="K5107" i="2"/>
  <c r="J5107" i="2"/>
  <c r="I5107" i="2"/>
  <c r="L5106" i="2"/>
  <c r="K5106" i="2"/>
  <c r="J5106" i="2"/>
  <c r="I5106" i="2"/>
  <c r="L5105" i="2"/>
  <c r="K5105" i="2"/>
  <c r="J5105" i="2"/>
  <c r="I5105" i="2"/>
  <c r="L5104" i="2"/>
  <c r="K5104" i="2"/>
  <c r="J5104" i="2"/>
  <c r="I5104" i="2"/>
  <c r="L5103" i="2"/>
  <c r="K5103" i="2"/>
  <c r="J5103" i="2"/>
  <c r="I5103" i="2"/>
  <c r="L5102" i="2"/>
  <c r="K5102" i="2"/>
  <c r="J5102" i="2"/>
  <c r="I5102" i="2"/>
  <c r="L5101" i="2"/>
  <c r="K5101" i="2"/>
  <c r="J5101" i="2"/>
  <c r="I5101" i="2"/>
  <c r="L5100" i="2"/>
  <c r="K5100" i="2"/>
  <c r="J5100" i="2"/>
  <c r="I5100" i="2"/>
  <c r="L5099" i="2"/>
  <c r="K5099" i="2"/>
  <c r="J5099" i="2"/>
  <c r="I5099" i="2"/>
  <c r="L5098" i="2"/>
  <c r="K5098" i="2"/>
  <c r="J5098" i="2"/>
  <c r="I5098" i="2"/>
  <c r="L5097" i="2"/>
  <c r="K5097" i="2"/>
  <c r="J5097" i="2"/>
  <c r="I5097" i="2"/>
  <c r="L5096" i="2"/>
  <c r="K5096" i="2"/>
  <c r="J5096" i="2"/>
  <c r="I5096" i="2"/>
  <c r="L5095" i="2"/>
  <c r="K5095" i="2"/>
  <c r="J5095" i="2"/>
  <c r="I5095" i="2"/>
  <c r="L5094" i="2"/>
  <c r="K5094" i="2"/>
  <c r="J5094" i="2"/>
  <c r="I5094" i="2"/>
  <c r="L5093" i="2"/>
  <c r="K5093" i="2"/>
  <c r="J5093" i="2"/>
  <c r="I5093" i="2"/>
  <c r="L5092" i="2"/>
  <c r="K5092" i="2"/>
  <c r="J5092" i="2"/>
  <c r="I5092" i="2"/>
  <c r="L5091" i="2"/>
  <c r="K5091" i="2"/>
  <c r="J5091" i="2"/>
  <c r="I5091" i="2"/>
  <c r="L5090" i="2"/>
  <c r="K5090" i="2"/>
  <c r="J5090" i="2"/>
  <c r="I5090" i="2"/>
  <c r="L5089" i="2"/>
  <c r="K5089" i="2"/>
  <c r="J5089" i="2"/>
  <c r="I5089" i="2"/>
  <c r="L5088" i="2"/>
  <c r="K5088" i="2"/>
  <c r="J5088" i="2"/>
  <c r="I5088" i="2"/>
  <c r="L5087" i="2"/>
  <c r="K5087" i="2"/>
  <c r="J5087" i="2"/>
  <c r="I5087" i="2"/>
  <c r="L5086" i="2"/>
  <c r="K5086" i="2"/>
  <c r="J5086" i="2"/>
  <c r="I5086" i="2"/>
  <c r="L5085" i="2"/>
  <c r="K5085" i="2"/>
  <c r="J5085" i="2"/>
  <c r="I5085" i="2"/>
  <c r="L5084" i="2"/>
  <c r="K5084" i="2"/>
  <c r="J5084" i="2"/>
  <c r="I5084" i="2"/>
  <c r="L5083" i="2"/>
  <c r="K5083" i="2"/>
  <c r="J5083" i="2"/>
  <c r="I5083" i="2"/>
  <c r="L5082" i="2"/>
  <c r="K5082" i="2"/>
  <c r="J5082" i="2"/>
  <c r="I5082" i="2"/>
  <c r="L5081" i="2"/>
  <c r="K5081" i="2"/>
  <c r="J5081" i="2"/>
  <c r="I5081" i="2"/>
  <c r="L5080" i="2"/>
  <c r="K5080" i="2"/>
  <c r="J5080" i="2"/>
  <c r="I5080" i="2"/>
  <c r="L5079" i="2"/>
  <c r="K5079" i="2"/>
  <c r="J5079" i="2"/>
  <c r="I5079" i="2"/>
  <c r="L5078" i="2"/>
  <c r="K5078" i="2"/>
  <c r="J5078" i="2"/>
  <c r="I5078" i="2"/>
  <c r="L5077" i="2"/>
  <c r="K5077" i="2"/>
  <c r="J5077" i="2"/>
  <c r="I5077" i="2"/>
  <c r="L5076" i="2"/>
  <c r="K5076" i="2"/>
  <c r="J5076" i="2"/>
  <c r="I5076" i="2"/>
  <c r="L5075" i="2"/>
  <c r="K5075" i="2"/>
  <c r="J5075" i="2"/>
  <c r="I5075" i="2"/>
  <c r="L5074" i="2"/>
  <c r="K5074" i="2"/>
  <c r="J5074" i="2"/>
  <c r="I5074" i="2"/>
  <c r="L5073" i="2"/>
  <c r="K5073" i="2"/>
  <c r="J5073" i="2"/>
  <c r="I5073" i="2"/>
  <c r="L5072" i="2"/>
  <c r="K5072" i="2"/>
  <c r="J5072" i="2"/>
  <c r="I5072" i="2"/>
  <c r="L5071" i="2"/>
  <c r="K5071" i="2"/>
  <c r="J5071" i="2"/>
  <c r="I5071" i="2"/>
  <c r="L5070" i="2"/>
  <c r="K5070" i="2"/>
  <c r="J5070" i="2"/>
  <c r="I5070" i="2"/>
  <c r="L5069" i="2"/>
  <c r="K5069" i="2"/>
  <c r="J5069" i="2"/>
  <c r="I5069" i="2"/>
  <c r="L5068" i="2"/>
  <c r="K5068" i="2"/>
  <c r="J5068" i="2"/>
  <c r="I5068" i="2"/>
  <c r="L5067" i="2"/>
  <c r="K5067" i="2"/>
  <c r="J5067" i="2"/>
  <c r="I5067" i="2"/>
  <c r="L5066" i="2"/>
  <c r="K5066" i="2"/>
  <c r="J5066" i="2"/>
  <c r="I5066" i="2"/>
  <c r="L5065" i="2"/>
  <c r="K5065" i="2"/>
  <c r="J5065" i="2"/>
  <c r="I5065" i="2"/>
  <c r="L5064" i="2"/>
  <c r="K5064" i="2"/>
  <c r="J5064" i="2"/>
  <c r="I5064" i="2"/>
  <c r="L5063" i="2"/>
  <c r="K5063" i="2"/>
  <c r="J5063" i="2"/>
  <c r="I5063" i="2"/>
  <c r="L5062" i="2"/>
  <c r="K5062" i="2"/>
  <c r="J5062" i="2"/>
  <c r="I5062" i="2"/>
  <c r="L5061" i="2"/>
  <c r="K5061" i="2"/>
  <c r="J5061" i="2"/>
  <c r="I5061" i="2"/>
  <c r="L5060" i="2"/>
  <c r="K5060" i="2"/>
  <c r="J5060" i="2"/>
  <c r="I5060" i="2"/>
  <c r="L5059" i="2"/>
  <c r="K5059" i="2"/>
  <c r="J5059" i="2"/>
  <c r="I5059" i="2"/>
  <c r="L5058" i="2"/>
  <c r="K5058" i="2"/>
  <c r="J5058" i="2"/>
  <c r="I5058" i="2"/>
  <c r="L5057" i="2"/>
  <c r="K5057" i="2"/>
  <c r="J5057" i="2"/>
  <c r="I5057" i="2"/>
  <c r="L5056" i="2"/>
  <c r="K5056" i="2"/>
  <c r="J5056" i="2"/>
  <c r="I5056" i="2"/>
  <c r="L5055" i="2"/>
  <c r="K5055" i="2"/>
  <c r="J5055" i="2"/>
  <c r="I5055" i="2"/>
  <c r="L5054" i="2"/>
  <c r="K5054" i="2"/>
  <c r="J5054" i="2"/>
  <c r="I5054" i="2"/>
  <c r="L5053" i="2"/>
  <c r="K5053" i="2"/>
  <c r="J5053" i="2"/>
  <c r="I5053" i="2"/>
  <c r="L5052" i="2"/>
  <c r="K5052" i="2"/>
  <c r="J5052" i="2"/>
  <c r="I5052" i="2"/>
  <c r="L5051" i="2"/>
  <c r="K5051" i="2"/>
  <c r="J5051" i="2"/>
  <c r="I5051" i="2"/>
  <c r="L5050" i="2"/>
  <c r="K5050" i="2"/>
  <c r="J5050" i="2"/>
  <c r="I5050" i="2"/>
  <c r="L5049" i="2"/>
  <c r="K5049" i="2"/>
  <c r="J5049" i="2"/>
  <c r="I5049" i="2"/>
  <c r="L5048" i="2"/>
  <c r="K5048" i="2"/>
  <c r="J5048" i="2"/>
  <c r="I5048" i="2"/>
  <c r="H5048" i="2"/>
  <c r="K5047" i="2"/>
  <c r="L5047" i="2" s="1"/>
  <c r="J5047" i="2"/>
  <c r="I5047" i="2"/>
  <c r="L5046" i="2"/>
  <c r="K5046" i="2"/>
  <c r="J5046" i="2"/>
  <c r="I5046" i="2"/>
  <c r="K5045" i="2"/>
  <c r="L5045" i="2" s="1"/>
  <c r="J5045" i="2"/>
  <c r="I5045" i="2"/>
  <c r="L5044" i="2"/>
  <c r="K5044" i="2"/>
  <c r="J5044" i="2"/>
  <c r="I5044" i="2"/>
  <c r="K5043" i="2"/>
  <c r="L5043" i="2" s="1"/>
  <c r="J5043" i="2"/>
  <c r="I5043" i="2"/>
  <c r="L5042" i="2"/>
  <c r="K5042" i="2"/>
  <c r="J5042" i="2"/>
  <c r="I5042" i="2"/>
  <c r="K5041" i="2"/>
  <c r="L5041" i="2" s="1"/>
  <c r="J5041" i="2"/>
  <c r="I5041" i="2"/>
  <c r="L5040" i="2"/>
  <c r="K5040" i="2"/>
  <c r="J5040" i="2"/>
  <c r="I5040" i="2"/>
  <c r="K5039" i="2"/>
  <c r="L5039" i="2" s="1"/>
  <c r="J5039" i="2"/>
  <c r="I5039" i="2"/>
  <c r="L5038" i="2"/>
  <c r="K5038" i="2"/>
  <c r="J5038" i="2"/>
  <c r="I5038" i="2"/>
  <c r="K5037" i="2"/>
  <c r="L5037" i="2" s="1"/>
  <c r="J5037" i="2"/>
  <c r="I5037" i="2"/>
  <c r="L5036" i="2"/>
  <c r="K5036" i="2"/>
  <c r="J5036" i="2"/>
  <c r="I5036" i="2"/>
  <c r="K5035" i="2"/>
  <c r="L5035" i="2" s="1"/>
  <c r="J5035" i="2"/>
  <c r="I5035" i="2"/>
  <c r="L5034" i="2"/>
  <c r="K5034" i="2"/>
  <c r="J5034" i="2"/>
  <c r="I5034" i="2"/>
  <c r="K5033" i="2"/>
  <c r="L5033" i="2" s="1"/>
  <c r="J5033" i="2"/>
  <c r="I5033" i="2"/>
  <c r="L5032" i="2"/>
  <c r="K5032" i="2"/>
  <c r="J5032" i="2"/>
  <c r="I5032" i="2"/>
  <c r="K5031" i="2"/>
  <c r="L5031" i="2" s="1"/>
  <c r="J5031" i="2"/>
  <c r="I5031" i="2"/>
  <c r="L5030" i="2"/>
  <c r="K5030" i="2"/>
  <c r="J5030" i="2"/>
  <c r="I5030" i="2"/>
  <c r="K5029" i="2"/>
  <c r="L5029" i="2" s="1"/>
  <c r="J5029" i="2"/>
  <c r="I5029" i="2"/>
  <c r="L5028" i="2"/>
  <c r="K5028" i="2"/>
  <c r="J5028" i="2"/>
  <c r="I5028" i="2"/>
  <c r="K5027" i="2"/>
  <c r="L5027" i="2" s="1"/>
  <c r="J5027" i="2"/>
  <c r="I5027" i="2"/>
  <c r="L5026" i="2"/>
  <c r="K5026" i="2"/>
  <c r="J5026" i="2"/>
  <c r="I5026" i="2"/>
  <c r="K5025" i="2"/>
  <c r="L5025" i="2" s="1"/>
  <c r="J5025" i="2"/>
  <c r="I5025" i="2"/>
  <c r="L5024" i="2"/>
  <c r="K5024" i="2"/>
  <c r="J5024" i="2"/>
  <c r="I5024" i="2"/>
  <c r="K5023" i="2"/>
  <c r="L5023" i="2" s="1"/>
  <c r="J5023" i="2"/>
  <c r="I5023" i="2"/>
  <c r="L5022" i="2"/>
  <c r="K5022" i="2"/>
  <c r="J5022" i="2"/>
  <c r="I5022" i="2"/>
  <c r="K5021" i="2"/>
  <c r="L5021" i="2" s="1"/>
  <c r="J5021" i="2"/>
  <c r="I5021" i="2"/>
  <c r="L5020" i="2"/>
  <c r="K5020" i="2"/>
  <c r="J5020" i="2"/>
  <c r="I5020" i="2"/>
  <c r="K5019" i="2"/>
  <c r="L5019" i="2" s="1"/>
  <c r="J5019" i="2"/>
  <c r="I5019" i="2"/>
  <c r="L5018" i="2"/>
  <c r="K5018" i="2"/>
  <c r="J5018" i="2"/>
  <c r="I5018" i="2"/>
  <c r="K5017" i="2"/>
  <c r="L5017" i="2" s="1"/>
  <c r="J5017" i="2"/>
  <c r="I5017" i="2"/>
  <c r="L5016" i="2"/>
  <c r="K5016" i="2"/>
  <c r="J5016" i="2"/>
  <c r="I5016" i="2"/>
  <c r="K5015" i="2"/>
  <c r="L5015" i="2" s="1"/>
  <c r="J5015" i="2"/>
  <c r="I5015" i="2"/>
  <c r="L5014" i="2"/>
  <c r="K5014" i="2"/>
  <c r="J5014" i="2"/>
  <c r="I5014" i="2"/>
  <c r="K5013" i="2"/>
  <c r="L5013" i="2" s="1"/>
  <c r="J5013" i="2"/>
  <c r="I5013" i="2"/>
  <c r="L5012" i="2"/>
  <c r="K5012" i="2"/>
  <c r="J5012" i="2"/>
  <c r="I5012" i="2"/>
  <c r="K5011" i="2"/>
  <c r="L5011" i="2" s="1"/>
  <c r="J5011" i="2"/>
  <c r="I5011" i="2"/>
  <c r="L5010" i="2"/>
  <c r="K5010" i="2"/>
  <c r="J5010" i="2"/>
  <c r="I5010" i="2"/>
  <c r="K5009" i="2"/>
  <c r="L5009" i="2" s="1"/>
  <c r="J5009" i="2"/>
  <c r="I5009" i="2"/>
  <c r="L5008" i="2"/>
  <c r="K5008" i="2"/>
  <c r="J5008" i="2"/>
  <c r="I5008" i="2"/>
  <c r="K5007" i="2"/>
  <c r="L5007" i="2" s="1"/>
  <c r="J5007" i="2"/>
  <c r="I5007" i="2"/>
  <c r="L5006" i="2"/>
  <c r="K5006" i="2"/>
  <c r="J5006" i="2"/>
  <c r="I5006" i="2"/>
  <c r="K5005" i="2"/>
  <c r="L5005" i="2" s="1"/>
  <c r="J5005" i="2"/>
  <c r="I5005" i="2"/>
  <c r="L5004" i="2"/>
  <c r="K5004" i="2"/>
  <c r="J5004" i="2"/>
  <c r="I5004" i="2"/>
  <c r="K5003" i="2"/>
  <c r="L5003" i="2" s="1"/>
  <c r="J5003" i="2"/>
  <c r="I5003" i="2"/>
  <c r="L5002" i="2"/>
  <c r="K5002" i="2"/>
  <c r="J5002" i="2"/>
  <c r="I5002" i="2"/>
  <c r="K5001" i="2"/>
  <c r="L5001" i="2" s="1"/>
  <c r="J5001" i="2"/>
  <c r="I5001" i="2"/>
  <c r="L5000" i="2"/>
  <c r="K5000" i="2"/>
  <c r="J5000" i="2"/>
  <c r="I5000" i="2"/>
  <c r="K4999" i="2"/>
  <c r="L4999" i="2" s="1"/>
  <c r="J4999" i="2"/>
  <c r="I4999" i="2"/>
  <c r="L4998" i="2"/>
  <c r="K4998" i="2"/>
  <c r="J4998" i="2"/>
  <c r="I4998" i="2"/>
  <c r="K4997" i="2"/>
  <c r="L4997" i="2" s="1"/>
  <c r="J4997" i="2"/>
  <c r="I4997" i="2"/>
  <c r="L4996" i="2"/>
  <c r="K4996" i="2"/>
  <c r="J4996" i="2"/>
  <c r="I4996" i="2"/>
  <c r="K4995" i="2"/>
  <c r="L4995" i="2" s="1"/>
  <c r="J4995" i="2"/>
  <c r="I4995" i="2"/>
  <c r="L4994" i="2"/>
  <c r="K4994" i="2"/>
  <c r="J4994" i="2"/>
  <c r="I4994" i="2"/>
  <c r="K4993" i="2"/>
  <c r="L4993" i="2" s="1"/>
  <c r="J4993" i="2"/>
  <c r="I4993" i="2"/>
  <c r="L4992" i="2"/>
  <c r="K4992" i="2"/>
  <c r="J4992" i="2"/>
  <c r="I4992" i="2"/>
  <c r="K4991" i="2"/>
  <c r="L4991" i="2" s="1"/>
  <c r="J4991" i="2"/>
  <c r="I4991" i="2"/>
  <c r="L4990" i="2"/>
  <c r="K4990" i="2"/>
  <c r="J4990" i="2"/>
  <c r="I4990" i="2"/>
  <c r="K4989" i="2"/>
  <c r="L4989" i="2" s="1"/>
  <c r="J4989" i="2"/>
  <c r="I4989" i="2"/>
  <c r="L4988" i="2"/>
  <c r="K4988" i="2"/>
  <c r="J4988" i="2"/>
  <c r="I4988" i="2"/>
  <c r="K4987" i="2"/>
  <c r="L4987" i="2" s="1"/>
  <c r="J4987" i="2"/>
  <c r="I4987" i="2"/>
  <c r="L4986" i="2"/>
  <c r="K4986" i="2"/>
  <c r="J4986" i="2"/>
  <c r="I4986" i="2"/>
  <c r="K4985" i="2"/>
  <c r="L4985" i="2" s="1"/>
  <c r="J4985" i="2"/>
  <c r="I4985" i="2"/>
  <c r="L4984" i="2"/>
  <c r="K4984" i="2"/>
  <c r="J4984" i="2"/>
  <c r="I4984" i="2"/>
  <c r="K4983" i="2"/>
  <c r="L4983" i="2" s="1"/>
  <c r="J4983" i="2"/>
  <c r="I4983" i="2"/>
  <c r="L4982" i="2"/>
  <c r="K4982" i="2"/>
  <c r="J4982" i="2"/>
  <c r="I4982" i="2"/>
  <c r="K4981" i="2"/>
  <c r="L4981" i="2" s="1"/>
  <c r="J4981" i="2"/>
  <c r="I4981" i="2"/>
  <c r="L4980" i="2"/>
  <c r="K4980" i="2"/>
  <c r="J4980" i="2"/>
  <c r="I4980" i="2"/>
  <c r="K4979" i="2"/>
  <c r="L4979" i="2" s="1"/>
  <c r="J4979" i="2"/>
  <c r="I4979" i="2"/>
  <c r="L4978" i="2"/>
  <c r="K4978" i="2"/>
  <c r="J4978" i="2"/>
  <c r="I4978" i="2"/>
  <c r="K4977" i="2"/>
  <c r="L4977" i="2" s="1"/>
  <c r="J4977" i="2"/>
  <c r="I4977" i="2"/>
  <c r="L4976" i="2"/>
  <c r="K4976" i="2"/>
  <c r="J4976" i="2"/>
  <c r="I4976" i="2"/>
  <c r="K4975" i="2"/>
  <c r="L4975" i="2" s="1"/>
  <c r="J4975" i="2"/>
  <c r="I4975" i="2"/>
  <c r="L4974" i="2"/>
  <c r="K4974" i="2"/>
  <c r="J4974" i="2"/>
  <c r="I4974" i="2"/>
  <c r="K4973" i="2"/>
  <c r="L4973" i="2" s="1"/>
  <c r="J4973" i="2"/>
  <c r="I4973" i="2"/>
  <c r="L4972" i="2"/>
  <c r="K4972" i="2"/>
  <c r="J4972" i="2"/>
  <c r="I4972" i="2"/>
  <c r="K4971" i="2"/>
  <c r="L4971" i="2" s="1"/>
  <c r="J4971" i="2"/>
  <c r="I4971" i="2"/>
  <c r="L4970" i="2"/>
  <c r="K4970" i="2"/>
  <c r="J4970" i="2"/>
  <c r="I4970" i="2"/>
  <c r="K4969" i="2"/>
  <c r="L4969" i="2" s="1"/>
  <c r="J4969" i="2"/>
  <c r="I4969" i="2"/>
  <c r="L4968" i="2"/>
  <c r="K4968" i="2"/>
  <c r="J4968" i="2"/>
  <c r="I4968" i="2"/>
  <c r="K4967" i="2"/>
  <c r="L4967" i="2" s="1"/>
  <c r="J4967" i="2"/>
  <c r="I4967" i="2"/>
  <c r="L4966" i="2"/>
  <c r="K4966" i="2"/>
  <c r="J4966" i="2"/>
  <c r="I4966" i="2"/>
  <c r="K4965" i="2"/>
  <c r="L4965" i="2" s="1"/>
  <c r="J4965" i="2"/>
  <c r="I4965" i="2"/>
  <c r="L4964" i="2"/>
  <c r="K4964" i="2"/>
  <c r="J4964" i="2"/>
  <c r="I4964" i="2"/>
  <c r="K4963" i="2"/>
  <c r="L4963" i="2" s="1"/>
  <c r="J4963" i="2"/>
  <c r="I4963" i="2"/>
  <c r="L4962" i="2"/>
  <c r="K4962" i="2"/>
  <c r="J4962" i="2"/>
  <c r="I4962" i="2"/>
  <c r="K4961" i="2"/>
  <c r="L4961" i="2" s="1"/>
  <c r="J4961" i="2"/>
  <c r="I4961" i="2"/>
  <c r="L4960" i="2"/>
  <c r="K4960" i="2"/>
  <c r="J4960" i="2"/>
  <c r="I4960" i="2"/>
  <c r="K4959" i="2"/>
  <c r="L4959" i="2" s="1"/>
  <c r="J4959" i="2"/>
  <c r="I4959" i="2"/>
  <c r="L4958" i="2"/>
  <c r="K4958" i="2"/>
  <c r="J4958" i="2"/>
  <c r="I4958" i="2"/>
  <c r="K4957" i="2"/>
  <c r="L4957" i="2" s="1"/>
  <c r="J4957" i="2"/>
  <c r="I4957" i="2"/>
  <c r="L4956" i="2"/>
  <c r="K4956" i="2"/>
  <c r="J4956" i="2"/>
  <c r="I4956" i="2"/>
  <c r="K4955" i="2"/>
  <c r="L4955" i="2" s="1"/>
  <c r="J4955" i="2"/>
  <c r="I4955" i="2"/>
  <c r="L4954" i="2"/>
  <c r="K4954" i="2"/>
  <c r="J4954" i="2"/>
  <c r="I4954" i="2"/>
  <c r="K4953" i="2"/>
  <c r="L4953" i="2" s="1"/>
  <c r="J4953" i="2"/>
  <c r="I4953" i="2"/>
  <c r="L4952" i="2"/>
  <c r="K4952" i="2"/>
  <c r="J4952" i="2"/>
  <c r="I4952" i="2"/>
  <c r="K4951" i="2"/>
  <c r="L4951" i="2" s="1"/>
  <c r="J4951" i="2"/>
  <c r="I4951" i="2"/>
  <c r="L4950" i="2"/>
  <c r="K4950" i="2"/>
  <c r="J4950" i="2"/>
  <c r="I4950" i="2"/>
  <c r="K4949" i="2"/>
  <c r="L4949" i="2" s="1"/>
  <c r="J4949" i="2"/>
  <c r="I4949" i="2"/>
  <c r="L4948" i="2"/>
  <c r="K4948" i="2"/>
  <c r="J4948" i="2"/>
  <c r="I4948" i="2"/>
  <c r="K4947" i="2"/>
  <c r="L4947" i="2" s="1"/>
  <c r="J4947" i="2"/>
  <c r="I4947" i="2"/>
  <c r="L4946" i="2"/>
  <c r="K4946" i="2"/>
  <c r="J4946" i="2"/>
  <c r="I4946" i="2"/>
  <c r="K4945" i="2"/>
  <c r="L4945" i="2" s="1"/>
  <c r="J4945" i="2"/>
  <c r="I4945" i="2"/>
  <c r="L4944" i="2"/>
  <c r="K4944" i="2"/>
  <c r="J4944" i="2"/>
  <c r="I4944" i="2"/>
  <c r="K4943" i="2"/>
  <c r="L4943" i="2" s="1"/>
  <c r="J4943" i="2"/>
  <c r="I4943" i="2"/>
  <c r="L4942" i="2"/>
  <c r="K4942" i="2"/>
  <c r="J4942" i="2"/>
  <c r="I4942" i="2"/>
  <c r="K4941" i="2"/>
  <c r="L4941" i="2" s="1"/>
  <c r="J4941" i="2"/>
  <c r="I4941" i="2"/>
  <c r="L4940" i="2"/>
  <c r="K4940" i="2"/>
  <c r="J4940" i="2"/>
  <c r="I4940" i="2"/>
  <c r="K4939" i="2"/>
  <c r="L4939" i="2" s="1"/>
  <c r="J4939" i="2"/>
  <c r="I4939" i="2"/>
  <c r="L4938" i="2"/>
  <c r="K4938" i="2"/>
  <c r="J4938" i="2"/>
  <c r="I4938" i="2"/>
  <c r="K4937" i="2"/>
  <c r="L4937" i="2" s="1"/>
  <c r="J4937" i="2"/>
  <c r="I4937" i="2"/>
  <c r="L4936" i="2"/>
  <c r="K4936" i="2"/>
  <c r="J4936" i="2"/>
  <c r="I4936" i="2"/>
  <c r="K4935" i="2"/>
  <c r="L4935" i="2" s="1"/>
  <c r="J4935" i="2"/>
  <c r="I4935" i="2"/>
  <c r="L4934" i="2"/>
  <c r="K4934" i="2"/>
  <c r="J4934" i="2"/>
  <c r="I4934" i="2"/>
  <c r="K4933" i="2"/>
  <c r="L4933" i="2" s="1"/>
  <c r="J4933" i="2"/>
  <c r="I4933" i="2"/>
  <c r="L4932" i="2"/>
  <c r="K4932" i="2"/>
  <c r="J4932" i="2"/>
  <c r="I4932" i="2"/>
  <c r="K4931" i="2"/>
  <c r="L4931" i="2" s="1"/>
  <c r="J4931" i="2"/>
  <c r="I4931" i="2"/>
  <c r="L4930" i="2"/>
  <c r="K4930" i="2"/>
  <c r="J4930" i="2"/>
  <c r="I4930" i="2"/>
  <c r="K4929" i="2"/>
  <c r="L4929" i="2" s="1"/>
  <c r="J4929" i="2"/>
  <c r="I4929" i="2"/>
  <c r="L4928" i="2"/>
  <c r="K4928" i="2"/>
  <c r="J4928" i="2"/>
  <c r="I4928" i="2"/>
  <c r="K4927" i="2"/>
  <c r="L4927" i="2" s="1"/>
  <c r="J4927" i="2"/>
  <c r="I4927" i="2"/>
  <c r="L4926" i="2"/>
  <c r="K4926" i="2"/>
  <c r="J4926" i="2"/>
  <c r="I4926" i="2"/>
  <c r="K4925" i="2"/>
  <c r="L4925" i="2" s="1"/>
  <c r="J4925" i="2"/>
  <c r="I4925" i="2"/>
  <c r="L4924" i="2"/>
  <c r="K4924" i="2"/>
  <c r="J4924" i="2"/>
  <c r="I4924" i="2"/>
  <c r="K4923" i="2"/>
  <c r="L4923" i="2" s="1"/>
  <c r="J4923" i="2"/>
  <c r="I4923" i="2"/>
  <c r="L4922" i="2"/>
  <c r="K4922" i="2"/>
  <c r="J4922" i="2"/>
  <c r="I4922" i="2"/>
  <c r="K4921" i="2"/>
  <c r="L4921" i="2" s="1"/>
  <c r="J4921" i="2"/>
  <c r="I4921" i="2"/>
  <c r="L4920" i="2"/>
  <c r="K4920" i="2"/>
  <c r="J4920" i="2"/>
  <c r="I4920" i="2"/>
  <c r="K4919" i="2"/>
  <c r="L4919" i="2" s="1"/>
  <c r="J4919" i="2"/>
  <c r="I4919" i="2"/>
  <c r="L4918" i="2"/>
  <c r="K4918" i="2"/>
  <c r="J4918" i="2"/>
  <c r="I4918" i="2"/>
  <c r="K4917" i="2"/>
  <c r="L4917" i="2" s="1"/>
  <c r="J4917" i="2"/>
  <c r="I4917" i="2"/>
  <c r="L4916" i="2"/>
  <c r="K4916" i="2"/>
  <c r="J4916" i="2"/>
  <c r="I4916" i="2"/>
  <c r="K4915" i="2"/>
  <c r="L4915" i="2" s="1"/>
  <c r="J4915" i="2"/>
  <c r="I4915" i="2"/>
  <c r="L4914" i="2"/>
  <c r="K4914" i="2"/>
  <c r="J4914" i="2"/>
  <c r="I4914" i="2"/>
  <c r="K4913" i="2"/>
  <c r="L4913" i="2" s="1"/>
  <c r="J4913" i="2"/>
  <c r="I4913" i="2"/>
  <c r="L4912" i="2"/>
  <c r="K4912" i="2"/>
  <c r="J4912" i="2"/>
  <c r="I4912" i="2"/>
  <c r="K4911" i="2"/>
  <c r="L4911" i="2" s="1"/>
  <c r="J4911" i="2"/>
  <c r="I4911" i="2"/>
  <c r="L4910" i="2"/>
  <c r="K4910" i="2"/>
  <c r="J4910" i="2"/>
  <c r="I4910" i="2"/>
  <c r="K4909" i="2"/>
  <c r="L4909" i="2" s="1"/>
  <c r="J4909" i="2"/>
  <c r="I4909" i="2"/>
  <c r="L4908" i="2"/>
  <c r="K4908" i="2"/>
  <c r="J4908" i="2"/>
  <c r="I4908" i="2"/>
  <c r="K4907" i="2"/>
  <c r="L4907" i="2" s="1"/>
  <c r="J4907" i="2"/>
  <c r="I4907" i="2"/>
  <c r="L4906" i="2"/>
  <c r="K4906" i="2"/>
  <c r="J4906" i="2"/>
  <c r="I4906" i="2"/>
  <c r="K4905" i="2"/>
  <c r="L4905" i="2" s="1"/>
  <c r="J4905" i="2"/>
  <c r="I4905" i="2"/>
  <c r="L4904" i="2"/>
  <c r="K4904" i="2"/>
  <c r="J4904" i="2"/>
  <c r="I4904" i="2"/>
  <c r="K4903" i="2"/>
  <c r="L4903" i="2" s="1"/>
  <c r="J4903" i="2"/>
  <c r="I4903" i="2"/>
  <c r="L4902" i="2"/>
  <c r="K4902" i="2"/>
  <c r="J4902" i="2"/>
  <c r="I4902" i="2"/>
  <c r="K4901" i="2"/>
  <c r="L4901" i="2" s="1"/>
  <c r="J4901" i="2"/>
  <c r="I4901" i="2"/>
  <c r="L4900" i="2"/>
  <c r="K4900" i="2"/>
  <c r="J4900" i="2"/>
  <c r="I4900" i="2"/>
  <c r="K4899" i="2"/>
  <c r="L4899" i="2" s="1"/>
  <c r="J4899" i="2"/>
  <c r="I4899" i="2"/>
  <c r="L4898" i="2"/>
  <c r="K4898" i="2"/>
  <c r="J4898" i="2"/>
  <c r="I4898" i="2"/>
  <c r="K4897" i="2"/>
  <c r="L4897" i="2" s="1"/>
  <c r="J4897" i="2"/>
  <c r="I4897" i="2"/>
  <c r="L4896" i="2"/>
  <c r="K4896" i="2"/>
  <c r="J4896" i="2"/>
  <c r="I4896" i="2"/>
  <c r="K4895" i="2"/>
  <c r="L4895" i="2" s="1"/>
  <c r="J4895" i="2"/>
  <c r="I4895" i="2"/>
  <c r="L4894" i="2"/>
  <c r="K4894" i="2"/>
  <c r="J4894" i="2"/>
  <c r="I4894" i="2"/>
  <c r="K4893" i="2"/>
  <c r="L4893" i="2" s="1"/>
  <c r="J4893" i="2"/>
  <c r="I4893" i="2"/>
  <c r="L4892" i="2"/>
  <c r="K4892" i="2"/>
  <c r="J4892" i="2"/>
  <c r="I4892" i="2"/>
  <c r="K4891" i="2"/>
  <c r="L4891" i="2" s="1"/>
  <c r="J4891" i="2"/>
  <c r="I4891" i="2"/>
  <c r="L4890" i="2"/>
  <c r="K4890" i="2"/>
  <c r="J4890" i="2"/>
  <c r="I4890" i="2"/>
  <c r="K4889" i="2"/>
  <c r="L4889" i="2" s="1"/>
  <c r="J4889" i="2"/>
  <c r="I4889" i="2"/>
  <c r="L4888" i="2"/>
  <c r="K4888" i="2"/>
  <c r="J4888" i="2"/>
  <c r="I4888" i="2"/>
  <c r="K4887" i="2"/>
  <c r="L4887" i="2" s="1"/>
  <c r="J4887" i="2"/>
  <c r="I4887" i="2"/>
  <c r="L4886" i="2"/>
  <c r="K4886" i="2"/>
  <c r="J4886" i="2"/>
  <c r="I4886" i="2"/>
  <c r="K4885" i="2"/>
  <c r="L4885" i="2" s="1"/>
  <c r="J4885" i="2"/>
  <c r="I4885" i="2"/>
  <c r="L4884" i="2"/>
  <c r="K4884" i="2"/>
  <c r="J4884" i="2"/>
  <c r="I4884" i="2"/>
  <c r="K4883" i="2"/>
  <c r="L4883" i="2" s="1"/>
  <c r="J4883" i="2"/>
  <c r="I4883" i="2"/>
  <c r="L4882" i="2"/>
  <c r="K4882" i="2"/>
  <c r="J4882" i="2"/>
  <c r="I4882" i="2"/>
  <c r="K4881" i="2"/>
  <c r="L4881" i="2" s="1"/>
  <c r="J4881" i="2"/>
  <c r="I4881" i="2"/>
  <c r="L4880" i="2"/>
  <c r="K4880" i="2"/>
  <c r="J4880" i="2"/>
  <c r="I4880" i="2"/>
  <c r="K4879" i="2"/>
  <c r="L4879" i="2" s="1"/>
  <c r="J4879" i="2"/>
  <c r="I4879" i="2"/>
  <c r="L4878" i="2"/>
  <c r="K4878" i="2"/>
  <c r="J4878" i="2"/>
  <c r="I4878" i="2"/>
  <c r="K4877" i="2"/>
  <c r="L4877" i="2" s="1"/>
  <c r="J4877" i="2"/>
  <c r="I4877" i="2"/>
  <c r="L4876" i="2"/>
  <c r="K4876" i="2"/>
  <c r="J4876" i="2"/>
  <c r="I4876" i="2"/>
  <c r="K4875" i="2"/>
  <c r="L4875" i="2" s="1"/>
  <c r="J4875" i="2"/>
  <c r="I4875" i="2"/>
  <c r="L4874" i="2"/>
  <c r="K4874" i="2"/>
  <c r="J4874" i="2"/>
  <c r="I4874" i="2"/>
  <c r="K4873" i="2"/>
  <c r="L4873" i="2" s="1"/>
  <c r="J4873" i="2"/>
  <c r="I4873" i="2"/>
  <c r="L4872" i="2"/>
  <c r="K4872" i="2"/>
  <c r="J4872" i="2"/>
  <c r="I4872" i="2"/>
  <c r="K4871" i="2"/>
  <c r="L4871" i="2" s="1"/>
  <c r="J4871" i="2"/>
  <c r="I4871" i="2"/>
  <c r="L4870" i="2"/>
  <c r="K4870" i="2"/>
  <c r="J4870" i="2"/>
  <c r="I4870" i="2"/>
  <c r="K4869" i="2"/>
  <c r="L4869" i="2" s="1"/>
  <c r="J4869" i="2"/>
  <c r="I4869" i="2"/>
  <c r="L4868" i="2"/>
  <c r="K4868" i="2"/>
  <c r="J4868" i="2"/>
  <c r="I4868" i="2"/>
  <c r="K4867" i="2"/>
  <c r="L4867" i="2" s="1"/>
  <c r="J4867" i="2"/>
  <c r="I4867" i="2"/>
  <c r="L4866" i="2"/>
  <c r="K4866" i="2"/>
  <c r="J4866" i="2"/>
  <c r="I4866" i="2"/>
  <c r="K4865" i="2"/>
  <c r="L4865" i="2" s="1"/>
  <c r="J4865" i="2"/>
  <c r="I4865" i="2"/>
  <c r="L4864" i="2"/>
  <c r="K4864" i="2"/>
  <c r="J4864" i="2"/>
  <c r="I4864" i="2"/>
  <c r="K4863" i="2"/>
  <c r="L4863" i="2" s="1"/>
  <c r="J4863" i="2"/>
  <c r="I4863" i="2"/>
  <c r="L4862" i="2"/>
  <c r="K4862" i="2"/>
  <c r="J4862" i="2"/>
  <c r="I4862" i="2"/>
  <c r="K4861" i="2"/>
  <c r="L4861" i="2" s="1"/>
  <c r="J4861" i="2"/>
  <c r="I4861" i="2"/>
  <c r="L4860" i="2"/>
  <c r="K4860" i="2"/>
  <c r="J4860" i="2"/>
  <c r="I4860" i="2"/>
  <c r="K4859" i="2"/>
  <c r="L4859" i="2" s="1"/>
  <c r="J4859" i="2"/>
  <c r="I4859" i="2"/>
  <c r="L4858" i="2"/>
  <c r="K4858" i="2"/>
  <c r="J4858" i="2"/>
  <c r="I4858" i="2"/>
  <c r="K4857" i="2"/>
  <c r="L4857" i="2" s="1"/>
  <c r="J4857" i="2"/>
  <c r="I4857" i="2"/>
  <c r="L4856" i="2"/>
  <c r="K4856" i="2"/>
  <c r="J4856" i="2"/>
  <c r="I4856" i="2"/>
  <c r="K4855" i="2"/>
  <c r="L4855" i="2" s="1"/>
  <c r="J4855" i="2"/>
  <c r="I4855" i="2"/>
  <c r="L4854" i="2"/>
  <c r="K4854" i="2"/>
  <c r="J4854" i="2"/>
  <c r="I4854" i="2"/>
  <c r="K4853" i="2"/>
  <c r="L4853" i="2" s="1"/>
  <c r="J4853" i="2"/>
  <c r="I4853" i="2"/>
  <c r="L4852" i="2"/>
  <c r="K4852" i="2"/>
  <c r="J4852" i="2"/>
  <c r="I4852" i="2"/>
  <c r="K4851" i="2"/>
  <c r="L4851" i="2" s="1"/>
  <c r="J4851" i="2"/>
  <c r="I4851" i="2"/>
  <c r="L4850" i="2"/>
  <c r="K4850" i="2"/>
  <c r="J4850" i="2"/>
  <c r="I4850" i="2"/>
  <c r="K4849" i="2"/>
  <c r="L4849" i="2" s="1"/>
  <c r="J4849" i="2"/>
  <c r="I4849" i="2"/>
  <c r="L4848" i="2"/>
  <c r="K4848" i="2"/>
  <c r="J4848" i="2"/>
  <c r="I4848" i="2"/>
  <c r="K4847" i="2"/>
  <c r="L4847" i="2" s="1"/>
  <c r="J4847" i="2"/>
  <c r="I4847" i="2"/>
  <c r="L4846" i="2"/>
  <c r="K4846" i="2"/>
  <c r="J4846" i="2"/>
  <c r="I4846" i="2"/>
  <c r="K4845" i="2"/>
  <c r="L4845" i="2" s="1"/>
  <c r="J4845" i="2"/>
  <c r="I4845" i="2"/>
  <c r="L4844" i="2"/>
  <c r="K4844" i="2"/>
  <c r="J4844" i="2"/>
  <c r="I4844" i="2"/>
  <c r="K4843" i="2"/>
  <c r="L4843" i="2" s="1"/>
  <c r="J4843" i="2"/>
  <c r="I4843" i="2"/>
  <c r="L4842" i="2"/>
  <c r="K4842" i="2"/>
  <c r="J4842" i="2"/>
  <c r="I4842" i="2"/>
  <c r="K4841" i="2"/>
  <c r="L4841" i="2" s="1"/>
  <c r="J4841" i="2"/>
  <c r="I4841" i="2"/>
  <c r="L4840" i="2"/>
  <c r="K4840" i="2"/>
  <c r="J4840" i="2"/>
  <c r="I4840" i="2"/>
  <c r="K4839" i="2"/>
  <c r="L4839" i="2" s="1"/>
  <c r="J4839" i="2"/>
  <c r="I4839" i="2"/>
  <c r="L4838" i="2"/>
  <c r="K4838" i="2"/>
  <c r="J4838" i="2"/>
  <c r="I4838" i="2"/>
  <c r="K4837" i="2"/>
  <c r="L4837" i="2" s="1"/>
  <c r="J4837" i="2"/>
  <c r="I4837" i="2"/>
  <c r="L4836" i="2"/>
  <c r="K4836" i="2"/>
  <c r="J4836" i="2"/>
  <c r="I4836" i="2"/>
  <c r="K4835" i="2"/>
  <c r="L4835" i="2" s="1"/>
  <c r="J4835" i="2"/>
  <c r="I4835" i="2"/>
  <c r="L4834" i="2"/>
  <c r="K4834" i="2"/>
  <c r="J4834" i="2"/>
  <c r="I4834" i="2"/>
  <c r="K4833" i="2"/>
  <c r="L4833" i="2" s="1"/>
  <c r="J4833" i="2"/>
  <c r="I4833" i="2"/>
  <c r="L4832" i="2"/>
  <c r="K4832" i="2"/>
  <c r="J4832" i="2"/>
  <c r="I4832" i="2"/>
  <c r="K4831" i="2"/>
  <c r="L4831" i="2" s="1"/>
  <c r="J4831" i="2"/>
  <c r="I4831" i="2"/>
  <c r="L4830" i="2"/>
  <c r="K4830" i="2"/>
  <c r="J4830" i="2"/>
  <c r="I4830" i="2"/>
  <c r="K4829" i="2"/>
  <c r="L4829" i="2" s="1"/>
  <c r="J4829" i="2"/>
  <c r="I4829" i="2"/>
  <c r="L4828" i="2"/>
  <c r="K4828" i="2"/>
  <c r="J4828" i="2"/>
  <c r="I4828" i="2"/>
  <c r="K4827" i="2"/>
  <c r="L4827" i="2" s="1"/>
  <c r="J4827" i="2"/>
  <c r="I4827" i="2"/>
  <c r="L4826" i="2"/>
  <c r="K4826" i="2"/>
  <c r="J4826" i="2"/>
  <c r="I4826" i="2"/>
  <c r="K4825" i="2"/>
  <c r="L4825" i="2" s="1"/>
  <c r="J4825" i="2"/>
  <c r="I4825" i="2"/>
  <c r="L4824" i="2"/>
  <c r="K4824" i="2"/>
  <c r="J4824" i="2"/>
  <c r="I4824" i="2"/>
  <c r="K4823" i="2"/>
  <c r="L4823" i="2" s="1"/>
  <c r="J4823" i="2"/>
  <c r="I4823" i="2"/>
  <c r="L4822" i="2"/>
  <c r="K4822" i="2"/>
  <c r="J4822" i="2"/>
  <c r="I4822" i="2"/>
  <c r="K4821" i="2"/>
  <c r="L4821" i="2" s="1"/>
  <c r="J4821" i="2"/>
  <c r="I4821" i="2"/>
  <c r="L4820" i="2"/>
  <c r="K4820" i="2"/>
  <c r="J4820" i="2"/>
  <c r="I4820" i="2"/>
  <c r="K4819" i="2"/>
  <c r="L4819" i="2" s="1"/>
  <c r="J4819" i="2"/>
  <c r="I4819" i="2"/>
  <c r="L4818" i="2"/>
  <c r="K4818" i="2"/>
  <c r="J4818" i="2"/>
  <c r="I4818" i="2"/>
  <c r="K4817" i="2"/>
  <c r="L4817" i="2" s="1"/>
  <c r="J4817" i="2"/>
  <c r="I4817" i="2"/>
  <c r="L4816" i="2"/>
  <c r="K4816" i="2"/>
  <c r="J4816" i="2"/>
  <c r="I4816" i="2"/>
  <c r="K4815" i="2"/>
  <c r="L4815" i="2" s="1"/>
  <c r="J4815" i="2"/>
  <c r="I4815" i="2"/>
  <c r="L4814" i="2"/>
  <c r="K4814" i="2"/>
  <c r="J4814" i="2"/>
  <c r="I4814" i="2"/>
  <c r="K4813" i="2"/>
  <c r="L4813" i="2" s="1"/>
  <c r="J4813" i="2"/>
  <c r="I4813" i="2"/>
  <c r="L4812" i="2"/>
  <c r="K4812" i="2"/>
  <c r="J4812" i="2"/>
  <c r="I4812" i="2"/>
  <c r="K4811" i="2"/>
  <c r="L4811" i="2" s="1"/>
  <c r="J4811" i="2"/>
  <c r="I4811" i="2"/>
  <c r="L4810" i="2"/>
  <c r="K4810" i="2"/>
  <c r="J4810" i="2"/>
  <c r="I4810" i="2"/>
  <c r="K4809" i="2"/>
  <c r="L4809" i="2" s="1"/>
  <c r="J4809" i="2"/>
  <c r="I4809" i="2"/>
  <c r="L4808" i="2"/>
  <c r="K4808" i="2"/>
  <c r="J4808" i="2"/>
  <c r="I4808" i="2"/>
  <c r="K4807" i="2"/>
  <c r="L4807" i="2" s="1"/>
  <c r="J4807" i="2"/>
  <c r="I4807" i="2"/>
  <c r="L4806" i="2"/>
  <c r="K4806" i="2"/>
  <c r="J4806" i="2"/>
  <c r="I4806" i="2"/>
  <c r="K4805" i="2"/>
  <c r="L4805" i="2" s="1"/>
  <c r="J4805" i="2"/>
  <c r="I4805" i="2"/>
  <c r="L4804" i="2"/>
  <c r="K4804" i="2"/>
  <c r="J4804" i="2"/>
  <c r="I4804" i="2"/>
  <c r="K4803" i="2"/>
  <c r="L4803" i="2" s="1"/>
  <c r="J4803" i="2"/>
  <c r="I4803" i="2"/>
  <c r="L4802" i="2"/>
  <c r="K4802" i="2"/>
  <c r="J4802" i="2"/>
  <c r="I4802" i="2"/>
  <c r="K4801" i="2"/>
  <c r="L4801" i="2" s="1"/>
  <c r="J4801" i="2"/>
  <c r="I4801" i="2"/>
  <c r="L4800" i="2"/>
  <c r="K4800" i="2"/>
  <c r="J4800" i="2"/>
  <c r="I4800" i="2"/>
  <c r="K4799" i="2"/>
  <c r="L4799" i="2" s="1"/>
  <c r="J4799" i="2"/>
  <c r="I4799" i="2"/>
  <c r="L4798" i="2"/>
  <c r="K4798" i="2"/>
  <c r="J4798" i="2"/>
  <c r="I4798" i="2"/>
  <c r="K4797" i="2"/>
  <c r="L4797" i="2" s="1"/>
  <c r="J4797" i="2"/>
  <c r="I4797" i="2"/>
  <c r="L4796" i="2"/>
  <c r="K4796" i="2"/>
  <c r="J4796" i="2"/>
  <c r="I4796" i="2"/>
  <c r="K4795" i="2"/>
  <c r="L4795" i="2" s="1"/>
  <c r="J4795" i="2"/>
  <c r="I4795" i="2"/>
  <c r="L4794" i="2"/>
  <c r="K4794" i="2"/>
  <c r="J4794" i="2"/>
  <c r="I4794" i="2"/>
  <c r="K4793" i="2"/>
  <c r="L4793" i="2" s="1"/>
  <c r="J4793" i="2"/>
  <c r="I4793" i="2"/>
  <c r="L4792" i="2"/>
  <c r="K4792" i="2"/>
  <c r="J4792" i="2"/>
  <c r="I4792" i="2"/>
  <c r="K4791" i="2"/>
  <c r="L4791" i="2" s="1"/>
  <c r="J4791" i="2"/>
  <c r="I4791" i="2"/>
  <c r="L4790" i="2"/>
  <c r="K4790" i="2"/>
  <c r="J4790" i="2"/>
  <c r="I4790" i="2"/>
  <c r="K4789" i="2"/>
  <c r="L4789" i="2" s="1"/>
  <c r="J4789" i="2"/>
  <c r="I4789" i="2"/>
  <c r="L4788" i="2"/>
  <c r="K4788" i="2"/>
  <c r="J4788" i="2"/>
  <c r="I4788" i="2"/>
  <c r="K4787" i="2"/>
  <c r="L4787" i="2" s="1"/>
  <c r="J4787" i="2"/>
  <c r="I4787" i="2"/>
  <c r="L4786" i="2"/>
  <c r="K4786" i="2"/>
  <c r="J4786" i="2"/>
  <c r="I4786" i="2"/>
  <c r="K4785" i="2"/>
  <c r="L4785" i="2" s="1"/>
  <c r="J4785" i="2"/>
  <c r="I4785" i="2"/>
  <c r="L4784" i="2"/>
  <c r="K4784" i="2"/>
  <c r="J4784" i="2"/>
  <c r="I4784" i="2"/>
  <c r="K4783" i="2"/>
  <c r="L4783" i="2" s="1"/>
  <c r="J4783" i="2"/>
  <c r="I4783" i="2"/>
  <c r="L4782" i="2"/>
  <c r="K4782" i="2"/>
  <c r="J4782" i="2"/>
  <c r="I4782" i="2"/>
  <c r="K4781" i="2"/>
  <c r="L4781" i="2" s="1"/>
  <c r="J4781" i="2"/>
  <c r="I4781" i="2"/>
  <c r="L4780" i="2"/>
  <c r="K4780" i="2"/>
  <c r="J4780" i="2"/>
  <c r="I4780" i="2"/>
  <c r="K4779" i="2"/>
  <c r="L4779" i="2" s="1"/>
  <c r="J4779" i="2"/>
  <c r="I4779" i="2"/>
  <c r="L4778" i="2"/>
  <c r="K4778" i="2"/>
  <c r="J4778" i="2"/>
  <c r="I4778" i="2"/>
  <c r="K4777" i="2"/>
  <c r="L4777" i="2" s="1"/>
  <c r="J4777" i="2"/>
  <c r="I4777" i="2"/>
  <c r="L4776" i="2"/>
  <c r="K4776" i="2"/>
  <c r="J4776" i="2"/>
  <c r="I4776" i="2"/>
  <c r="K4775" i="2"/>
  <c r="L4775" i="2" s="1"/>
  <c r="J4775" i="2"/>
  <c r="I4775" i="2"/>
  <c r="L4774" i="2"/>
  <c r="K4774" i="2"/>
  <c r="J4774" i="2"/>
  <c r="I4774" i="2"/>
  <c r="K4773" i="2"/>
  <c r="L4773" i="2" s="1"/>
  <c r="J4773" i="2"/>
  <c r="I4773" i="2"/>
  <c r="L4772" i="2"/>
  <c r="K4772" i="2"/>
  <c r="J4772" i="2"/>
  <c r="I4772" i="2"/>
  <c r="K4771" i="2"/>
  <c r="L4771" i="2" s="1"/>
  <c r="J4771" i="2"/>
  <c r="I4771" i="2"/>
  <c r="L4770" i="2"/>
  <c r="K4770" i="2"/>
  <c r="J4770" i="2"/>
  <c r="I4770" i="2"/>
  <c r="K4769" i="2"/>
  <c r="L4769" i="2" s="1"/>
  <c r="J4769" i="2"/>
  <c r="I4769" i="2"/>
  <c r="L4768" i="2"/>
  <c r="K4768" i="2"/>
  <c r="J4768" i="2"/>
  <c r="I4768" i="2"/>
  <c r="K4767" i="2"/>
  <c r="L4767" i="2" s="1"/>
  <c r="J4767" i="2"/>
  <c r="I4767" i="2"/>
  <c r="L4766" i="2"/>
  <c r="K4766" i="2"/>
  <c r="J4766" i="2"/>
  <c r="I4766" i="2"/>
  <c r="K4765" i="2"/>
  <c r="L4765" i="2" s="1"/>
  <c r="J4765" i="2"/>
  <c r="I4765" i="2"/>
  <c r="L4764" i="2"/>
  <c r="K4764" i="2"/>
  <c r="J4764" i="2"/>
  <c r="I4764" i="2"/>
  <c r="K4763" i="2"/>
  <c r="L4763" i="2" s="1"/>
  <c r="J4763" i="2"/>
  <c r="I4763" i="2"/>
  <c r="L4762" i="2"/>
  <c r="K4762" i="2"/>
  <c r="J4762" i="2"/>
  <c r="I4762" i="2"/>
  <c r="K4761" i="2"/>
  <c r="L4761" i="2" s="1"/>
  <c r="J4761" i="2"/>
  <c r="I4761" i="2"/>
  <c r="L4760" i="2"/>
  <c r="K4760" i="2"/>
  <c r="J4760" i="2"/>
  <c r="I4760" i="2"/>
  <c r="K4759" i="2"/>
  <c r="L4759" i="2" s="1"/>
  <c r="J4759" i="2"/>
  <c r="I4759" i="2"/>
  <c r="L4758" i="2"/>
  <c r="K4758" i="2"/>
  <c r="J4758" i="2"/>
  <c r="I4758" i="2"/>
  <c r="K4757" i="2"/>
  <c r="L4757" i="2" s="1"/>
  <c r="J4757" i="2"/>
  <c r="I4757" i="2"/>
  <c r="L4756" i="2"/>
  <c r="K4756" i="2"/>
  <c r="J4756" i="2"/>
  <c r="I4756" i="2"/>
  <c r="K4755" i="2"/>
  <c r="L4755" i="2" s="1"/>
  <c r="J4755" i="2"/>
  <c r="I4755" i="2"/>
  <c r="L4754" i="2"/>
  <c r="K4754" i="2"/>
  <c r="J4754" i="2"/>
  <c r="I4754" i="2"/>
  <c r="K4753" i="2"/>
  <c r="L4753" i="2" s="1"/>
  <c r="J4753" i="2"/>
  <c r="I4753" i="2"/>
  <c r="L4752" i="2"/>
  <c r="K4752" i="2"/>
  <c r="J4752" i="2"/>
  <c r="I4752" i="2"/>
  <c r="K4751" i="2"/>
  <c r="L4751" i="2" s="1"/>
  <c r="J4751" i="2"/>
  <c r="I4751" i="2"/>
  <c r="L4750" i="2"/>
  <c r="K4750" i="2"/>
  <c r="J4750" i="2"/>
  <c r="I4750" i="2"/>
  <c r="K4749" i="2"/>
  <c r="L4749" i="2" s="1"/>
  <c r="J4749" i="2"/>
  <c r="I4749" i="2"/>
  <c r="L4748" i="2"/>
  <c r="K4748" i="2"/>
  <c r="J4748" i="2"/>
  <c r="I4748" i="2"/>
  <c r="K4747" i="2"/>
  <c r="L4747" i="2" s="1"/>
  <c r="J4747" i="2"/>
  <c r="I4747" i="2"/>
  <c r="L4746" i="2"/>
  <c r="K4746" i="2"/>
  <c r="J4746" i="2"/>
  <c r="I4746" i="2"/>
  <c r="K4745" i="2"/>
  <c r="L4745" i="2" s="1"/>
  <c r="J4745" i="2"/>
  <c r="I4745" i="2"/>
  <c r="L4744" i="2"/>
  <c r="K4744" i="2"/>
  <c r="J4744" i="2"/>
  <c r="I4744" i="2"/>
  <c r="K4743" i="2"/>
  <c r="L4743" i="2" s="1"/>
  <c r="J4743" i="2"/>
  <c r="I4743" i="2"/>
  <c r="L4742" i="2"/>
  <c r="K4742" i="2"/>
  <c r="J4742" i="2"/>
  <c r="I4742" i="2"/>
  <c r="K4741" i="2"/>
  <c r="L4741" i="2" s="1"/>
  <c r="J4741" i="2"/>
  <c r="I4741" i="2"/>
  <c r="L4740" i="2"/>
  <c r="K4740" i="2"/>
  <c r="J4740" i="2"/>
  <c r="I4740" i="2"/>
  <c r="K4739" i="2"/>
  <c r="L4739" i="2" s="1"/>
  <c r="J4739" i="2"/>
  <c r="I4739" i="2"/>
  <c r="L4738" i="2"/>
  <c r="K4738" i="2"/>
  <c r="J4738" i="2"/>
  <c r="I4738" i="2"/>
  <c r="K4737" i="2"/>
  <c r="L4737" i="2" s="1"/>
  <c r="J4737" i="2"/>
  <c r="I4737" i="2"/>
  <c r="L4736" i="2"/>
  <c r="K4736" i="2"/>
  <c r="J4736" i="2"/>
  <c r="I4736" i="2"/>
  <c r="K4735" i="2"/>
  <c r="L4735" i="2" s="1"/>
  <c r="J4735" i="2"/>
  <c r="I4735" i="2"/>
  <c r="L4734" i="2"/>
  <c r="K4734" i="2"/>
  <c r="J4734" i="2"/>
  <c r="I4734" i="2"/>
  <c r="K4733" i="2"/>
  <c r="L4733" i="2" s="1"/>
  <c r="J4733" i="2"/>
  <c r="I4733" i="2"/>
  <c r="L4732" i="2"/>
  <c r="K4732" i="2"/>
  <c r="J4732" i="2"/>
  <c r="I4732" i="2"/>
  <c r="K4731" i="2"/>
  <c r="L4731" i="2" s="1"/>
  <c r="J4731" i="2"/>
  <c r="I4731" i="2"/>
  <c r="L4730" i="2"/>
  <c r="K4730" i="2"/>
  <c r="J4730" i="2"/>
  <c r="I4730" i="2"/>
  <c r="K4729" i="2"/>
  <c r="L4729" i="2" s="1"/>
  <c r="J4729" i="2"/>
  <c r="I4729" i="2"/>
  <c r="L4728" i="2"/>
  <c r="K4728" i="2"/>
  <c r="J4728" i="2"/>
  <c r="I4728" i="2"/>
  <c r="K4727" i="2"/>
  <c r="L4727" i="2" s="1"/>
  <c r="J4727" i="2"/>
  <c r="I4727" i="2"/>
  <c r="L4726" i="2"/>
  <c r="K4726" i="2"/>
  <c r="J4726" i="2"/>
  <c r="I4726" i="2"/>
  <c r="K4725" i="2"/>
  <c r="L4725" i="2" s="1"/>
  <c r="J4725" i="2"/>
  <c r="I4725" i="2"/>
  <c r="L4724" i="2"/>
  <c r="K4724" i="2"/>
  <c r="J4724" i="2"/>
  <c r="I4724" i="2"/>
  <c r="K4723" i="2"/>
  <c r="L4723" i="2" s="1"/>
  <c r="J4723" i="2"/>
  <c r="I4723" i="2"/>
  <c r="L4722" i="2"/>
  <c r="K4722" i="2"/>
  <c r="J4722" i="2"/>
  <c r="I4722" i="2"/>
  <c r="K4721" i="2"/>
  <c r="L4721" i="2" s="1"/>
  <c r="J4721" i="2"/>
  <c r="I4721" i="2"/>
  <c r="L4720" i="2"/>
  <c r="K4720" i="2"/>
  <c r="J4720" i="2"/>
  <c r="I4720" i="2"/>
  <c r="K4719" i="2"/>
  <c r="L4719" i="2" s="1"/>
  <c r="J4719" i="2"/>
  <c r="I4719" i="2"/>
  <c r="L4718" i="2"/>
  <c r="K4718" i="2"/>
  <c r="J4718" i="2"/>
  <c r="I4718" i="2"/>
  <c r="K4717" i="2"/>
  <c r="L4717" i="2" s="1"/>
  <c r="J4717" i="2"/>
  <c r="I4717" i="2"/>
  <c r="L4716" i="2"/>
  <c r="K4716" i="2"/>
  <c r="J4716" i="2"/>
  <c r="I4716" i="2"/>
  <c r="K4715" i="2"/>
  <c r="L4715" i="2" s="1"/>
  <c r="J4715" i="2"/>
  <c r="I4715" i="2"/>
  <c r="L4714" i="2"/>
  <c r="K4714" i="2"/>
  <c r="J4714" i="2"/>
  <c r="I4714" i="2"/>
  <c r="K4713" i="2"/>
  <c r="L4713" i="2" s="1"/>
  <c r="J4713" i="2"/>
  <c r="I4713" i="2"/>
  <c r="L4712" i="2"/>
  <c r="K4712" i="2"/>
  <c r="J4712" i="2"/>
  <c r="I4712" i="2"/>
  <c r="K4711" i="2"/>
  <c r="L4711" i="2" s="1"/>
  <c r="J4711" i="2"/>
  <c r="I4711" i="2"/>
  <c r="L4710" i="2"/>
  <c r="K4710" i="2"/>
  <c r="J4710" i="2"/>
  <c r="I4710" i="2"/>
  <c r="K4709" i="2"/>
  <c r="L4709" i="2" s="1"/>
  <c r="J4709" i="2"/>
  <c r="I4709" i="2"/>
  <c r="L4708" i="2"/>
  <c r="K4708" i="2"/>
  <c r="J4708" i="2"/>
  <c r="I4708" i="2"/>
  <c r="L4707" i="2"/>
  <c r="K4707" i="2"/>
  <c r="J4707" i="2"/>
  <c r="I4707" i="2"/>
  <c r="L4706" i="2"/>
  <c r="K4706" i="2"/>
  <c r="J4706" i="2"/>
  <c r="I4706" i="2"/>
  <c r="L4705" i="2"/>
  <c r="K4705" i="2"/>
  <c r="J4705" i="2"/>
  <c r="I4705" i="2"/>
  <c r="L4704" i="2"/>
  <c r="K4704" i="2"/>
  <c r="J4704" i="2"/>
  <c r="I4704" i="2"/>
  <c r="L4703" i="2"/>
  <c r="K4703" i="2"/>
  <c r="J4703" i="2"/>
  <c r="I4703" i="2"/>
  <c r="L4702" i="2"/>
  <c r="K4702" i="2"/>
  <c r="J4702" i="2"/>
  <c r="I4702" i="2"/>
  <c r="L4701" i="2"/>
  <c r="K4701" i="2"/>
  <c r="J4701" i="2"/>
  <c r="I4701" i="2"/>
  <c r="L4700" i="2"/>
  <c r="K4700" i="2"/>
  <c r="J4700" i="2"/>
  <c r="I4700" i="2"/>
  <c r="L4699" i="2"/>
  <c r="K4699" i="2"/>
  <c r="J4699" i="2"/>
  <c r="I4699" i="2"/>
  <c r="L4698" i="2"/>
  <c r="K4698" i="2"/>
  <c r="J4698" i="2"/>
  <c r="I4698" i="2"/>
  <c r="L4697" i="2"/>
  <c r="K4697" i="2"/>
  <c r="J4697" i="2"/>
  <c r="I4697" i="2"/>
  <c r="L4696" i="2"/>
  <c r="K4696" i="2"/>
  <c r="J4696" i="2"/>
  <c r="I4696" i="2"/>
  <c r="L4695" i="2"/>
  <c r="K4695" i="2"/>
  <c r="J4695" i="2"/>
  <c r="I4695" i="2"/>
  <c r="L4694" i="2"/>
  <c r="K4694" i="2"/>
  <c r="J4694" i="2"/>
  <c r="I4694" i="2"/>
  <c r="L4693" i="2"/>
  <c r="K4693" i="2"/>
  <c r="J4693" i="2"/>
  <c r="I4693" i="2"/>
  <c r="L4692" i="2"/>
  <c r="K4692" i="2"/>
  <c r="J4692" i="2"/>
  <c r="I4692" i="2"/>
  <c r="L4691" i="2"/>
  <c r="K4691" i="2"/>
  <c r="J4691" i="2"/>
  <c r="I4691" i="2"/>
  <c r="L4690" i="2"/>
  <c r="K4690" i="2"/>
  <c r="J4690" i="2"/>
  <c r="I4690" i="2"/>
  <c r="L4689" i="2"/>
  <c r="K4689" i="2"/>
  <c r="J4689" i="2"/>
  <c r="I4689" i="2"/>
  <c r="L4688" i="2"/>
  <c r="K4688" i="2"/>
  <c r="J4688" i="2"/>
  <c r="I4688" i="2"/>
  <c r="L4687" i="2"/>
  <c r="K4687" i="2"/>
  <c r="J4687" i="2"/>
  <c r="I4687" i="2"/>
  <c r="L4686" i="2"/>
  <c r="K4686" i="2"/>
  <c r="J4686" i="2"/>
  <c r="I4686" i="2"/>
  <c r="L4685" i="2"/>
  <c r="K4685" i="2"/>
  <c r="J4685" i="2"/>
  <c r="I4685" i="2"/>
  <c r="L4684" i="2"/>
  <c r="K4684" i="2"/>
  <c r="J4684" i="2"/>
  <c r="I4684" i="2"/>
  <c r="L4683" i="2"/>
  <c r="K4683" i="2"/>
  <c r="J4683" i="2"/>
  <c r="I4683" i="2"/>
  <c r="L4682" i="2"/>
  <c r="K4682" i="2"/>
  <c r="J4682" i="2"/>
  <c r="I4682" i="2"/>
  <c r="L4681" i="2"/>
  <c r="K4681" i="2"/>
  <c r="J4681" i="2"/>
  <c r="I4681" i="2"/>
  <c r="L4680" i="2"/>
  <c r="K4680" i="2"/>
  <c r="J4680" i="2"/>
  <c r="I4680" i="2"/>
  <c r="L4679" i="2"/>
  <c r="K4679" i="2"/>
  <c r="J4679" i="2"/>
  <c r="I4679" i="2"/>
  <c r="L4678" i="2"/>
  <c r="K4678" i="2"/>
  <c r="J4678" i="2"/>
  <c r="I4678" i="2"/>
  <c r="L4677" i="2"/>
  <c r="K4677" i="2"/>
  <c r="J4677" i="2"/>
  <c r="I4677" i="2"/>
  <c r="L4676" i="2"/>
  <c r="K4676" i="2"/>
  <c r="J4676" i="2"/>
  <c r="I4676" i="2"/>
  <c r="L4675" i="2"/>
  <c r="K4675" i="2"/>
  <c r="J4675" i="2"/>
  <c r="I4675" i="2"/>
  <c r="L4674" i="2"/>
  <c r="K4674" i="2"/>
  <c r="J4674" i="2"/>
  <c r="I4674" i="2"/>
  <c r="L4673" i="2"/>
  <c r="K4673" i="2"/>
  <c r="J4673" i="2"/>
  <c r="I4673" i="2"/>
  <c r="L4672" i="2"/>
  <c r="K4672" i="2"/>
  <c r="J4672" i="2"/>
  <c r="I4672" i="2"/>
  <c r="L4671" i="2"/>
  <c r="K4671" i="2"/>
  <c r="J4671" i="2"/>
  <c r="I4671" i="2"/>
  <c r="L4670" i="2"/>
  <c r="K4670" i="2"/>
  <c r="J4670" i="2"/>
  <c r="I4670" i="2"/>
  <c r="L4669" i="2"/>
  <c r="K4669" i="2"/>
  <c r="J4669" i="2"/>
  <c r="I4669" i="2"/>
  <c r="L4668" i="2"/>
  <c r="K4668" i="2"/>
  <c r="J4668" i="2"/>
  <c r="I4668" i="2"/>
  <c r="L4667" i="2"/>
  <c r="K4667" i="2"/>
  <c r="J4667" i="2"/>
  <c r="I4667" i="2"/>
  <c r="L4666" i="2"/>
  <c r="K4666" i="2"/>
  <c r="J4666" i="2"/>
  <c r="I4666" i="2"/>
  <c r="L4665" i="2"/>
  <c r="K4665" i="2"/>
  <c r="J4665" i="2"/>
  <c r="I4665" i="2"/>
  <c r="L4664" i="2"/>
  <c r="K4664" i="2"/>
  <c r="J4664" i="2"/>
  <c r="I4664" i="2"/>
  <c r="L4663" i="2"/>
  <c r="K4663" i="2"/>
  <c r="J4663" i="2"/>
  <c r="I4663" i="2"/>
  <c r="L4662" i="2"/>
  <c r="K4662" i="2"/>
  <c r="J4662" i="2"/>
  <c r="I4662" i="2"/>
  <c r="L4661" i="2"/>
  <c r="K4661" i="2"/>
  <c r="J4661" i="2"/>
  <c r="I4661" i="2"/>
  <c r="L4660" i="2"/>
  <c r="K4660" i="2"/>
  <c r="J4660" i="2"/>
  <c r="I4660" i="2"/>
  <c r="L4659" i="2"/>
  <c r="K4659" i="2"/>
  <c r="J4659" i="2"/>
  <c r="I4659" i="2"/>
  <c r="L4658" i="2"/>
  <c r="K4658" i="2"/>
  <c r="J4658" i="2"/>
  <c r="I4658" i="2"/>
  <c r="L4657" i="2"/>
  <c r="K4657" i="2"/>
  <c r="J4657" i="2"/>
  <c r="I4657" i="2"/>
  <c r="L4656" i="2"/>
  <c r="K4656" i="2"/>
  <c r="J4656" i="2"/>
  <c r="I4656" i="2"/>
  <c r="L4655" i="2"/>
  <c r="K4655" i="2"/>
  <c r="J4655" i="2"/>
  <c r="I4655" i="2"/>
  <c r="L4654" i="2"/>
  <c r="K4654" i="2"/>
  <c r="J4654" i="2"/>
  <c r="I4654" i="2"/>
  <c r="L4653" i="2"/>
  <c r="K4653" i="2"/>
  <c r="J4653" i="2"/>
  <c r="I4653" i="2"/>
  <c r="L4652" i="2"/>
  <c r="K4652" i="2"/>
  <c r="J4652" i="2"/>
  <c r="I4652" i="2"/>
  <c r="L4651" i="2"/>
  <c r="K4651" i="2"/>
  <c r="J4651" i="2"/>
  <c r="I4651" i="2"/>
  <c r="L4650" i="2"/>
  <c r="K4650" i="2"/>
  <c r="J4650" i="2"/>
  <c r="I4650" i="2"/>
  <c r="L4649" i="2"/>
  <c r="K4649" i="2"/>
  <c r="J4649" i="2"/>
  <c r="I4649" i="2"/>
  <c r="L4648" i="2"/>
  <c r="K4648" i="2"/>
  <c r="J4648" i="2"/>
  <c r="I4648" i="2"/>
  <c r="L4647" i="2"/>
  <c r="K4647" i="2"/>
  <c r="J4647" i="2"/>
  <c r="I4647" i="2"/>
  <c r="L4646" i="2"/>
  <c r="K4646" i="2"/>
  <c r="J4646" i="2"/>
  <c r="I4646" i="2"/>
  <c r="L4645" i="2"/>
  <c r="K4645" i="2"/>
  <c r="J4645" i="2"/>
  <c r="I4645" i="2"/>
  <c r="L4644" i="2"/>
  <c r="K4644" i="2"/>
  <c r="J4644" i="2"/>
  <c r="I4644" i="2"/>
  <c r="L4643" i="2"/>
  <c r="K4643" i="2"/>
  <c r="J4643" i="2"/>
  <c r="I4643" i="2"/>
  <c r="L4642" i="2"/>
  <c r="K4642" i="2"/>
  <c r="J4642" i="2"/>
  <c r="I4642" i="2"/>
  <c r="L4641" i="2"/>
  <c r="K4641" i="2"/>
  <c r="J4641" i="2"/>
  <c r="I4641" i="2"/>
  <c r="L4640" i="2"/>
  <c r="K4640" i="2"/>
  <c r="J4640" i="2"/>
  <c r="I4640" i="2"/>
  <c r="L4639" i="2"/>
  <c r="K4639" i="2"/>
  <c r="J4639" i="2"/>
  <c r="I4639" i="2"/>
  <c r="L4638" i="2"/>
  <c r="K4638" i="2"/>
  <c r="J4638" i="2"/>
  <c r="I4638" i="2"/>
  <c r="L4637" i="2"/>
  <c r="K4637" i="2"/>
  <c r="J4637" i="2"/>
  <c r="I4637" i="2"/>
  <c r="L4636" i="2"/>
  <c r="K4636" i="2"/>
  <c r="J4636" i="2"/>
  <c r="I4636" i="2"/>
  <c r="L4635" i="2"/>
  <c r="K4635" i="2"/>
  <c r="J4635" i="2"/>
  <c r="I4635" i="2"/>
  <c r="L4634" i="2"/>
  <c r="K4634" i="2"/>
  <c r="J4634" i="2"/>
  <c r="I4634" i="2"/>
  <c r="L4633" i="2"/>
  <c r="K4633" i="2"/>
  <c r="J4633" i="2"/>
  <c r="I4633" i="2"/>
  <c r="L4632" i="2"/>
  <c r="K4632" i="2"/>
  <c r="J4632" i="2"/>
  <c r="I4632" i="2"/>
  <c r="L4631" i="2"/>
  <c r="K4631" i="2"/>
  <c r="J4631" i="2"/>
  <c r="I4631" i="2"/>
  <c r="L4630" i="2"/>
  <c r="K4630" i="2"/>
  <c r="J4630" i="2"/>
  <c r="I4630" i="2"/>
  <c r="L4629" i="2"/>
  <c r="K4629" i="2"/>
  <c r="J4629" i="2"/>
  <c r="I4629" i="2"/>
  <c r="L4628" i="2"/>
  <c r="K4628" i="2"/>
  <c r="J4628" i="2"/>
  <c r="I4628" i="2"/>
  <c r="L4627" i="2"/>
  <c r="K4627" i="2"/>
  <c r="J4627" i="2"/>
  <c r="I4627" i="2"/>
  <c r="L4626" i="2"/>
  <c r="K4626" i="2"/>
  <c r="J4626" i="2"/>
  <c r="I4626" i="2"/>
  <c r="L4625" i="2"/>
  <c r="K4625" i="2"/>
  <c r="J4625" i="2"/>
  <c r="I4625" i="2"/>
  <c r="L4624" i="2"/>
  <c r="K4624" i="2"/>
  <c r="J4624" i="2"/>
  <c r="I4624" i="2"/>
  <c r="L4623" i="2"/>
  <c r="K4623" i="2"/>
  <c r="J4623" i="2"/>
  <c r="I4623" i="2"/>
  <c r="L4622" i="2"/>
  <c r="K4622" i="2"/>
  <c r="J4622" i="2"/>
  <c r="I4622" i="2"/>
  <c r="L4621" i="2"/>
  <c r="K4621" i="2"/>
  <c r="J4621" i="2"/>
  <c r="I4621" i="2"/>
  <c r="L4620" i="2"/>
  <c r="K4620" i="2"/>
  <c r="J4620" i="2"/>
  <c r="I4620" i="2"/>
  <c r="L4619" i="2"/>
  <c r="K4619" i="2"/>
  <c r="J4619" i="2"/>
  <c r="I4619" i="2"/>
  <c r="L4618" i="2"/>
  <c r="K4618" i="2"/>
  <c r="J4618" i="2"/>
  <c r="I4618" i="2"/>
  <c r="L4617" i="2"/>
  <c r="K4617" i="2"/>
  <c r="J4617" i="2"/>
  <c r="I4617" i="2"/>
  <c r="L4616" i="2"/>
  <c r="K4616" i="2"/>
  <c r="J4616" i="2"/>
  <c r="I4616" i="2"/>
  <c r="L4615" i="2"/>
  <c r="K4615" i="2"/>
  <c r="J4615" i="2"/>
  <c r="I4615" i="2"/>
  <c r="L4614" i="2"/>
  <c r="K4614" i="2"/>
  <c r="J4614" i="2"/>
  <c r="I4614" i="2"/>
  <c r="L4613" i="2"/>
  <c r="K4613" i="2"/>
  <c r="J4613" i="2"/>
  <c r="I4613" i="2"/>
  <c r="L4612" i="2"/>
  <c r="K4612" i="2"/>
  <c r="J4612" i="2"/>
  <c r="I4612" i="2"/>
  <c r="L4611" i="2"/>
  <c r="K4611" i="2"/>
  <c r="J4611" i="2"/>
  <c r="I4611" i="2"/>
  <c r="L4610" i="2"/>
  <c r="K4610" i="2"/>
  <c r="J4610" i="2"/>
  <c r="I4610" i="2"/>
  <c r="L4609" i="2"/>
  <c r="K4609" i="2"/>
  <c r="J4609" i="2"/>
  <c r="I4609" i="2"/>
  <c r="L4608" i="2"/>
  <c r="K4608" i="2"/>
  <c r="J4608" i="2"/>
  <c r="I4608" i="2"/>
  <c r="L4607" i="2"/>
  <c r="K4607" i="2"/>
  <c r="J4607" i="2"/>
  <c r="I4607" i="2"/>
  <c r="L4606" i="2"/>
  <c r="K4606" i="2"/>
  <c r="J4606" i="2"/>
  <c r="I4606" i="2"/>
  <c r="L4605" i="2"/>
  <c r="K4605" i="2"/>
  <c r="J4605" i="2"/>
  <c r="I4605" i="2"/>
  <c r="L4604" i="2"/>
  <c r="K4604" i="2"/>
  <c r="J4604" i="2"/>
  <c r="I4604" i="2"/>
  <c r="L4603" i="2"/>
  <c r="K4603" i="2"/>
  <c r="J4603" i="2"/>
  <c r="I4603" i="2"/>
  <c r="L4602" i="2"/>
  <c r="K4602" i="2"/>
  <c r="J4602" i="2"/>
  <c r="I4602" i="2"/>
  <c r="L4601" i="2"/>
  <c r="K4601" i="2"/>
  <c r="J4601" i="2"/>
  <c r="I4601" i="2"/>
  <c r="L4600" i="2"/>
  <c r="K4600" i="2"/>
  <c r="J4600" i="2"/>
  <c r="I4600" i="2"/>
  <c r="L4599" i="2"/>
  <c r="K4599" i="2"/>
  <c r="J4599" i="2"/>
  <c r="I4599" i="2"/>
  <c r="L4598" i="2"/>
  <c r="K4598" i="2"/>
  <c r="J4598" i="2"/>
  <c r="I4598" i="2"/>
  <c r="L4597" i="2"/>
  <c r="K4597" i="2"/>
  <c r="J4597" i="2"/>
  <c r="I4597" i="2"/>
  <c r="L4596" i="2"/>
  <c r="K4596" i="2"/>
  <c r="J4596" i="2"/>
  <c r="I4596" i="2"/>
  <c r="L4595" i="2"/>
  <c r="K4595" i="2"/>
  <c r="J4595" i="2"/>
  <c r="I4595" i="2"/>
  <c r="L4594" i="2"/>
  <c r="K4594" i="2"/>
  <c r="J4594" i="2"/>
  <c r="I4594" i="2"/>
  <c r="L4593" i="2"/>
  <c r="K4593" i="2"/>
  <c r="J4593" i="2"/>
  <c r="I4593" i="2"/>
  <c r="L4592" i="2"/>
  <c r="K4592" i="2"/>
  <c r="J4592" i="2"/>
  <c r="I4592" i="2"/>
  <c r="L4591" i="2"/>
  <c r="K4591" i="2"/>
  <c r="J4591" i="2"/>
  <c r="I4591" i="2"/>
  <c r="L4590" i="2"/>
  <c r="K4590" i="2"/>
  <c r="J4590" i="2"/>
  <c r="I4590" i="2"/>
  <c r="L4589" i="2"/>
  <c r="K4589" i="2"/>
  <c r="J4589" i="2"/>
  <c r="I4589" i="2"/>
  <c r="L4588" i="2"/>
  <c r="K4588" i="2"/>
  <c r="J4588" i="2"/>
  <c r="I4588" i="2"/>
  <c r="L4587" i="2"/>
  <c r="K4587" i="2"/>
  <c r="J4587" i="2"/>
  <c r="I4587" i="2"/>
  <c r="L4586" i="2"/>
  <c r="K4586" i="2"/>
  <c r="J4586" i="2"/>
  <c r="I4586" i="2"/>
  <c r="L4585" i="2"/>
  <c r="K4585" i="2"/>
  <c r="J4585" i="2"/>
  <c r="I4585" i="2"/>
  <c r="L4584" i="2"/>
  <c r="K4584" i="2"/>
  <c r="J4584" i="2"/>
  <c r="I4584" i="2"/>
  <c r="L4583" i="2"/>
  <c r="K4583" i="2"/>
  <c r="J4583" i="2"/>
  <c r="I4583" i="2"/>
  <c r="L4582" i="2"/>
  <c r="K4582" i="2"/>
  <c r="J4582" i="2"/>
  <c r="I4582" i="2"/>
  <c r="L4581" i="2"/>
  <c r="K4581" i="2"/>
  <c r="J4581" i="2"/>
  <c r="I4581" i="2"/>
  <c r="L4580" i="2"/>
  <c r="K4580" i="2"/>
  <c r="J4580" i="2"/>
  <c r="I4580" i="2"/>
  <c r="L4579" i="2"/>
  <c r="K4579" i="2"/>
  <c r="J4579" i="2"/>
  <c r="I4579" i="2"/>
  <c r="L4578" i="2"/>
  <c r="K4578" i="2"/>
  <c r="J4578" i="2"/>
  <c r="I4578" i="2"/>
  <c r="L4577" i="2"/>
  <c r="K4577" i="2"/>
  <c r="J4577" i="2"/>
  <c r="I4577" i="2"/>
  <c r="L4576" i="2"/>
  <c r="K4576" i="2"/>
  <c r="J4576" i="2"/>
  <c r="I4576" i="2"/>
  <c r="L4575" i="2"/>
  <c r="K4575" i="2"/>
  <c r="J4575" i="2"/>
  <c r="I4575" i="2"/>
  <c r="L4574" i="2"/>
  <c r="K4574" i="2"/>
  <c r="J4574" i="2"/>
  <c r="I4574" i="2"/>
  <c r="L4573" i="2"/>
  <c r="K4573" i="2"/>
  <c r="J4573" i="2"/>
  <c r="I4573" i="2"/>
  <c r="L4572" i="2"/>
  <c r="K4572" i="2"/>
  <c r="J4572" i="2"/>
  <c r="I4572" i="2"/>
  <c r="L4571" i="2"/>
  <c r="K4571" i="2"/>
  <c r="J4571" i="2"/>
  <c r="I4571" i="2"/>
  <c r="L4570" i="2"/>
  <c r="K4570" i="2"/>
  <c r="J4570" i="2"/>
  <c r="I4570" i="2"/>
  <c r="L4569" i="2"/>
  <c r="K4569" i="2"/>
  <c r="J4569" i="2"/>
  <c r="I4569" i="2"/>
  <c r="L4568" i="2"/>
  <c r="K4568" i="2"/>
  <c r="J4568" i="2"/>
  <c r="I4568" i="2"/>
  <c r="L4567" i="2"/>
  <c r="K4567" i="2"/>
  <c r="J4567" i="2"/>
  <c r="I4567" i="2"/>
  <c r="L4566" i="2"/>
  <c r="K4566" i="2"/>
  <c r="J4566" i="2"/>
  <c r="I4566" i="2"/>
  <c r="L4565" i="2"/>
  <c r="K4565" i="2"/>
  <c r="J4565" i="2"/>
  <c r="I4565" i="2"/>
  <c r="L4564" i="2"/>
  <c r="K4564" i="2"/>
  <c r="J4564" i="2"/>
  <c r="I4564" i="2"/>
  <c r="L4563" i="2"/>
  <c r="K4563" i="2"/>
  <c r="J4563" i="2"/>
  <c r="I4563" i="2"/>
  <c r="L4562" i="2"/>
  <c r="K4562" i="2"/>
  <c r="J4562" i="2"/>
  <c r="I4562" i="2"/>
  <c r="L4561" i="2"/>
  <c r="K4561" i="2"/>
  <c r="J4561" i="2"/>
  <c r="I4561" i="2"/>
  <c r="L4560" i="2"/>
  <c r="K4560" i="2"/>
  <c r="J4560" i="2"/>
  <c r="I4560" i="2"/>
  <c r="L4559" i="2"/>
  <c r="K4559" i="2"/>
  <c r="J4559" i="2"/>
  <c r="I4559" i="2"/>
  <c r="L4558" i="2"/>
  <c r="K4558" i="2"/>
  <c r="J4558" i="2"/>
  <c r="I4558" i="2"/>
  <c r="L4557" i="2"/>
  <c r="K4557" i="2"/>
  <c r="J4557" i="2"/>
  <c r="I4557" i="2"/>
  <c r="L4556" i="2"/>
  <c r="K4556" i="2"/>
  <c r="J4556" i="2"/>
  <c r="I4556" i="2"/>
  <c r="L4555" i="2"/>
  <c r="K4555" i="2"/>
  <c r="J4555" i="2"/>
  <c r="I4555" i="2"/>
  <c r="L4554" i="2"/>
  <c r="K4554" i="2"/>
  <c r="J4554" i="2"/>
  <c r="I4554" i="2"/>
  <c r="L4553" i="2"/>
  <c r="K4553" i="2"/>
  <c r="J4553" i="2"/>
  <c r="I4553" i="2"/>
  <c r="L4552" i="2"/>
  <c r="K4552" i="2"/>
  <c r="J4552" i="2"/>
  <c r="I4552" i="2"/>
  <c r="L4551" i="2"/>
  <c r="K4551" i="2"/>
  <c r="J4551" i="2"/>
  <c r="I4551" i="2"/>
  <c r="L4550" i="2"/>
  <c r="K4550" i="2"/>
  <c r="J4550" i="2"/>
  <c r="I4550" i="2"/>
  <c r="L4549" i="2"/>
  <c r="K4549" i="2"/>
  <c r="J4549" i="2"/>
  <c r="I4549" i="2"/>
  <c r="L4548" i="2"/>
  <c r="K4548" i="2"/>
  <c r="J4548" i="2"/>
  <c r="I4548" i="2"/>
  <c r="L4547" i="2"/>
  <c r="K4547" i="2"/>
  <c r="J4547" i="2"/>
  <c r="I4547" i="2"/>
  <c r="L4546" i="2"/>
  <c r="K4546" i="2"/>
  <c r="J4546" i="2"/>
  <c r="I4546" i="2"/>
  <c r="L4545" i="2"/>
  <c r="K4545" i="2"/>
  <c r="J4545" i="2"/>
  <c r="I4545" i="2"/>
  <c r="L4544" i="2"/>
  <c r="K4544" i="2"/>
  <c r="J4544" i="2"/>
  <c r="I4544" i="2"/>
  <c r="L4543" i="2"/>
  <c r="K4543" i="2"/>
  <c r="J4543" i="2"/>
  <c r="I4543" i="2"/>
  <c r="L4542" i="2"/>
  <c r="K4542" i="2"/>
  <c r="J4542" i="2"/>
  <c r="I4542" i="2"/>
  <c r="L4541" i="2"/>
  <c r="K4541" i="2"/>
  <c r="J4541" i="2"/>
  <c r="I4541" i="2"/>
  <c r="L4540" i="2"/>
  <c r="K4540" i="2"/>
  <c r="J4540" i="2"/>
  <c r="I4540" i="2"/>
  <c r="L4539" i="2"/>
  <c r="K4539" i="2"/>
  <c r="J4539" i="2"/>
  <c r="I4539" i="2"/>
  <c r="L4538" i="2"/>
  <c r="K4538" i="2"/>
  <c r="J4538" i="2"/>
  <c r="I4538" i="2"/>
  <c r="L4537" i="2"/>
  <c r="K4537" i="2"/>
  <c r="J4537" i="2"/>
  <c r="I4537" i="2"/>
  <c r="L4536" i="2"/>
  <c r="K4536" i="2"/>
  <c r="J4536" i="2"/>
  <c r="I4536" i="2"/>
  <c r="L4535" i="2"/>
  <c r="K4535" i="2"/>
  <c r="J4535" i="2"/>
  <c r="I4535" i="2"/>
  <c r="L4534" i="2"/>
  <c r="K4534" i="2"/>
  <c r="J4534" i="2"/>
  <c r="I4534" i="2"/>
  <c r="L4533" i="2"/>
  <c r="K4533" i="2"/>
  <c r="J4533" i="2"/>
  <c r="I4533" i="2"/>
  <c r="L4532" i="2"/>
  <c r="K4532" i="2"/>
  <c r="J4532" i="2"/>
  <c r="I4532" i="2"/>
  <c r="L4531" i="2"/>
  <c r="K4531" i="2"/>
  <c r="J4531" i="2"/>
  <c r="I4531" i="2"/>
  <c r="L4530" i="2"/>
  <c r="K4530" i="2"/>
  <c r="J4530" i="2"/>
  <c r="I4530" i="2"/>
  <c r="L4529" i="2"/>
  <c r="K4529" i="2"/>
  <c r="J4529" i="2"/>
  <c r="I4529" i="2"/>
  <c r="L4528" i="2"/>
  <c r="K4528" i="2"/>
  <c r="J4528" i="2"/>
  <c r="I4528" i="2"/>
  <c r="L4527" i="2"/>
  <c r="K4527" i="2"/>
  <c r="J4527" i="2"/>
  <c r="I4527" i="2"/>
  <c r="L4526" i="2"/>
  <c r="K4526" i="2"/>
  <c r="J4526" i="2"/>
  <c r="I4526" i="2"/>
  <c r="L4525" i="2"/>
  <c r="K4525" i="2"/>
  <c r="J4525" i="2"/>
  <c r="I4525" i="2"/>
  <c r="L4524" i="2"/>
  <c r="K4524" i="2"/>
  <c r="J4524" i="2"/>
  <c r="I4524" i="2"/>
  <c r="L4523" i="2"/>
  <c r="K4523" i="2"/>
  <c r="J4523" i="2"/>
  <c r="I4523" i="2"/>
  <c r="L4522" i="2"/>
  <c r="K4522" i="2"/>
  <c r="J4522" i="2"/>
  <c r="I4522" i="2"/>
  <c r="L4521" i="2"/>
  <c r="K4521" i="2"/>
  <c r="J4521" i="2"/>
  <c r="I4521" i="2"/>
  <c r="L4520" i="2"/>
  <c r="K4520" i="2"/>
  <c r="J4520" i="2"/>
  <c r="I4520" i="2"/>
  <c r="L4519" i="2"/>
  <c r="K4519" i="2"/>
  <c r="J4519" i="2"/>
  <c r="I4519" i="2"/>
  <c r="L4518" i="2"/>
  <c r="K4518" i="2"/>
  <c r="J4518" i="2"/>
  <c r="I4518" i="2"/>
  <c r="L4517" i="2"/>
  <c r="K4517" i="2"/>
  <c r="J4517" i="2"/>
  <c r="I4517" i="2"/>
  <c r="L4516" i="2"/>
  <c r="K4516" i="2"/>
  <c r="J4516" i="2"/>
  <c r="I4516" i="2"/>
  <c r="L4515" i="2"/>
  <c r="K4515" i="2"/>
  <c r="J4515" i="2"/>
  <c r="I4515" i="2"/>
  <c r="L4514" i="2"/>
  <c r="K4514" i="2"/>
  <c r="J4514" i="2"/>
  <c r="I4514" i="2"/>
  <c r="L4513" i="2"/>
  <c r="K4513" i="2"/>
  <c r="J4513" i="2"/>
  <c r="I4513" i="2"/>
  <c r="L4512" i="2"/>
  <c r="K4512" i="2"/>
  <c r="J4512" i="2"/>
  <c r="I4512" i="2"/>
  <c r="L4511" i="2"/>
  <c r="K4511" i="2"/>
  <c r="J4511" i="2"/>
  <c r="I4511" i="2"/>
  <c r="L4510" i="2"/>
  <c r="K4510" i="2"/>
  <c r="J4510" i="2"/>
  <c r="I4510" i="2"/>
  <c r="L4509" i="2"/>
  <c r="K4509" i="2"/>
  <c r="J4509" i="2"/>
  <c r="I4509" i="2"/>
  <c r="L4508" i="2"/>
  <c r="K4508" i="2"/>
  <c r="J4508" i="2"/>
  <c r="I4508" i="2"/>
  <c r="L4507" i="2"/>
  <c r="K4507" i="2"/>
  <c r="J4507" i="2"/>
  <c r="I4507" i="2"/>
  <c r="L4506" i="2"/>
  <c r="K4506" i="2"/>
  <c r="J4506" i="2"/>
  <c r="I4506" i="2"/>
  <c r="L4505" i="2"/>
  <c r="K4505" i="2"/>
  <c r="J4505" i="2"/>
  <c r="I4505" i="2"/>
  <c r="L4504" i="2"/>
  <c r="K4504" i="2"/>
  <c r="J4504" i="2"/>
  <c r="I4504" i="2"/>
  <c r="L4503" i="2"/>
  <c r="K4503" i="2"/>
  <c r="J4503" i="2"/>
  <c r="I4503" i="2"/>
  <c r="L4502" i="2"/>
  <c r="K4502" i="2"/>
  <c r="J4502" i="2"/>
  <c r="I4502" i="2"/>
  <c r="L4501" i="2"/>
  <c r="K4501" i="2"/>
  <c r="J4501" i="2"/>
  <c r="I4501" i="2"/>
  <c r="L4500" i="2"/>
  <c r="K4500" i="2"/>
  <c r="J4500" i="2"/>
  <c r="I4500" i="2"/>
  <c r="L4499" i="2"/>
  <c r="K4499" i="2"/>
  <c r="J4499" i="2"/>
  <c r="I4499" i="2"/>
  <c r="L4498" i="2"/>
  <c r="K4498" i="2"/>
  <c r="J4498" i="2"/>
  <c r="I4498" i="2"/>
  <c r="L4497" i="2"/>
  <c r="K4497" i="2"/>
  <c r="J4497" i="2"/>
  <c r="I4497" i="2"/>
  <c r="L4496" i="2"/>
  <c r="K4496" i="2"/>
  <c r="J4496" i="2"/>
  <c r="I4496" i="2"/>
  <c r="L4495" i="2"/>
  <c r="K4495" i="2"/>
  <c r="J4495" i="2"/>
  <c r="I4495" i="2"/>
  <c r="L4494" i="2"/>
  <c r="K4494" i="2"/>
  <c r="J4494" i="2"/>
  <c r="I4494" i="2"/>
  <c r="L4493" i="2"/>
  <c r="K4493" i="2"/>
  <c r="J4493" i="2"/>
  <c r="I4493" i="2"/>
  <c r="L4492" i="2"/>
  <c r="K4492" i="2"/>
  <c r="J4492" i="2"/>
  <c r="I4492" i="2"/>
  <c r="L4491" i="2"/>
  <c r="K4491" i="2"/>
  <c r="J4491" i="2"/>
  <c r="I4491" i="2"/>
  <c r="L4490" i="2"/>
  <c r="K4490" i="2"/>
  <c r="J4490" i="2"/>
  <c r="I4490" i="2"/>
  <c r="L4489" i="2"/>
  <c r="K4489" i="2"/>
  <c r="J4489" i="2"/>
  <c r="I4489" i="2"/>
  <c r="L4488" i="2"/>
  <c r="K4488" i="2"/>
  <c r="J4488" i="2"/>
  <c r="I4488" i="2"/>
  <c r="L4487" i="2"/>
  <c r="K4487" i="2"/>
  <c r="J4487" i="2"/>
  <c r="I4487" i="2"/>
  <c r="L4486" i="2"/>
  <c r="K4486" i="2"/>
  <c r="J4486" i="2"/>
  <c r="I4486" i="2"/>
  <c r="L4485" i="2"/>
  <c r="K4485" i="2"/>
  <c r="J4485" i="2"/>
  <c r="I4485" i="2"/>
  <c r="L4484" i="2"/>
  <c r="K4484" i="2"/>
  <c r="J4484" i="2"/>
  <c r="I4484" i="2"/>
  <c r="L4483" i="2"/>
  <c r="K4483" i="2"/>
  <c r="J4483" i="2"/>
  <c r="I4483" i="2"/>
  <c r="L4482" i="2"/>
  <c r="K4482" i="2"/>
  <c r="J4482" i="2"/>
  <c r="I4482" i="2"/>
  <c r="L4481" i="2"/>
  <c r="K4481" i="2"/>
  <c r="J4481" i="2"/>
  <c r="I4481" i="2"/>
  <c r="L4480" i="2"/>
  <c r="K4480" i="2"/>
  <c r="J4480" i="2"/>
  <c r="I4480" i="2"/>
  <c r="L4479" i="2"/>
  <c r="K4479" i="2"/>
  <c r="J4479" i="2"/>
  <c r="I4479" i="2"/>
  <c r="L4478" i="2"/>
  <c r="K4478" i="2"/>
  <c r="J4478" i="2"/>
  <c r="I4478" i="2"/>
  <c r="L4477" i="2"/>
  <c r="K4477" i="2"/>
  <c r="J4477" i="2"/>
  <c r="I4477" i="2"/>
  <c r="L4476" i="2"/>
  <c r="K4476" i="2"/>
  <c r="J4476" i="2"/>
  <c r="I4476" i="2"/>
  <c r="L4475" i="2"/>
  <c r="K4475" i="2"/>
  <c r="J4475" i="2"/>
  <c r="I4475" i="2"/>
  <c r="L4474" i="2"/>
  <c r="K4474" i="2"/>
  <c r="J4474" i="2"/>
  <c r="I4474" i="2"/>
  <c r="L4473" i="2"/>
  <c r="K4473" i="2"/>
  <c r="J4473" i="2"/>
  <c r="I4473" i="2"/>
  <c r="L4472" i="2"/>
  <c r="K4472" i="2"/>
  <c r="J4472" i="2"/>
  <c r="I4472" i="2"/>
  <c r="L4471" i="2"/>
  <c r="K4471" i="2"/>
  <c r="J4471" i="2"/>
  <c r="I4471" i="2"/>
  <c r="L4470" i="2"/>
  <c r="K4470" i="2"/>
  <c r="J4470" i="2"/>
  <c r="I4470" i="2"/>
  <c r="L4469" i="2"/>
  <c r="K4469" i="2"/>
  <c r="J4469" i="2"/>
  <c r="I4469" i="2"/>
  <c r="L4468" i="2"/>
  <c r="K4468" i="2"/>
  <c r="J4468" i="2"/>
  <c r="I4468" i="2"/>
  <c r="L4467" i="2"/>
  <c r="K4467" i="2"/>
  <c r="J4467" i="2"/>
  <c r="I4467" i="2"/>
  <c r="L4466" i="2"/>
  <c r="K4466" i="2"/>
  <c r="J4466" i="2"/>
  <c r="I4466" i="2"/>
  <c r="L4465" i="2"/>
  <c r="K4465" i="2"/>
  <c r="J4465" i="2"/>
  <c r="I4465" i="2"/>
  <c r="L4464" i="2"/>
  <c r="K4464" i="2"/>
  <c r="J4464" i="2"/>
  <c r="I4464" i="2"/>
  <c r="L4463" i="2"/>
  <c r="K4463" i="2"/>
  <c r="J4463" i="2"/>
  <c r="I4463" i="2"/>
  <c r="L4462" i="2"/>
  <c r="K4462" i="2"/>
  <c r="J4462" i="2"/>
  <c r="I4462" i="2"/>
  <c r="L4461" i="2"/>
  <c r="K4461" i="2"/>
  <c r="J4461" i="2"/>
  <c r="I4461" i="2"/>
  <c r="L4460" i="2"/>
  <c r="K4460" i="2"/>
  <c r="J4460" i="2"/>
  <c r="I4460" i="2"/>
  <c r="L4459" i="2"/>
  <c r="K4459" i="2"/>
  <c r="J4459" i="2"/>
  <c r="I4459" i="2"/>
  <c r="L4458" i="2"/>
  <c r="K4458" i="2"/>
  <c r="J4458" i="2"/>
  <c r="I4458" i="2"/>
  <c r="L4457" i="2"/>
  <c r="K4457" i="2"/>
  <c r="J4457" i="2"/>
  <c r="I4457" i="2"/>
  <c r="L4456" i="2"/>
  <c r="K4456" i="2"/>
  <c r="J4456" i="2"/>
  <c r="I4456" i="2"/>
  <c r="L4455" i="2"/>
  <c r="K4455" i="2"/>
  <c r="J4455" i="2"/>
  <c r="I4455" i="2"/>
  <c r="L4454" i="2"/>
  <c r="K4454" i="2"/>
  <c r="J4454" i="2"/>
  <c r="I4454" i="2"/>
  <c r="L4453" i="2"/>
  <c r="K4453" i="2"/>
  <c r="J4453" i="2"/>
  <c r="I4453" i="2"/>
  <c r="L4452" i="2"/>
  <c r="K4452" i="2"/>
  <c r="J4452" i="2"/>
  <c r="I4452" i="2"/>
  <c r="L4451" i="2"/>
  <c r="K4451" i="2"/>
  <c r="J4451" i="2"/>
  <c r="I4451" i="2"/>
  <c r="L4450" i="2"/>
  <c r="K4450" i="2"/>
  <c r="J4450" i="2"/>
  <c r="I4450" i="2"/>
  <c r="L4449" i="2"/>
  <c r="K4449" i="2"/>
  <c r="J4449" i="2"/>
  <c r="I4449" i="2"/>
  <c r="L4448" i="2"/>
  <c r="K4448" i="2"/>
  <c r="J4448" i="2"/>
  <c r="I4448" i="2"/>
  <c r="L4447" i="2"/>
  <c r="K4447" i="2"/>
  <c r="J4447" i="2"/>
  <c r="I4447" i="2"/>
  <c r="L4446" i="2"/>
  <c r="K4446" i="2"/>
  <c r="J4446" i="2"/>
  <c r="I4446" i="2"/>
  <c r="L4445" i="2"/>
  <c r="K4445" i="2"/>
  <c r="J4445" i="2"/>
  <c r="I4445" i="2"/>
  <c r="L4444" i="2"/>
  <c r="K4444" i="2"/>
  <c r="J4444" i="2"/>
  <c r="I4444" i="2"/>
  <c r="L4443" i="2"/>
  <c r="K4443" i="2"/>
  <c r="J4443" i="2"/>
  <c r="I4443" i="2"/>
  <c r="L4442" i="2"/>
  <c r="K4442" i="2"/>
  <c r="J4442" i="2"/>
  <c r="I4442" i="2"/>
  <c r="L4441" i="2"/>
  <c r="K4441" i="2"/>
  <c r="J4441" i="2"/>
  <c r="I4441" i="2"/>
  <c r="L4440" i="2"/>
  <c r="K4440" i="2"/>
  <c r="J4440" i="2"/>
  <c r="I4440" i="2"/>
  <c r="L4439" i="2"/>
  <c r="K4439" i="2"/>
  <c r="J4439" i="2"/>
  <c r="I4439" i="2"/>
  <c r="L4438" i="2"/>
  <c r="K4438" i="2"/>
  <c r="J4438" i="2"/>
  <c r="I4438" i="2"/>
  <c r="L4437" i="2"/>
  <c r="K4437" i="2"/>
  <c r="J4437" i="2"/>
  <c r="I4437" i="2"/>
  <c r="L4436" i="2"/>
  <c r="K4436" i="2"/>
  <c r="J4436" i="2"/>
  <c r="I4436" i="2"/>
  <c r="L4435" i="2"/>
  <c r="K4435" i="2"/>
  <c r="J4435" i="2"/>
  <c r="I4435" i="2"/>
  <c r="L4434" i="2"/>
  <c r="K4434" i="2"/>
  <c r="J4434" i="2"/>
  <c r="I4434" i="2"/>
  <c r="L4433" i="2"/>
  <c r="K4433" i="2"/>
  <c r="J4433" i="2"/>
  <c r="I4433" i="2"/>
  <c r="L4432" i="2"/>
  <c r="K4432" i="2"/>
  <c r="J4432" i="2"/>
  <c r="I4432" i="2"/>
  <c r="L4431" i="2"/>
  <c r="K4431" i="2"/>
  <c r="J4431" i="2"/>
  <c r="I4431" i="2"/>
  <c r="L4430" i="2"/>
  <c r="K4430" i="2"/>
  <c r="J4430" i="2"/>
  <c r="I4430" i="2"/>
  <c r="L4429" i="2"/>
  <c r="K4429" i="2"/>
  <c r="J4429" i="2"/>
  <c r="I4429" i="2"/>
  <c r="L4428" i="2"/>
  <c r="K4428" i="2"/>
  <c r="J4428" i="2"/>
  <c r="I4428" i="2"/>
  <c r="L4427" i="2"/>
  <c r="K4427" i="2"/>
  <c r="J4427" i="2"/>
  <c r="I4427" i="2"/>
  <c r="L4426" i="2"/>
  <c r="K4426" i="2"/>
  <c r="J4426" i="2"/>
  <c r="I4426" i="2"/>
  <c r="L4425" i="2"/>
  <c r="K4425" i="2"/>
  <c r="J4425" i="2"/>
  <c r="I4425" i="2"/>
  <c r="L4424" i="2"/>
  <c r="K4424" i="2"/>
  <c r="J4424" i="2"/>
  <c r="I4424" i="2"/>
  <c r="L4423" i="2"/>
  <c r="K4423" i="2"/>
  <c r="J4423" i="2"/>
  <c r="I4423" i="2"/>
  <c r="L4422" i="2"/>
  <c r="K4422" i="2"/>
  <c r="J4422" i="2"/>
  <c r="I4422" i="2"/>
  <c r="L4421" i="2"/>
  <c r="K4421" i="2"/>
  <c r="J4421" i="2"/>
  <c r="I4421" i="2"/>
  <c r="L4420" i="2"/>
  <c r="K4420" i="2"/>
  <c r="J4420" i="2"/>
  <c r="I4420" i="2"/>
  <c r="L4419" i="2"/>
  <c r="K4419" i="2"/>
  <c r="J4419" i="2"/>
  <c r="I4419" i="2"/>
  <c r="L4418" i="2"/>
  <c r="K4418" i="2"/>
  <c r="J4418" i="2"/>
  <c r="I4418" i="2"/>
  <c r="L4417" i="2"/>
  <c r="K4417" i="2"/>
  <c r="J4417" i="2"/>
  <c r="I4417" i="2"/>
  <c r="L4416" i="2"/>
  <c r="K4416" i="2"/>
  <c r="J4416" i="2"/>
  <c r="I4416" i="2"/>
  <c r="L4415" i="2"/>
  <c r="K4415" i="2"/>
  <c r="J4415" i="2"/>
  <c r="I4415" i="2"/>
  <c r="L4414" i="2"/>
  <c r="K4414" i="2"/>
  <c r="J4414" i="2"/>
  <c r="I4414" i="2"/>
  <c r="L4413" i="2"/>
  <c r="K4413" i="2"/>
  <c r="J4413" i="2"/>
  <c r="I4413" i="2"/>
  <c r="L4412" i="2"/>
  <c r="K4412" i="2"/>
  <c r="J4412" i="2"/>
  <c r="I4412" i="2"/>
  <c r="L4411" i="2"/>
  <c r="K4411" i="2"/>
  <c r="J4411" i="2"/>
  <c r="I4411" i="2"/>
  <c r="L4410" i="2"/>
  <c r="K4410" i="2"/>
  <c r="J4410" i="2"/>
  <c r="I4410" i="2"/>
  <c r="L4409" i="2"/>
  <c r="K4409" i="2"/>
  <c r="J4409" i="2"/>
  <c r="I4409" i="2"/>
  <c r="L4408" i="2"/>
  <c r="K4408" i="2"/>
  <c r="J4408" i="2"/>
  <c r="I4408" i="2"/>
  <c r="L4407" i="2"/>
  <c r="K4407" i="2"/>
  <c r="J4407" i="2"/>
  <c r="I4407" i="2"/>
  <c r="L4406" i="2"/>
  <c r="K4406" i="2"/>
  <c r="J4406" i="2"/>
  <c r="I4406" i="2"/>
  <c r="L4405" i="2"/>
  <c r="K4405" i="2"/>
  <c r="J4405" i="2"/>
  <c r="I4405" i="2"/>
  <c r="L4404" i="2"/>
  <c r="K4404" i="2"/>
  <c r="J4404" i="2"/>
  <c r="I4404" i="2"/>
  <c r="L4403" i="2"/>
  <c r="K4403" i="2"/>
  <c r="J4403" i="2"/>
  <c r="I4403" i="2"/>
  <c r="L4402" i="2"/>
  <c r="K4402" i="2"/>
  <c r="J4402" i="2"/>
  <c r="I4402" i="2"/>
  <c r="L4401" i="2"/>
  <c r="K4401" i="2"/>
  <c r="J4401" i="2"/>
  <c r="I4401" i="2"/>
  <c r="L4400" i="2"/>
  <c r="K4400" i="2"/>
  <c r="J4400" i="2"/>
  <c r="I4400" i="2"/>
  <c r="L4399" i="2"/>
  <c r="K4399" i="2"/>
  <c r="J4399" i="2"/>
  <c r="I4399" i="2"/>
  <c r="L4398" i="2"/>
  <c r="K4398" i="2"/>
  <c r="J4398" i="2"/>
  <c r="I4398" i="2"/>
  <c r="L4397" i="2"/>
  <c r="K4397" i="2"/>
  <c r="J4397" i="2"/>
  <c r="I4397" i="2"/>
  <c r="L4396" i="2"/>
  <c r="K4396" i="2"/>
  <c r="J4396" i="2"/>
  <c r="I4396" i="2"/>
  <c r="L4395" i="2"/>
  <c r="K4395" i="2"/>
  <c r="J4395" i="2"/>
  <c r="I4395" i="2"/>
  <c r="L4394" i="2"/>
  <c r="K4394" i="2"/>
  <c r="J4394" i="2"/>
  <c r="I4394" i="2"/>
  <c r="L4393" i="2"/>
  <c r="K4393" i="2"/>
  <c r="J4393" i="2"/>
  <c r="I4393" i="2"/>
  <c r="L4392" i="2"/>
  <c r="K4392" i="2"/>
  <c r="J4392" i="2"/>
  <c r="I4392" i="2"/>
  <c r="L4391" i="2"/>
  <c r="K4391" i="2"/>
  <c r="J4391" i="2"/>
  <c r="I4391" i="2"/>
  <c r="L4390" i="2"/>
  <c r="K4390" i="2"/>
  <c r="J4390" i="2"/>
  <c r="I4390" i="2"/>
  <c r="L4389" i="2"/>
  <c r="K4389" i="2"/>
  <c r="J4389" i="2"/>
  <c r="I4389" i="2"/>
  <c r="L4388" i="2"/>
  <c r="K4388" i="2"/>
  <c r="J4388" i="2"/>
  <c r="I4388" i="2"/>
  <c r="L4387" i="2"/>
  <c r="K4387" i="2"/>
  <c r="J4387" i="2"/>
  <c r="I4387" i="2"/>
  <c r="L4386" i="2"/>
  <c r="K4386" i="2"/>
  <c r="J4386" i="2"/>
  <c r="I4386" i="2"/>
  <c r="L4385" i="2"/>
  <c r="K4385" i="2"/>
  <c r="J4385" i="2"/>
  <c r="I4385" i="2"/>
  <c r="L4384" i="2"/>
  <c r="K4384" i="2"/>
  <c r="J4384" i="2"/>
  <c r="I4384" i="2"/>
  <c r="L4383" i="2"/>
  <c r="K4383" i="2"/>
  <c r="J4383" i="2"/>
  <c r="I4383" i="2"/>
  <c r="L4382" i="2"/>
  <c r="K4382" i="2"/>
  <c r="J4382" i="2"/>
  <c r="I4382" i="2"/>
  <c r="L4381" i="2"/>
  <c r="K4381" i="2"/>
  <c r="J4381" i="2"/>
  <c r="I4381" i="2"/>
  <c r="L4380" i="2"/>
  <c r="K4380" i="2"/>
  <c r="J4380" i="2"/>
  <c r="I4380" i="2"/>
  <c r="L4379" i="2"/>
  <c r="K4379" i="2"/>
  <c r="J4379" i="2"/>
  <c r="I4379" i="2"/>
  <c r="L4378" i="2"/>
  <c r="K4378" i="2"/>
  <c r="J4378" i="2"/>
  <c r="I4378" i="2"/>
  <c r="L4377" i="2"/>
  <c r="K4377" i="2"/>
  <c r="J4377" i="2"/>
  <c r="I4377" i="2"/>
  <c r="L4376" i="2"/>
  <c r="K4376" i="2"/>
  <c r="J4376" i="2"/>
  <c r="I4376" i="2"/>
  <c r="L4375" i="2"/>
  <c r="K4375" i="2"/>
  <c r="J4375" i="2"/>
  <c r="I4375" i="2"/>
  <c r="L4374" i="2"/>
  <c r="K4374" i="2"/>
  <c r="J4374" i="2"/>
  <c r="I4374" i="2"/>
  <c r="L4373" i="2"/>
  <c r="K4373" i="2"/>
  <c r="J4373" i="2"/>
  <c r="I4373" i="2"/>
  <c r="L4372" i="2"/>
  <c r="K4372" i="2"/>
  <c r="J4372" i="2"/>
  <c r="I4372" i="2"/>
  <c r="L4371" i="2"/>
  <c r="K4371" i="2"/>
  <c r="J4371" i="2"/>
  <c r="I4371" i="2"/>
  <c r="L4370" i="2"/>
  <c r="K4370" i="2"/>
  <c r="J4370" i="2"/>
  <c r="I4370" i="2"/>
  <c r="L4369" i="2"/>
  <c r="K4369" i="2"/>
  <c r="J4369" i="2"/>
  <c r="I4369" i="2"/>
  <c r="L4368" i="2"/>
  <c r="K4368" i="2"/>
  <c r="J4368" i="2"/>
  <c r="I4368" i="2"/>
  <c r="L4367" i="2"/>
  <c r="K4367" i="2"/>
  <c r="J4367" i="2"/>
  <c r="I4367" i="2"/>
  <c r="L4366" i="2"/>
  <c r="K4366" i="2"/>
  <c r="J4366" i="2"/>
  <c r="I4366" i="2"/>
  <c r="L4365" i="2"/>
  <c r="K4365" i="2"/>
  <c r="J4365" i="2"/>
  <c r="I4365" i="2"/>
  <c r="L4364" i="2"/>
  <c r="K4364" i="2"/>
  <c r="J4364" i="2"/>
  <c r="I4364" i="2"/>
  <c r="L4363" i="2"/>
  <c r="K4363" i="2"/>
  <c r="J4363" i="2"/>
  <c r="I4363" i="2"/>
  <c r="L4362" i="2"/>
  <c r="K4362" i="2"/>
  <c r="J4362" i="2"/>
  <c r="I4362" i="2"/>
  <c r="L4361" i="2"/>
  <c r="K4361" i="2"/>
  <c r="J4361" i="2"/>
  <c r="I4361" i="2"/>
  <c r="L4360" i="2"/>
  <c r="K4360" i="2"/>
  <c r="J4360" i="2"/>
  <c r="I4360" i="2"/>
  <c r="L4359" i="2"/>
  <c r="K4359" i="2"/>
  <c r="J4359" i="2"/>
  <c r="I4359" i="2"/>
  <c r="L4358" i="2"/>
  <c r="K4358" i="2"/>
  <c r="J4358" i="2"/>
  <c r="I4358" i="2"/>
  <c r="L4357" i="2"/>
  <c r="K4357" i="2"/>
  <c r="J4357" i="2"/>
  <c r="I4357" i="2"/>
  <c r="L4356" i="2"/>
  <c r="K4356" i="2"/>
  <c r="J4356" i="2"/>
  <c r="I4356" i="2"/>
  <c r="L4355" i="2"/>
  <c r="K4355" i="2"/>
  <c r="J4355" i="2"/>
  <c r="I4355" i="2"/>
  <c r="L4354" i="2"/>
  <c r="K4354" i="2"/>
  <c r="J4354" i="2"/>
  <c r="I4354" i="2"/>
  <c r="L4353" i="2"/>
  <c r="K4353" i="2"/>
  <c r="J4353" i="2"/>
  <c r="I4353" i="2"/>
  <c r="L4352" i="2"/>
  <c r="K4352" i="2"/>
  <c r="J4352" i="2"/>
  <c r="I4352" i="2"/>
  <c r="L4351" i="2"/>
  <c r="K4351" i="2"/>
  <c r="J4351" i="2"/>
  <c r="I4351" i="2"/>
  <c r="L4350" i="2"/>
  <c r="K4350" i="2"/>
  <c r="J4350" i="2"/>
  <c r="I4350" i="2"/>
  <c r="L4349" i="2"/>
  <c r="K4349" i="2"/>
  <c r="J4349" i="2"/>
  <c r="I4349" i="2"/>
  <c r="L4348" i="2"/>
  <c r="K4348" i="2"/>
  <c r="J4348" i="2"/>
  <c r="I4348" i="2"/>
  <c r="L4347" i="2"/>
  <c r="K4347" i="2"/>
  <c r="J4347" i="2"/>
  <c r="I4347" i="2"/>
  <c r="L4346" i="2"/>
  <c r="K4346" i="2"/>
  <c r="J4346" i="2"/>
  <c r="I4346" i="2"/>
  <c r="L4345" i="2"/>
  <c r="K4345" i="2"/>
  <c r="J4345" i="2"/>
  <c r="I4345" i="2"/>
  <c r="L4344" i="2"/>
  <c r="K4344" i="2"/>
  <c r="J4344" i="2"/>
  <c r="I4344" i="2"/>
  <c r="L4343" i="2"/>
  <c r="K4343" i="2"/>
  <c r="J4343" i="2"/>
  <c r="I4343" i="2"/>
  <c r="L4342" i="2"/>
  <c r="K4342" i="2"/>
  <c r="J4342" i="2"/>
  <c r="I4342" i="2"/>
  <c r="L4341" i="2"/>
  <c r="K4341" i="2"/>
  <c r="J4341" i="2"/>
  <c r="I4341" i="2"/>
  <c r="L4340" i="2"/>
  <c r="K4340" i="2"/>
  <c r="J4340" i="2"/>
  <c r="I4340" i="2"/>
  <c r="L4339" i="2"/>
  <c r="K4339" i="2"/>
  <c r="J4339" i="2"/>
  <c r="I4339" i="2"/>
  <c r="L4338" i="2"/>
  <c r="K4338" i="2"/>
  <c r="J4338" i="2"/>
  <c r="I4338" i="2"/>
  <c r="L4337" i="2"/>
  <c r="K4337" i="2"/>
  <c r="J4337" i="2"/>
  <c r="I4337" i="2"/>
  <c r="L4336" i="2"/>
  <c r="K4336" i="2"/>
  <c r="J4336" i="2"/>
  <c r="I4336" i="2"/>
  <c r="L4335" i="2"/>
  <c r="K4335" i="2"/>
  <c r="J4335" i="2"/>
  <c r="I4335" i="2"/>
  <c r="L4334" i="2"/>
  <c r="K4334" i="2"/>
  <c r="J4334" i="2"/>
  <c r="I4334" i="2"/>
  <c r="L4333" i="2"/>
  <c r="K4333" i="2"/>
  <c r="J4333" i="2"/>
  <c r="I4333" i="2"/>
  <c r="L4332" i="2"/>
  <c r="K4332" i="2"/>
  <c r="J4332" i="2"/>
  <c r="I4332" i="2"/>
  <c r="L4331" i="2"/>
  <c r="K4331" i="2"/>
  <c r="J4331" i="2"/>
  <c r="I4331" i="2"/>
  <c r="L4330" i="2"/>
  <c r="K4330" i="2"/>
  <c r="J4330" i="2"/>
  <c r="I4330" i="2"/>
  <c r="L4329" i="2"/>
  <c r="K4329" i="2"/>
  <c r="J4329" i="2"/>
  <c r="I4329" i="2"/>
  <c r="L4328" i="2"/>
  <c r="K4328" i="2"/>
  <c r="J4328" i="2"/>
  <c r="I4328" i="2"/>
  <c r="L4327" i="2"/>
  <c r="K4327" i="2"/>
  <c r="J4327" i="2"/>
  <c r="I4327" i="2"/>
  <c r="L4326" i="2"/>
  <c r="K4326" i="2"/>
  <c r="J4326" i="2"/>
  <c r="I4326" i="2"/>
  <c r="L4325" i="2"/>
  <c r="K4325" i="2"/>
  <c r="J4325" i="2"/>
  <c r="I4325" i="2"/>
  <c r="L4324" i="2"/>
  <c r="K4324" i="2"/>
  <c r="J4324" i="2"/>
  <c r="I4324" i="2"/>
  <c r="L4323" i="2"/>
  <c r="K4323" i="2"/>
  <c r="J4323" i="2"/>
  <c r="I4323" i="2"/>
  <c r="L4322" i="2"/>
  <c r="K4322" i="2"/>
  <c r="J4322" i="2"/>
  <c r="I4322" i="2"/>
  <c r="L4321" i="2"/>
  <c r="K4321" i="2"/>
  <c r="J4321" i="2"/>
  <c r="I4321" i="2"/>
  <c r="L4320" i="2"/>
  <c r="K4320" i="2"/>
  <c r="J4320" i="2"/>
  <c r="I4320" i="2"/>
  <c r="L4319" i="2"/>
  <c r="K4319" i="2"/>
  <c r="J4319" i="2"/>
  <c r="I4319" i="2"/>
  <c r="L4318" i="2"/>
  <c r="K4318" i="2"/>
  <c r="J4318" i="2"/>
  <c r="I4318" i="2"/>
  <c r="L4317" i="2"/>
  <c r="K4317" i="2"/>
  <c r="J4317" i="2"/>
  <c r="I4317" i="2"/>
  <c r="L4316" i="2"/>
  <c r="K4316" i="2"/>
  <c r="J4316" i="2"/>
  <c r="I4316" i="2"/>
  <c r="L4315" i="2"/>
  <c r="K4315" i="2"/>
  <c r="J4315" i="2"/>
  <c r="I4315" i="2"/>
  <c r="L4314" i="2"/>
  <c r="K4314" i="2"/>
  <c r="J4314" i="2"/>
  <c r="I4314" i="2"/>
  <c r="L4313" i="2"/>
  <c r="K4313" i="2"/>
  <c r="J4313" i="2"/>
  <c r="I4313" i="2"/>
  <c r="L4312" i="2"/>
  <c r="K4312" i="2"/>
  <c r="J4312" i="2"/>
  <c r="I4312" i="2"/>
  <c r="L4311" i="2"/>
  <c r="K4311" i="2"/>
  <c r="J4311" i="2"/>
  <c r="I4311" i="2"/>
  <c r="L4310" i="2"/>
  <c r="K4310" i="2"/>
  <c r="J4310" i="2"/>
  <c r="I4310" i="2"/>
  <c r="L4309" i="2"/>
  <c r="K4309" i="2"/>
  <c r="J4309" i="2"/>
  <c r="I4309" i="2"/>
  <c r="L4308" i="2"/>
  <c r="K4308" i="2"/>
  <c r="J4308" i="2"/>
  <c r="I4308" i="2"/>
  <c r="L4307" i="2"/>
  <c r="K4307" i="2"/>
  <c r="J4307" i="2"/>
  <c r="I4307" i="2"/>
  <c r="L4306" i="2"/>
  <c r="K4306" i="2"/>
  <c r="J4306" i="2"/>
  <c r="I4306" i="2"/>
  <c r="L4305" i="2"/>
  <c r="K4305" i="2"/>
  <c r="J4305" i="2"/>
  <c r="I4305" i="2"/>
  <c r="L4304" i="2"/>
  <c r="K4304" i="2"/>
  <c r="J4304" i="2"/>
  <c r="I4304" i="2"/>
  <c r="I4303" i="2"/>
  <c r="I4302" i="2"/>
  <c r="I4301" i="2"/>
  <c r="L4300" i="2"/>
  <c r="K4300" i="2"/>
  <c r="J4300" i="2"/>
  <c r="I4300" i="2"/>
  <c r="K4299" i="2"/>
  <c r="L4299" i="2" s="1"/>
  <c r="J4299" i="2"/>
  <c r="I4299" i="2"/>
  <c r="L4298" i="2"/>
  <c r="K4298" i="2"/>
  <c r="J4298" i="2"/>
  <c r="I4298" i="2"/>
  <c r="K4297" i="2"/>
  <c r="L4297" i="2" s="1"/>
  <c r="J4297" i="2"/>
  <c r="I4297" i="2"/>
  <c r="L4296" i="2"/>
  <c r="K4296" i="2"/>
  <c r="J4296" i="2"/>
  <c r="I4296" i="2"/>
  <c r="K4295" i="2"/>
  <c r="L4295" i="2" s="1"/>
  <c r="J4295" i="2"/>
  <c r="I4295" i="2"/>
  <c r="L4294" i="2"/>
  <c r="K4294" i="2"/>
  <c r="J4294" i="2"/>
  <c r="I4294" i="2"/>
  <c r="K4293" i="2"/>
  <c r="L4293" i="2" s="1"/>
  <c r="J4293" i="2"/>
  <c r="I4293" i="2"/>
  <c r="L4292" i="2"/>
  <c r="K4292" i="2"/>
  <c r="J4292" i="2"/>
  <c r="I4292" i="2"/>
  <c r="K4291" i="2"/>
  <c r="L4291" i="2" s="1"/>
  <c r="J4291" i="2"/>
  <c r="I4291" i="2"/>
  <c r="L4290" i="2"/>
  <c r="K4290" i="2"/>
  <c r="J4290" i="2"/>
  <c r="I4290" i="2"/>
  <c r="K4289" i="2"/>
  <c r="L4289" i="2" s="1"/>
  <c r="J4289" i="2"/>
  <c r="I4289" i="2"/>
  <c r="L4288" i="2"/>
  <c r="K4288" i="2"/>
  <c r="J4288" i="2"/>
  <c r="I4288" i="2"/>
  <c r="K4287" i="2"/>
  <c r="L4287" i="2" s="1"/>
  <c r="J4287" i="2"/>
  <c r="I4287" i="2"/>
  <c r="L4286" i="2"/>
  <c r="K4286" i="2"/>
  <c r="J4286" i="2"/>
  <c r="I4286" i="2"/>
  <c r="K4285" i="2"/>
  <c r="L4285" i="2" s="1"/>
  <c r="J4285" i="2"/>
  <c r="I4285" i="2"/>
  <c r="L4284" i="2"/>
  <c r="K4284" i="2"/>
  <c r="J4284" i="2"/>
  <c r="I4284" i="2"/>
  <c r="K4283" i="2"/>
  <c r="L4283" i="2" s="1"/>
  <c r="J4283" i="2"/>
  <c r="I4283" i="2"/>
  <c r="L4282" i="2"/>
  <c r="K4282" i="2"/>
  <c r="J4282" i="2"/>
  <c r="I4282" i="2"/>
  <c r="K4281" i="2"/>
  <c r="L4281" i="2" s="1"/>
  <c r="J4281" i="2"/>
  <c r="I4281" i="2"/>
  <c r="L4280" i="2"/>
  <c r="K4280" i="2"/>
  <c r="J4280" i="2"/>
  <c r="I4280" i="2"/>
  <c r="K4279" i="2"/>
  <c r="L4279" i="2" s="1"/>
  <c r="J4279" i="2"/>
  <c r="I4279" i="2"/>
  <c r="L4278" i="2"/>
  <c r="K4278" i="2"/>
  <c r="J4278" i="2"/>
  <c r="I4278" i="2"/>
  <c r="K4277" i="2"/>
  <c r="L4277" i="2" s="1"/>
  <c r="J4277" i="2"/>
  <c r="I4277" i="2"/>
  <c r="L4276" i="2"/>
  <c r="K4276" i="2"/>
  <c r="J4276" i="2"/>
  <c r="I4276" i="2"/>
  <c r="K4275" i="2"/>
  <c r="L4275" i="2" s="1"/>
  <c r="J4275" i="2"/>
  <c r="I4275" i="2"/>
  <c r="L4274" i="2"/>
  <c r="K4274" i="2"/>
  <c r="J4274" i="2"/>
  <c r="I4274" i="2"/>
  <c r="K4273" i="2"/>
  <c r="L4273" i="2" s="1"/>
  <c r="J4273" i="2"/>
  <c r="I4273" i="2"/>
  <c r="L4272" i="2"/>
  <c r="K4272" i="2"/>
  <c r="J4272" i="2"/>
  <c r="I4272" i="2"/>
  <c r="K4271" i="2"/>
  <c r="L4271" i="2" s="1"/>
  <c r="J4271" i="2"/>
  <c r="I4271" i="2"/>
  <c r="L4270" i="2"/>
  <c r="K4270" i="2"/>
  <c r="J4270" i="2"/>
  <c r="I4270" i="2"/>
  <c r="K4269" i="2"/>
  <c r="L4269" i="2" s="1"/>
  <c r="J4269" i="2"/>
  <c r="I4269" i="2"/>
  <c r="L4268" i="2"/>
  <c r="K4268" i="2"/>
  <c r="J4268" i="2"/>
  <c r="I4268" i="2"/>
  <c r="K4267" i="2"/>
  <c r="L4267" i="2" s="1"/>
  <c r="J4267" i="2"/>
  <c r="I4267" i="2"/>
  <c r="L4266" i="2"/>
  <c r="K4266" i="2"/>
  <c r="J4266" i="2"/>
  <c r="I4266" i="2"/>
  <c r="K4265" i="2"/>
  <c r="L4265" i="2" s="1"/>
  <c r="J4265" i="2"/>
  <c r="I4265" i="2"/>
  <c r="L4264" i="2"/>
  <c r="K4264" i="2"/>
  <c r="J4264" i="2"/>
  <c r="I4264" i="2"/>
  <c r="K4263" i="2"/>
  <c r="L4263" i="2" s="1"/>
  <c r="J4263" i="2"/>
  <c r="I4263" i="2"/>
  <c r="L4262" i="2"/>
  <c r="K4262" i="2"/>
  <c r="J4262" i="2"/>
  <c r="I4262" i="2"/>
  <c r="K4261" i="2"/>
  <c r="L4261" i="2" s="1"/>
  <c r="J4261" i="2"/>
  <c r="I4261" i="2"/>
  <c r="L4260" i="2"/>
  <c r="K4260" i="2"/>
  <c r="J4260" i="2"/>
  <c r="I4260" i="2"/>
  <c r="K4259" i="2"/>
  <c r="L4259" i="2" s="1"/>
  <c r="J4259" i="2"/>
  <c r="I4259" i="2"/>
  <c r="L4258" i="2"/>
  <c r="K4258" i="2"/>
  <c r="J4258" i="2"/>
  <c r="I4258" i="2"/>
  <c r="K4257" i="2"/>
  <c r="L4257" i="2" s="1"/>
  <c r="J4257" i="2"/>
  <c r="I4257" i="2"/>
  <c r="L4256" i="2"/>
  <c r="K4256" i="2"/>
  <c r="J4256" i="2"/>
  <c r="I4256" i="2"/>
  <c r="K4255" i="2"/>
  <c r="L4255" i="2" s="1"/>
  <c r="J4255" i="2"/>
  <c r="I4255" i="2"/>
  <c r="L4254" i="2"/>
  <c r="K4254" i="2"/>
  <c r="J4254" i="2"/>
  <c r="I4254" i="2"/>
  <c r="K4253" i="2"/>
  <c r="L4253" i="2" s="1"/>
  <c r="J4253" i="2"/>
  <c r="I4253" i="2"/>
  <c r="L4252" i="2"/>
  <c r="K4252" i="2"/>
  <c r="J4252" i="2"/>
  <c r="I4252" i="2"/>
  <c r="K4251" i="2"/>
  <c r="L4251" i="2" s="1"/>
  <c r="J4251" i="2"/>
  <c r="I4251" i="2"/>
  <c r="L4250" i="2"/>
  <c r="K4250" i="2"/>
  <c r="J4250" i="2"/>
  <c r="I4250" i="2"/>
  <c r="K4249" i="2"/>
  <c r="L4249" i="2" s="1"/>
  <c r="J4249" i="2"/>
  <c r="I4249" i="2"/>
  <c r="L4248" i="2"/>
  <c r="K4248" i="2"/>
  <c r="J4248" i="2"/>
  <c r="I4248" i="2"/>
  <c r="K4247" i="2"/>
  <c r="L4247" i="2" s="1"/>
  <c r="J4247" i="2"/>
  <c r="I4247" i="2"/>
  <c r="L4246" i="2"/>
  <c r="K4246" i="2"/>
  <c r="J4246" i="2"/>
  <c r="I4246" i="2"/>
  <c r="K4245" i="2"/>
  <c r="L4245" i="2" s="1"/>
  <c r="J4245" i="2"/>
  <c r="I4245" i="2"/>
  <c r="L4244" i="2"/>
  <c r="K4244" i="2"/>
  <c r="J4244" i="2"/>
  <c r="I4244" i="2"/>
  <c r="K4243" i="2"/>
  <c r="L4243" i="2" s="1"/>
  <c r="J4243" i="2"/>
  <c r="I4243" i="2"/>
  <c r="L4242" i="2"/>
  <c r="K4242" i="2"/>
  <c r="J4242" i="2"/>
  <c r="I4242" i="2"/>
  <c r="K4241" i="2"/>
  <c r="L4241" i="2" s="1"/>
  <c r="J4241" i="2"/>
  <c r="I4241" i="2"/>
  <c r="L4240" i="2"/>
  <c r="K4240" i="2"/>
  <c r="J4240" i="2"/>
  <c r="I4240" i="2"/>
  <c r="K4239" i="2"/>
  <c r="L4239" i="2" s="1"/>
  <c r="J4239" i="2"/>
  <c r="I4239" i="2"/>
  <c r="L4238" i="2"/>
  <c r="K4238" i="2"/>
  <c r="J4238" i="2"/>
  <c r="I4238" i="2"/>
  <c r="K4237" i="2"/>
  <c r="L4237" i="2" s="1"/>
  <c r="J4237" i="2"/>
  <c r="I4237" i="2"/>
  <c r="L4236" i="2"/>
  <c r="K4236" i="2"/>
  <c r="J4236" i="2"/>
  <c r="I4236" i="2"/>
  <c r="K4235" i="2"/>
  <c r="L4235" i="2" s="1"/>
  <c r="J4235" i="2"/>
  <c r="I4235" i="2"/>
  <c r="L4234" i="2"/>
  <c r="K4234" i="2"/>
  <c r="J4234" i="2"/>
  <c r="I4234" i="2"/>
  <c r="K4233" i="2"/>
  <c r="L4233" i="2" s="1"/>
  <c r="J4233" i="2"/>
  <c r="I4233" i="2"/>
  <c r="L4232" i="2"/>
  <c r="K4232" i="2"/>
  <c r="J4232" i="2"/>
  <c r="I4232" i="2"/>
  <c r="K4231" i="2"/>
  <c r="L4231" i="2" s="1"/>
  <c r="J4231" i="2"/>
  <c r="I4231" i="2"/>
  <c r="L4230" i="2"/>
  <c r="K4230" i="2"/>
  <c r="J4230" i="2"/>
  <c r="I4230" i="2"/>
  <c r="K4229" i="2"/>
  <c r="L4229" i="2" s="1"/>
  <c r="J4229" i="2"/>
  <c r="I4229" i="2"/>
  <c r="L4228" i="2"/>
  <c r="K4228" i="2"/>
  <c r="J4228" i="2"/>
  <c r="I4228" i="2"/>
  <c r="K4227" i="2"/>
  <c r="L4227" i="2" s="1"/>
  <c r="J4227" i="2"/>
  <c r="I4227" i="2"/>
  <c r="L4226" i="2"/>
  <c r="K4226" i="2"/>
  <c r="J4226" i="2"/>
  <c r="I4226" i="2"/>
  <c r="K4225" i="2"/>
  <c r="L4225" i="2" s="1"/>
  <c r="J4225" i="2"/>
  <c r="I4225" i="2"/>
  <c r="L4224" i="2"/>
  <c r="K4224" i="2"/>
  <c r="J4224" i="2"/>
  <c r="I4224" i="2"/>
  <c r="K4223" i="2"/>
  <c r="L4223" i="2" s="1"/>
  <c r="J4223" i="2"/>
  <c r="I4223" i="2"/>
  <c r="L4222" i="2"/>
  <c r="K4222" i="2"/>
  <c r="J4222" i="2"/>
  <c r="I4222" i="2"/>
  <c r="K4221" i="2"/>
  <c r="L4221" i="2" s="1"/>
  <c r="J4221" i="2"/>
  <c r="I4221" i="2"/>
  <c r="L4220" i="2"/>
  <c r="K4220" i="2"/>
  <c r="J4220" i="2"/>
  <c r="I4220" i="2"/>
  <c r="K4219" i="2"/>
  <c r="L4219" i="2" s="1"/>
  <c r="J4219" i="2"/>
  <c r="I4219" i="2"/>
  <c r="L4218" i="2"/>
  <c r="K4218" i="2"/>
  <c r="J4218" i="2"/>
  <c r="I4218" i="2"/>
  <c r="K4217" i="2"/>
  <c r="L4217" i="2" s="1"/>
  <c r="J4217" i="2"/>
  <c r="I4217" i="2"/>
  <c r="L4216" i="2"/>
  <c r="K4216" i="2"/>
  <c r="J4216" i="2"/>
  <c r="I4216" i="2"/>
  <c r="K4215" i="2"/>
  <c r="L4215" i="2" s="1"/>
  <c r="J4215" i="2"/>
  <c r="I4215" i="2"/>
  <c r="L4214" i="2"/>
  <c r="K4214" i="2"/>
  <c r="J4214" i="2"/>
  <c r="I4214" i="2"/>
  <c r="K4213" i="2"/>
  <c r="L4213" i="2" s="1"/>
  <c r="J4213" i="2"/>
  <c r="I4213" i="2"/>
  <c r="L4212" i="2"/>
  <c r="K4212" i="2"/>
  <c r="J4212" i="2"/>
  <c r="I4212" i="2"/>
  <c r="K4211" i="2"/>
  <c r="L4211" i="2" s="1"/>
  <c r="J4211" i="2"/>
  <c r="I4211" i="2"/>
  <c r="L4210" i="2"/>
  <c r="K4210" i="2"/>
  <c r="J4210" i="2"/>
  <c r="I4210" i="2"/>
  <c r="K4209" i="2"/>
  <c r="L4209" i="2" s="1"/>
  <c r="J4209" i="2"/>
  <c r="I4209" i="2"/>
  <c r="L4208" i="2"/>
  <c r="K4208" i="2"/>
  <c r="J4208" i="2"/>
  <c r="I4208" i="2"/>
  <c r="K4207" i="2"/>
  <c r="L4207" i="2" s="1"/>
  <c r="J4207" i="2"/>
  <c r="I4207" i="2"/>
  <c r="L4206" i="2"/>
  <c r="K4206" i="2"/>
  <c r="J4206" i="2"/>
  <c r="I4206" i="2"/>
  <c r="K4205" i="2"/>
  <c r="L4205" i="2" s="1"/>
  <c r="J4205" i="2"/>
  <c r="I4205" i="2"/>
  <c r="L4204" i="2"/>
  <c r="K4204" i="2"/>
  <c r="J4204" i="2"/>
  <c r="I4204" i="2"/>
  <c r="K4203" i="2"/>
  <c r="L4203" i="2" s="1"/>
  <c r="J4203" i="2"/>
  <c r="I4203" i="2"/>
  <c r="L4202" i="2"/>
  <c r="K4202" i="2"/>
  <c r="J4202" i="2"/>
  <c r="I4202" i="2"/>
  <c r="K4201" i="2"/>
  <c r="L4201" i="2" s="1"/>
  <c r="J4201" i="2"/>
  <c r="I4201" i="2"/>
  <c r="L4200" i="2"/>
  <c r="K4200" i="2"/>
  <c r="J4200" i="2"/>
  <c r="I4200" i="2"/>
  <c r="K4199" i="2"/>
  <c r="L4199" i="2" s="1"/>
  <c r="J4199" i="2"/>
  <c r="I4199" i="2"/>
  <c r="L4198" i="2"/>
  <c r="K4198" i="2"/>
  <c r="J4198" i="2"/>
  <c r="I4198" i="2"/>
  <c r="K4197" i="2"/>
  <c r="L4197" i="2" s="1"/>
  <c r="J4197" i="2"/>
  <c r="I4197" i="2"/>
  <c r="L4196" i="2"/>
  <c r="K4196" i="2"/>
  <c r="J4196" i="2"/>
  <c r="I4196" i="2"/>
  <c r="K4195" i="2"/>
  <c r="L4195" i="2" s="1"/>
  <c r="J4195" i="2"/>
  <c r="I4195" i="2"/>
  <c r="L4194" i="2"/>
  <c r="K4194" i="2"/>
  <c r="J4194" i="2"/>
  <c r="I4194" i="2"/>
  <c r="K4193" i="2"/>
  <c r="L4193" i="2" s="1"/>
  <c r="J4193" i="2"/>
  <c r="I4193" i="2"/>
  <c r="L4192" i="2"/>
  <c r="K4192" i="2"/>
  <c r="J4192" i="2"/>
  <c r="I4192" i="2"/>
  <c r="K4191" i="2"/>
  <c r="L4191" i="2" s="1"/>
  <c r="J4191" i="2"/>
  <c r="I4191" i="2"/>
  <c r="L4190" i="2"/>
  <c r="K4190" i="2"/>
  <c r="J4190" i="2"/>
  <c r="I4190" i="2"/>
  <c r="K4189" i="2"/>
  <c r="L4189" i="2" s="1"/>
  <c r="J4189" i="2"/>
  <c r="I4189" i="2"/>
  <c r="L4188" i="2"/>
  <c r="K4188" i="2"/>
  <c r="J4188" i="2"/>
  <c r="I4188" i="2"/>
  <c r="K4187" i="2"/>
  <c r="L4187" i="2" s="1"/>
  <c r="J4187" i="2"/>
  <c r="I4187" i="2"/>
  <c r="L4186" i="2"/>
  <c r="K4186" i="2"/>
  <c r="J4186" i="2"/>
  <c r="I4186" i="2"/>
  <c r="K4185" i="2"/>
  <c r="L4185" i="2" s="1"/>
  <c r="J4185" i="2"/>
  <c r="I4185" i="2"/>
  <c r="L4184" i="2"/>
  <c r="K4184" i="2"/>
  <c r="J4184" i="2"/>
  <c r="I4184" i="2"/>
  <c r="K4183" i="2"/>
  <c r="L4183" i="2" s="1"/>
  <c r="J4183" i="2"/>
  <c r="I4183" i="2"/>
  <c r="L4182" i="2"/>
  <c r="K4182" i="2"/>
  <c r="J4182" i="2"/>
  <c r="I4182" i="2"/>
  <c r="K4181" i="2"/>
  <c r="L4181" i="2" s="1"/>
  <c r="J4181" i="2"/>
  <c r="I4181" i="2"/>
  <c r="L4180" i="2"/>
  <c r="K4180" i="2"/>
  <c r="J4180" i="2"/>
  <c r="I4180" i="2"/>
  <c r="K4179" i="2"/>
  <c r="L4179" i="2" s="1"/>
  <c r="J4179" i="2"/>
  <c r="I4179" i="2"/>
  <c r="L4178" i="2"/>
  <c r="K4178" i="2"/>
  <c r="J4178" i="2"/>
  <c r="I4178" i="2"/>
  <c r="K4177" i="2"/>
  <c r="L4177" i="2" s="1"/>
  <c r="J4177" i="2"/>
  <c r="I4177" i="2"/>
  <c r="L4176" i="2"/>
  <c r="K4176" i="2"/>
  <c r="J4176" i="2"/>
  <c r="I4176" i="2"/>
  <c r="K4175" i="2"/>
  <c r="L4175" i="2" s="1"/>
  <c r="J4175" i="2"/>
  <c r="I4175" i="2"/>
  <c r="L4174" i="2"/>
  <c r="K4174" i="2"/>
  <c r="J4174" i="2"/>
  <c r="I4174" i="2"/>
  <c r="K4173" i="2"/>
  <c r="L4173" i="2" s="1"/>
  <c r="J4173" i="2"/>
  <c r="I4173" i="2"/>
  <c r="L4172" i="2"/>
  <c r="K4172" i="2"/>
  <c r="J4172" i="2"/>
  <c r="I4172" i="2"/>
  <c r="K4171" i="2"/>
  <c r="L4171" i="2" s="1"/>
  <c r="J4171" i="2"/>
  <c r="I4171" i="2"/>
  <c r="L4170" i="2"/>
  <c r="K4170" i="2"/>
  <c r="J4170" i="2"/>
  <c r="I4170" i="2"/>
  <c r="K4169" i="2"/>
  <c r="L4169" i="2" s="1"/>
  <c r="J4169" i="2"/>
  <c r="I4169" i="2"/>
  <c r="L4168" i="2"/>
  <c r="K4168" i="2"/>
  <c r="J4168" i="2"/>
  <c r="I4168" i="2"/>
  <c r="K4167" i="2"/>
  <c r="L4167" i="2" s="1"/>
  <c r="J4167" i="2"/>
  <c r="I4167" i="2"/>
  <c r="L4166" i="2"/>
  <c r="K4166" i="2"/>
  <c r="J4166" i="2"/>
  <c r="I4166" i="2"/>
  <c r="K4165" i="2"/>
  <c r="L4165" i="2" s="1"/>
  <c r="J4165" i="2"/>
  <c r="I4165" i="2"/>
  <c r="L4164" i="2"/>
  <c r="K4164" i="2"/>
  <c r="J4164" i="2"/>
  <c r="I4164" i="2"/>
  <c r="K4163" i="2"/>
  <c r="L4163" i="2" s="1"/>
  <c r="J4163" i="2"/>
  <c r="I4163" i="2"/>
  <c r="L4162" i="2"/>
  <c r="K4162" i="2"/>
  <c r="J4162" i="2"/>
  <c r="I4162" i="2"/>
  <c r="K4161" i="2"/>
  <c r="L4161" i="2" s="1"/>
  <c r="J4161" i="2"/>
  <c r="I4161" i="2"/>
  <c r="L4160" i="2"/>
  <c r="K4160" i="2"/>
  <c r="J4160" i="2"/>
  <c r="I4160" i="2"/>
  <c r="K4159" i="2"/>
  <c r="L4159" i="2" s="1"/>
  <c r="J4159" i="2"/>
  <c r="I4159" i="2"/>
  <c r="L4158" i="2"/>
  <c r="K4158" i="2"/>
  <c r="J4158" i="2"/>
  <c r="I4158" i="2"/>
  <c r="K4157" i="2"/>
  <c r="L4157" i="2" s="1"/>
  <c r="J4157" i="2"/>
  <c r="I4157" i="2"/>
  <c r="L4156" i="2"/>
  <c r="K4156" i="2"/>
  <c r="J4156" i="2"/>
  <c r="I4156" i="2"/>
  <c r="K4155" i="2"/>
  <c r="L4155" i="2" s="1"/>
  <c r="J4155" i="2"/>
  <c r="I4155" i="2"/>
  <c r="L4154" i="2"/>
  <c r="K4154" i="2"/>
  <c r="J4154" i="2"/>
  <c r="I4154" i="2"/>
  <c r="K4153" i="2"/>
  <c r="L4153" i="2" s="1"/>
  <c r="J4153" i="2"/>
  <c r="I4153" i="2"/>
  <c r="L4152" i="2"/>
  <c r="K4152" i="2"/>
  <c r="J4152" i="2"/>
  <c r="I4152" i="2"/>
  <c r="K4151" i="2"/>
  <c r="L4151" i="2" s="1"/>
  <c r="J4151" i="2"/>
  <c r="I4151" i="2"/>
  <c r="L4150" i="2"/>
  <c r="K4150" i="2"/>
  <c r="J4150" i="2"/>
  <c r="I4150" i="2"/>
  <c r="K4149" i="2"/>
  <c r="L4149" i="2" s="1"/>
  <c r="J4149" i="2"/>
  <c r="I4149" i="2"/>
  <c r="L4148" i="2"/>
  <c r="K4148" i="2"/>
  <c r="J4148" i="2"/>
  <c r="I4148" i="2"/>
  <c r="K4147" i="2"/>
  <c r="L4147" i="2" s="1"/>
  <c r="J4147" i="2"/>
  <c r="I4147" i="2"/>
  <c r="L4146" i="2"/>
  <c r="K4146" i="2"/>
  <c r="J4146" i="2"/>
  <c r="I4146" i="2"/>
  <c r="K4145" i="2"/>
  <c r="L4145" i="2" s="1"/>
  <c r="J4145" i="2"/>
  <c r="I4145" i="2"/>
  <c r="L4144" i="2"/>
  <c r="K4144" i="2"/>
  <c r="J4144" i="2"/>
  <c r="I4144" i="2"/>
  <c r="K4143" i="2"/>
  <c r="L4143" i="2" s="1"/>
  <c r="J4143" i="2"/>
  <c r="I4143" i="2"/>
  <c r="L4142" i="2"/>
  <c r="K4142" i="2"/>
  <c r="J4142" i="2"/>
  <c r="I4142" i="2"/>
  <c r="K4141" i="2"/>
  <c r="L4141" i="2" s="1"/>
  <c r="J4141" i="2"/>
  <c r="I4141" i="2"/>
  <c r="L4140" i="2"/>
  <c r="K4140" i="2"/>
  <c r="J4140" i="2"/>
  <c r="I4140" i="2"/>
  <c r="K4139" i="2"/>
  <c r="L4139" i="2" s="1"/>
  <c r="J4139" i="2"/>
  <c r="I4139" i="2"/>
  <c r="L4138" i="2"/>
  <c r="K4138" i="2"/>
  <c r="J4138" i="2"/>
  <c r="I4138" i="2"/>
  <c r="K4137" i="2"/>
  <c r="L4137" i="2" s="1"/>
  <c r="J4137" i="2"/>
  <c r="I4137" i="2"/>
  <c r="L4136" i="2"/>
  <c r="K4136" i="2"/>
  <c r="J4136" i="2"/>
  <c r="I4136" i="2"/>
  <c r="K4135" i="2"/>
  <c r="L4135" i="2" s="1"/>
  <c r="J4135" i="2"/>
  <c r="I4135" i="2"/>
  <c r="L4134" i="2"/>
  <c r="K4134" i="2"/>
  <c r="J4134" i="2"/>
  <c r="I4134" i="2"/>
  <c r="K4133" i="2"/>
  <c r="L4133" i="2" s="1"/>
  <c r="J4133" i="2"/>
  <c r="I4133" i="2"/>
  <c r="L4132" i="2"/>
  <c r="K4132" i="2"/>
  <c r="J4132" i="2"/>
  <c r="I4132" i="2"/>
  <c r="K4131" i="2"/>
  <c r="L4131" i="2" s="1"/>
  <c r="J4131" i="2"/>
  <c r="I4131" i="2"/>
  <c r="L4130" i="2"/>
  <c r="K4130" i="2"/>
  <c r="J4130" i="2"/>
  <c r="I4130" i="2"/>
  <c r="K4129" i="2"/>
  <c r="L4129" i="2" s="1"/>
  <c r="J4129" i="2"/>
  <c r="I4129" i="2"/>
  <c r="L4128" i="2"/>
  <c r="K4128" i="2"/>
  <c r="J4128" i="2"/>
  <c r="I4128" i="2"/>
  <c r="K4127" i="2"/>
  <c r="L4127" i="2" s="1"/>
  <c r="J4127" i="2"/>
  <c r="I4127" i="2"/>
  <c r="L4126" i="2"/>
  <c r="K4126" i="2"/>
  <c r="J4126" i="2"/>
  <c r="I4126" i="2"/>
  <c r="K4125" i="2"/>
  <c r="L4125" i="2" s="1"/>
  <c r="J4125" i="2"/>
  <c r="I4125" i="2"/>
  <c r="L4124" i="2"/>
  <c r="K4124" i="2"/>
  <c r="J4124" i="2"/>
  <c r="I4124" i="2"/>
  <c r="K4123" i="2"/>
  <c r="L4123" i="2" s="1"/>
  <c r="J4123" i="2"/>
  <c r="I4123" i="2"/>
  <c r="L4122" i="2"/>
  <c r="K4122" i="2"/>
  <c r="J4122" i="2"/>
  <c r="I4122" i="2"/>
  <c r="K4121" i="2"/>
  <c r="L4121" i="2" s="1"/>
  <c r="J4121" i="2"/>
  <c r="I4121" i="2"/>
  <c r="L4120" i="2"/>
  <c r="K4120" i="2"/>
  <c r="J4120" i="2"/>
  <c r="I4120" i="2"/>
  <c r="K4119" i="2"/>
  <c r="L4119" i="2" s="1"/>
  <c r="J4119" i="2"/>
  <c r="I4119" i="2"/>
  <c r="L4118" i="2"/>
  <c r="K4118" i="2"/>
  <c r="J4118" i="2"/>
  <c r="I4118" i="2"/>
  <c r="K4117" i="2"/>
  <c r="L4117" i="2" s="1"/>
  <c r="J4117" i="2"/>
  <c r="I4117" i="2"/>
  <c r="L4116" i="2"/>
  <c r="K4116" i="2"/>
  <c r="J4116" i="2"/>
  <c r="I4116" i="2"/>
  <c r="K4115" i="2"/>
  <c r="L4115" i="2" s="1"/>
  <c r="J4115" i="2"/>
  <c r="I4115" i="2"/>
  <c r="L4114" i="2"/>
  <c r="K4114" i="2"/>
  <c r="J4114" i="2"/>
  <c r="I4114" i="2"/>
  <c r="K4113" i="2"/>
  <c r="L4113" i="2" s="1"/>
  <c r="J4113" i="2"/>
  <c r="I4113" i="2"/>
  <c r="L4112" i="2"/>
  <c r="K4112" i="2"/>
  <c r="J4112" i="2"/>
  <c r="I4112" i="2"/>
  <c r="K4111" i="2"/>
  <c r="L4111" i="2" s="1"/>
  <c r="J4111" i="2"/>
  <c r="I4111" i="2"/>
  <c r="L4110" i="2"/>
  <c r="K4110" i="2"/>
  <c r="J4110" i="2"/>
  <c r="I4110" i="2"/>
  <c r="K4109" i="2"/>
  <c r="L4109" i="2" s="1"/>
  <c r="J4109" i="2"/>
  <c r="I4109" i="2"/>
  <c r="L4108" i="2"/>
  <c r="K4108" i="2"/>
  <c r="J4108" i="2"/>
  <c r="I4108" i="2"/>
  <c r="K4107" i="2"/>
  <c r="L4107" i="2" s="1"/>
  <c r="J4107" i="2"/>
  <c r="I4107" i="2"/>
  <c r="L4106" i="2"/>
  <c r="K4106" i="2"/>
  <c r="J4106" i="2"/>
  <c r="I4106" i="2"/>
  <c r="K4105" i="2"/>
  <c r="L4105" i="2" s="1"/>
  <c r="J4105" i="2"/>
  <c r="I4105" i="2"/>
  <c r="L4104" i="2"/>
  <c r="K4104" i="2"/>
  <c r="J4104" i="2"/>
  <c r="I4104" i="2"/>
  <c r="K4103" i="2"/>
  <c r="L4103" i="2" s="1"/>
  <c r="J4103" i="2"/>
  <c r="I4103" i="2"/>
  <c r="L4102" i="2"/>
  <c r="K4102" i="2"/>
  <c r="J4102" i="2"/>
  <c r="I4102" i="2"/>
  <c r="K4101" i="2"/>
  <c r="L4101" i="2" s="1"/>
  <c r="J4101" i="2"/>
  <c r="I4101" i="2"/>
  <c r="L4100" i="2"/>
  <c r="K4100" i="2"/>
  <c r="J4100" i="2"/>
  <c r="I4100" i="2"/>
  <c r="K4099" i="2"/>
  <c r="L4099" i="2" s="1"/>
  <c r="J4099" i="2"/>
  <c r="I4099" i="2"/>
  <c r="L4098" i="2"/>
  <c r="K4098" i="2"/>
  <c r="J4098" i="2"/>
  <c r="I4098" i="2"/>
  <c r="K4097" i="2"/>
  <c r="L4097" i="2" s="1"/>
  <c r="J4097" i="2"/>
  <c r="I4097" i="2"/>
  <c r="L4096" i="2"/>
  <c r="K4096" i="2"/>
  <c r="J4096" i="2"/>
  <c r="I4096" i="2"/>
  <c r="K4095" i="2"/>
  <c r="L4095" i="2" s="1"/>
  <c r="J4095" i="2"/>
  <c r="I4095" i="2"/>
  <c r="L4094" i="2"/>
  <c r="K4094" i="2"/>
  <c r="J4094" i="2"/>
  <c r="I4094" i="2"/>
  <c r="K4093" i="2"/>
  <c r="L4093" i="2" s="1"/>
  <c r="J4093" i="2"/>
  <c r="I4093" i="2"/>
  <c r="L4092" i="2"/>
  <c r="K4092" i="2"/>
  <c r="J4092" i="2"/>
  <c r="I4092" i="2"/>
  <c r="K4091" i="2"/>
  <c r="L4091" i="2" s="1"/>
  <c r="J4091" i="2"/>
  <c r="I4091" i="2"/>
  <c r="L4090" i="2"/>
  <c r="K4090" i="2"/>
  <c r="J4090" i="2"/>
  <c r="I4090" i="2"/>
  <c r="K4089" i="2"/>
  <c r="L4089" i="2" s="1"/>
  <c r="J4089" i="2"/>
  <c r="I4089" i="2"/>
  <c r="L4088" i="2"/>
  <c r="K4088" i="2"/>
  <c r="J4088" i="2"/>
  <c r="I4088" i="2"/>
  <c r="K4087" i="2"/>
  <c r="L4087" i="2" s="1"/>
  <c r="J4087" i="2"/>
  <c r="I4087" i="2"/>
  <c r="L4086" i="2"/>
  <c r="K4086" i="2"/>
  <c r="J4086" i="2"/>
  <c r="I4086" i="2"/>
  <c r="K4085" i="2"/>
  <c r="L4085" i="2" s="1"/>
  <c r="J4085" i="2"/>
  <c r="I4085" i="2"/>
  <c r="L4084" i="2"/>
  <c r="K4084" i="2"/>
  <c r="J4084" i="2"/>
  <c r="I4084" i="2"/>
  <c r="K4083" i="2"/>
  <c r="L4083" i="2" s="1"/>
  <c r="J4083" i="2"/>
  <c r="I4083" i="2"/>
  <c r="L4082" i="2"/>
  <c r="K4082" i="2"/>
  <c r="J4082" i="2"/>
  <c r="I4082" i="2"/>
  <c r="K4081" i="2"/>
  <c r="L4081" i="2" s="1"/>
  <c r="J4081" i="2"/>
  <c r="I4081" i="2"/>
  <c r="L4080" i="2"/>
  <c r="K4080" i="2"/>
  <c r="J4080" i="2"/>
  <c r="I4080" i="2"/>
  <c r="K4079" i="2"/>
  <c r="L4079" i="2" s="1"/>
  <c r="J4079" i="2"/>
  <c r="I4079" i="2"/>
  <c r="L4078" i="2"/>
  <c r="K4078" i="2"/>
  <c r="J4078" i="2"/>
  <c r="I4078" i="2"/>
  <c r="K4077" i="2"/>
  <c r="L4077" i="2" s="1"/>
  <c r="J4077" i="2"/>
  <c r="I4077" i="2"/>
  <c r="L4076" i="2"/>
  <c r="K4076" i="2"/>
  <c r="J4076" i="2"/>
  <c r="I4076" i="2"/>
  <c r="K4075" i="2"/>
  <c r="L4075" i="2" s="1"/>
  <c r="J4075" i="2"/>
  <c r="I4075" i="2"/>
  <c r="L4074" i="2"/>
  <c r="K4074" i="2"/>
  <c r="J4074" i="2"/>
  <c r="I4074" i="2"/>
  <c r="K4073" i="2"/>
  <c r="L4073" i="2" s="1"/>
  <c r="J4073" i="2"/>
  <c r="I4073" i="2"/>
  <c r="L4072" i="2"/>
  <c r="K4072" i="2"/>
  <c r="J4072" i="2"/>
  <c r="I4072" i="2"/>
  <c r="K4071" i="2"/>
  <c r="L4071" i="2" s="1"/>
  <c r="J4071" i="2"/>
  <c r="I4071" i="2"/>
  <c r="L4070" i="2"/>
  <c r="K4070" i="2"/>
  <c r="J4070" i="2"/>
  <c r="I4070" i="2"/>
  <c r="K4069" i="2"/>
  <c r="L4069" i="2" s="1"/>
  <c r="J4069" i="2"/>
  <c r="I4069" i="2"/>
  <c r="L4068" i="2"/>
  <c r="K4068" i="2"/>
  <c r="J4068" i="2"/>
  <c r="I4068" i="2"/>
  <c r="K4067" i="2"/>
  <c r="L4067" i="2" s="1"/>
  <c r="J4067" i="2"/>
  <c r="I4067" i="2"/>
  <c r="L4066" i="2"/>
  <c r="K4066" i="2"/>
  <c r="J4066" i="2"/>
  <c r="I4066" i="2"/>
  <c r="K4065" i="2"/>
  <c r="L4065" i="2" s="1"/>
  <c r="J4065" i="2"/>
  <c r="I4065" i="2"/>
  <c r="L4064" i="2"/>
  <c r="K4064" i="2"/>
  <c r="J4064" i="2"/>
  <c r="I4064" i="2"/>
  <c r="K4063" i="2"/>
  <c r="L4063" i="2" s="1"/>
  <c r="J4063" i="2"/>
  <c r="I4063" i="2"/>
  <c r="L4062" i="2"/>
  <c r="K4062" i="2"/>
  <c r="J4062" i="2"/>
  <c r="I4062" i="2"/>
  <c r="K4061" i="2"/>
  <c r="L4061" i="2" s="1"/>
  <c r="J4061" i="2"/>
  <c r="I4061" i="2"/>
  <c r="L4060" i="2"/>
  <c r="K4060" i="2"/>
  <c r="J4060" i="2"/>
  <c r="I4060" i="2"/>
  <c r="K4059" i="2"/>
  <c r="L4059" i="2" s="1"/>
  <c r="J4059" i="2"/>
  <c r="I4059" i="2"/>
  <c r="L4058" i="2"/>
  <c r="K4058" i="2"/>
  <c r="J4058" i="2"/>
  <c r="I4058" i="2"/>
  <c r="K4057" i="2"/>
  <c r="L4057" i="2" s="1"/>
  <c r="J4057" i="2"/>
  <c r="I4057" i="2"/>
  <c r="L4056" i="2"/>
  <c r="K4056" i="2"/>
  <c r="J4056" i="2"/>
  <c r="I4056" i="2"/>
  <c r="K4055" i="2"/>
  <c r="L4055" i="2" s="1"/>
  <c r="J4055" i="2"/>
  <c r="I4055" i="2"/>
  <c r="L4054" i="2"/>
  <c r="K4054" i="2"/>
  <c r="J4054" i="2"/>
  <c r="I4054" i="2"/>
  <c r="K4053" i="2"/>
  <c r="L4053" i="2" s="1"/>
  <c r="J4053" i="2"/>
  <c r="I4053" i="2"/>
  <c r="L4052" i="2"/>
  <c r="K4052" i="2"/>
  <c r="J4052" i="2"/>
  <c r="I4052" i="2"/>
  <c r="K4051" i="2"/>
  <c r="L4051" i="2" s="1"/>
  <c r="J4051" i="2"/>
  <c r="I4051" i="2"/>
  <c r="L4050" i="2"/>
  <c r="K4050" i="2"/>
  <c r="J4050" i="2"/>
  <c r="I4050" i="2"/>
  <c r="K4049" i="2"/>
  <c r="L4049" i="2" s="1"/>
  <c r="J4049" i="2"/>
  <c r="I4049" i="2"/>
  <c r="L4048" i="2"/>
  <c r="K4048" i="2"/>
  <c r="J4048" i="2"/>
  <c r="I4048" i="2"/>
  <c r="K4047" i="2"/>
  <c r="L4047" i="2" s="1"/>
  <c r="J4047" i="2"/>
  <c r="I4047" i="2"/>
  <c r="L4046" i="2"/>
  <c r="K4046" i="2"/>
  <c r="J4046" i="2"/>
  <c r="I4046" i="2"/>
  <c r="K4045" i="2"/>
  <c r="L4045" i="2" s="1"/>
  <c r="J4045" i="2"/>
  <c r="I4045" i="2"/>
  <c r="L4044" i="2"/>
  <c r="K4044" i="2"/>
  <c r="J4044" i="2"/>
  <c r="I4044" i="2"/>
  <c r="K4043" i="2"/>
  <c r="L4043" i="2" s="1"/>
  <c r="J4043" i="2"/>
  <c r="I4043" i="2"/>
  <c r="L4042" i="2"/>
  <c r="K4042" i="2"/>
  <c r="J4042" i="2"/>
  <c r="I4042" i="2"/>
  <c r="K4041" i="2"/>
  <c r="L4041" i="2" s="1"/>
  <c r="J4041" i="2"/>
  <c r="I4041" i="2"/>
  <c r="L4040" i="2"/>
  <c r="K4040" i="2"/>
  <c r="J4040" i="2"/>
  <c r="I4040" i="2"/>
  <c r="K4039" i="2"/>
  <c r="L4039" i="2" s="1"/>
  <c r="J4039" i="2"/>
  <c r="I4039" i="2"/>
  <c r="L4038" i="2"/>
  <c r="K4038" i="2"/>
  <c r="J4038" i="2"/>
  <c r="I4038" i="2"/>
  <c r="K4037" i="2"/>
  <c r="L4037" i="2" s="1"/>
  <c r="J4037" i="2"/>
  <c r="I4037" i="2"/>
  <c r="L4036" i="2"/>
  <c r="K4036" i="2"/>
  <c r="J4036" i="2"/>
  <c r="I4036" i="2"/>
  <c r="K4035" i="2"/>
  <c r="L4035" i="2" s="1"/>
  <c r="J4035" i="2"/>
  <c r="I4035" i="2"/>
  <c r="L4034" i="2"/>
  <c r="K4034" i="2"/>
  <c r="J4034" i="2"/>
  <c r="I4034" i="2"/>
  <c r="K4033" i="2"/>
  <c r="L4033" i="2" s="1"/>
  <c r="J4033" i="2"/>
  <c r="I4033" i="2"/>
  <c r="L4032" i="2"/>
  <c r="K4032" i="2"/>
  <c r="J4032" i="2"/>
  <c r="I4032" i="2"/>
  <c r="K4031" i="2"/>
  <c r="L4031" i="2" s="1"/>
  <c r="J4031" i="2"/>
  <c r="I4031" i="2"/>
  <c r="L4030" i="2"/>
  <c r="K4030" i="2"/>
  <c r="J4030" i="2"/>
  <c r="I4030" i="2"/>
  <c r="K4029" i="2"/>
  <c r="L4029" i="2" s="1"/>
  <c r="J4029" i="2"/>
  <c r="I4029" i="2"/>
  <c r="L4028" i="2"/>
  <c r="K4028" i="2"/>
  <c r="J4028" i="2"/>
  <c r="I4028" i="2"/>
  <c r="K4027" i="2"/>
  <c r="L4027" i="2" s="1"/>
  <c r="J4027" i="2"/>
  <c r="I4027" i="2"/>
  <c r="L4026" i="2"/>
  <c r="K4026" i="2"/>
  <c r="J4026" i="2"/>
  <c r="I4026" i="2"/>
  <c r="K4025" i="2"/>
  <c r="L4025" i="2" s="1"/>
  <c r="J4025" i="2"/>
  <c r="I4025" i="2"/>
  <c r="L4024" i="2"/>
  <c r="K4024" i="2"/>
  <c r="J4024" i="2"/>
  <c r="I4024" i="2"/>
  <c r="K4023" i="2"/>
  <c r="L4023" i="2" s="1"/>
  <c r="J4023" i="2"/>
  <c r="I4023" i="2"/>
  <c r="L4022" i="2"/>
  <c r="K4022" i="2"/>
  <c r="J4022" i="2"/>
  <c r="I4022" i="2"/>
  <c r="K4021" i="2"/>
  <c r="L4021" i="2" s="1"/>
  <c r="J4021" i="2"/>
  <c r="I4021" i="2"/>
  <c r="L4020" i="2"/>
  <c r="K4020" i="2"/>
  <c r="J4020" i="2"/>
  <c r="I4020" i="2"/>
  <c r="K4019" i="2"/>
  <c r="L4019" i="2" s="1"/>
  <c r="J4019" i="2"/>
  <c r="I4019" i="2"/>
  <c r="L4018" i="2"/>
  <c r="K4018" i="2"/>
  <c r="J4018" i="2"/>
  <c r="I4018" i="2"/>
  <c r="K4017" i="2"/>
  <c r="L4017" i="2" s="1"/>
  <c r="J4017" i="2"/>
  <c r="I4017" i="2"/>
  <c r="L4016" i="2"/>
  <c r="K4016" i="2"/>
  <c r="J4016" i="2"/>
  <c r="I4016" i="2"/>
  <c r="K4015" i="2"/>
  <c r="L4015" i="2" s="1"/>
  <c r="J4015" i="2"/>
  <c r="I4015" i="2"/>
  <c r="L4014" i="2"/>
  <c r="K4014" i="2"/>
  <c r="J4014" i="2"/>
  <c r="I4014" i="2"/>
  <c r="K4013" i="2"/>
  <c r="L4013" i="2" s="1"/>
  <c r="J4013" i="2"/>
  <c r="I4013" i="2"/>
  <c r="L4012" i="2"/>
  <c r="K4012" i="2"/>
  <c r="J4012" i="2"/>
  <c r="I4012" i="2"/>
  <c r="K4011" i="2"/>
  <c r="L4011" i="2" s="1"/>
  <c r="J4011" i="2"/>
  <c r="I4011" i="2"/>
  <c r="L4010" i="2"/>
  <c r="K4010" i="2"/>
  <c r="J4010" i="2"/>
  <c r="I4010" i="2"/>
  <c r="K4009" i="2"/>
  <c r="L4009" i="2" s="1"/>
  <c r="J4009" i="2"/>
  <c r="I4009" i="2"/>
  <c r="L4008" i="2"/>
  <c r="K4008" i="2"/>
  <c r="J4008" i="2"/>
  <c r="I4008" i="2"/>
  <c r="K4007" i="2"/>
  <c r="L4007" i="2" s="1"/>
  <c r="J4007" i="2"/>
  <c r="I4007" i="2"/>
  <c r="L4006" i="2"/>
  <c r="K4006" i="2"/>
  <c r="J4006" i="2"/>
  <c r="I4006" i="2"/>
  <c r="K4005" i="2"/>
  <c r="L4005" i="2" s="1"/>
  <c r="J4005" i="2"/>
  <c r="I4005" i="2"/>
  <c r="L4004" i="2"/>
  <c r="K4004" i="2"/>
  <c r="J4004" i="2"/>
  <c r="I4004" i="2"/>
  <c r="K4003" i="2"/>
  <c r="L4003" i="2" s="1"/>
  <c r="J4003" i="2"/>
  <c r="I4003" i="2"/>
  <c r="L4002" i="2"/>
  <c r="K4002" i="2"/>
  <c r="J4002" i="2"/>
  <c r="I4002" i="2"/>
  <c r="K4001" i="2"/>
  <c r="L4001" i="2" s="1"/>
  <c r="J4001" i="2"/>
  <c r="I4001" i="2"/>
  <c r="L4000" i="2"/>
  <c r="K4000" i="2"/>
  <c r="J4000" i="2"/>
  <c r="I4000" i="2"/>
  <c r="K3999" i="2"/>
  <c r="L3999" i="2" s="1"/>
  <c r="J3999" i="2"/>
  <c r="I3999" i="2"/>
  <c r="L3998" i="2"/>
  <c r="K3998" i="2"/>
  <c r="J3998" i="2"/>
  <c r="I3998" i="2"/>
  <c r="K3997" i="2"/>
  <c r="L3997" i="2" s="1"/>
  <c r="J3997" i="2"/>
  <c r="I3997" i="2"/>
  <c r="L3996" i="2"/>
  <c r="K3996" i="2"/>
  <c r="J3996" i="2"/>
  <c r="I3996" i="2"/>
  <c r="K3995" i="2"/>
  <c r="L3995" i="2" s="1"/>
  <c r="J3995" i="2"/>
  <c r="I3995" i="2"/>
  <c r="L3994" i="2"/>
  <c r="K3994" i="2"/>
  <c r="J3994" i="2"/>
  <c r="I3994" i="2"/>
  <c r="K3993" i="2"/>
  <c r="L3993" i="2" s="1"/>
  <c r="J3993" i="2"/>
  <c r="I3993" i="2"/>
  <c r="L3992" i="2"/>
  <c r="K3992" i="2"/>
  <c r="J3992" i="2"/>
  <c r="I3992" i="2"/>
  <c r="K3991" i="2"/>
  <c r="L3991" i="2" s="1"/>
  <c r="J3991" i="2"/>
  <c r="I3991" i="2"/>
  <c r="L3990" i="2"/>
  <c r="K3990" i="2"/>
  <c r="J3990" i="2"/>
  <c r="I3990" i="2"/>
  <c r="K3989" i="2"/>
  <c r="L3989" i="2" s="1"/>
  <c r="J3989" i="2"/>
  <c r="I3989" i="2"/>
  <c r="L3988" i="2"/>
  <c r="K3988" i="2"/>
  <c r="J3988" i="2"/>
  <c r="I3988" i="2"/>
  <c r="K3987" i="2"/>
  <c r="L3987" i="2" s="1"/>
  <c r="J3987" i="2"/>
  <c r="I3987" i="2"/>
  <c r="L3986" i="2"/>
  <c r="K3986" i="2"/>
  <c r="J3986" i="2"/>
  <c r="I3986" i="2"/>
  <c r="K3985" i="2"/>
  <c r="L3985" i="2" s="1"/>
  <c r="J3985" i="2"/>
  <c r="I3985" i="2"/>
  <c r="L3984" i="2"/>
  <c r="K3984" i="2"/>
  <c r="J3984" i="2"/>
  <c r="I3984" i="2"/>
  <c r="K3983" i="2"/>
  <c r="L3983" i="2" s="1"/>
  <c r="J3983" i="2"/>
  <c r="I3983" i="2"/>
  <c r="L3982" i="2"/>
  <c r="K3982" i="2"/>
  <c r="J3982" i="2"/>
  <c r="I3982" i="2"/>
  <c r="K3981" i="2"/>
  <c r="L3981" i="2" s="1"/>
  <c r="J3981" i="2"/>
  <c r="I3981" i="2"/>
  <c r="L3980" i="2"/>
  <c r="K3980" i="2"/>
  <c r="J3980" i="2"/>
  <c r="I3980" i="2"/>
  <c r="K3979" i="2"/>
  <c r="L3979" i="2" s="1"/>
  <c r="J3979" i="2"/>
  <c r="I3979" i="2"/>
  <c r="L3978" i="2"/>
  <c r="K3978" i="2"/>
  <c r="J3978" i="2"/>
  <c r="I3978" i="2"/>
  <c r="K3977" i="2"/>
  <c r="L3977" i="2" s="1"/>
  <c r="J3977" i="2"/>
  <c r="I3977" i="2"/>
  <c r="L3976" i="2"/>
  <c r="K3976" i="2"/>
  <c r="J3976" i="2"/>
  <c r="I3976" i="2"/>
  <c r="K3975" i="2"/>
  <c r="L3975" i="2" s="1"/>
  <c r="J3975" i="2"/>
  <c r="I3975" i="2"/>
  <c r="L3974" i="2"/>
  <c r="K3974" i="2"/>
  <c r="J3974" i="2"/>
  <c r="I3974" i="2"/>
  <c r="K3973" i="2"/>
  <c r="L3973" i="2" s="1"/>
  <c r="J3973" i="2"/>
  <c r="I3973" i="2"/>
  <c r="L3972" i="2"/>
  <c r="K3972" i="2"/>
  <c r="J3972" i="2"/>
  <c r="I3972" i="2"/>
  <c r="K3971" i="2"/>
  <c r="L3971" i="2" s="1"/>
  <c r="J3971" i="2"/>
  <c r="I3971" i="2"/>
  <c r="L3970" i="2"/>
  <c r="K3970" i="2"/>
  <c r="J3970" i="2"/>
  <c r="I3970" i="2"/>
  <c r="K3969" i="2"/>
  <c r="L3969" i="2" s="1"/>
  <c r="J3969" i="2"/>
  <c r="I3969" i="2"/>
  <c r="L3968" i="2"/>
  <c r="K3968" i="2"/>
  <c r="J3968" i="2"/>
  <c r="I3968" i="2"/>
  <c r="K3967" i="2"/>
  <c r="L3967" i="2" s="1"/>
  <c r="J3967" i="2"/>
  <c r="I3967" i="2"/>
  <c r="L3966" i="2"/>
  <c r="K3966" i="2"/>
  <c r="J3966" i="2"/>
  <c r="I3966" i="2"/>
  <c r="K3965" i="2"/>
  <c r="L3965" i="2" s="1"/>
  <c r="J3965" i="2"/>
  <c r="I3965" i="2"/>
  <c r="L3964" i="2"/>
  <c r="K3964" i="2"/>
  <c r="J3964" i="2"/>
  <c r="I3964" i="2"/>
  <c r="K3963" i="2"/>
  <c r="L3963" i="2" s="1"/>
  <c r="J3963" i="2"/>
  <c r="I3963" i="2"/>
  <c r="L3962" i="2"/>
  <c r="K3962" i="2"/>
  <c r="J3962" i="2"/>
  <c r="I3962" i="2"/>
  <c r="K3961" i="2"/>
  <c r="L3961" i="2" s="1"/>
  <c r="J3961" i="2"/>
  <c r="I3961" i="2"/>
  <c r="L3960" i="2"/>
  <c r="K3960" i="2"/>
  <c r="J3960" i="2"/>
  <c r="I3960" i="2"/>
  <c r="K3959" i="2"/>
  <c r="L3959" i="2" s="1"/>
  <c r="J3959" i="2"/>
  <c r="I3959" i="2"/>
  <c r="L3958" i="2"/>
  <c r="K3958" i="2"/>
  <c r="J3958" i="2"/>
  <c r="I3958" i="2"/>
  <c r="K3957" i="2"/>
  <c r="L3957" i="2" s="1"/>
  <c r="J3957" i="2"/>
  <c r="I3957" i="2"/>
  <c r="L3956" i="2"/>
  <c r="K3956" i="2"/>
  <c r="J3956" i="2"/>
  <c r="I3956" i="2"/>
  <c r="K3955" i="2"/>
  <c r="L3955" i="2" s="1"/>
  <c r="J3955" i="2"/>
  <c r="I3955" i="2"/>
  <c r="L3954" i="2"/>
  <c r="K3954" i="2"/>
  <c r="J3954" i="2"/>
  <c r="I3954" i="2"/>
  <c r="K3953" i="2"/>
  <c r="L3953" i="2" s="1"/>
  <c r="J3953" i="2"/>
  <c r="I3953" i="2"/>
  <c r="L3952" i="2"/>
  <c r="K3952" i="2"/>
  <c r="J3952" i="2"/>
  <c r="I3952" i="2"/>
  <c r="K3951" i="2"/>
  <c r="L3951" i="2" s="1"/>
  <c r="J3951" i="2"/>
  <c r="I3951" i="2"/>
  <c r="L3950" i="2"/>
  <c r="K3950" i="2"/>
  <c r="J3950" i="2"/>
  <c r="I3950" i="2"/>
  <c r="K3949" i="2"/>
  <c r="L3949" i="2" s="1"/>
  <c r="J3949" i="2"/>
  <c r="I3949" i="2"/>
  <c r="L3948" i="2"/>
  <c r="K3948" i="2"/>
  <c r="J3948" i="2"/>
  <c r="I3948" i="2"/>
  <c r="K3947" i="2"/>
  <c r="L3947" i="2" s="1"/>
  <c r="J3947" i="2"/>
  <c r="I3947" i="2"/>
  <c r="L3946" i="2"/>
  <c r="K3946" i="2"/>
  <c r="J3946" i="2"/>
  <c r="I3946" i="2"/>
  <c r="K3945" i="2"/>
  <c r="L3945" i="2" s="1"/>
  <c r="J3945" i="2"/>
  <c r="I3945" i="2"/>
  <c r="L3944" i="2"/>
  <c r="K3944" i="2"/>
  <c r="J3944" i="2"/>
  <c r="I3944" i="2"/>
  <c r="K3943" i="2"/>
  <c r="L3943" i="2" s="1"/>
  <c r="J3943" i="2"/>
  <c r="I3943" i="2"/>
  <c r="L3942" i="2"/>
  <c r="K3942" i="2"/>
  <c r="J3942" i="2"/>
  <c r="I3942" i="2"/>
  <c r="K3941" i="2"/>
  <c r="L3941" i="2" s="1"/>
  <c r="J3941" i="2"/>
  <c r="I3941" i="2"/>
  <c r="L3940" i="2"/>
  <c r="K3940" i="2"/>
  <c r="J3940" i="2"/>
  <c r="I3940" i="2"/>
  <c r="K3939" i="2"/>
  <c r="L3939" i="2" s="1"/>
  <c r="J3939" i="2"/>
  <c r="I3939" i="2"/>
  <c r="L3938" i="2"/>
  <c r="K3938" i="2"/>
  <c r="J3938" i="2"/>
  <c r="I3938" i="2"/>
  <c r="K3937" i="2"/>
  <c r="L3937" i="2" s="1"/>
  <c r="J3937" i="2"/>
  <c r="I3937" i="2"/>
  <c r="L3936" i="2"/>
  <c r="K3936" i="2"/>
  <c r="J3936" i="2"/>
  <c r="I3936" i="2"/>
  <c r="K3935" i="2"/>
  <c r="L3935" i="2" s="1"/>
  <c r="J3935" i="2"/>
  <c r="I3935" i="2"/>
  <c r="L3934" i="2"/>
  <c r="K3934" i="2"/>
  <c r="J3934" i="2"/>
  <c r="I3934" i="2"/>
  <c r="K3933" i="2"/>
  <c r="L3933" i="2" s="1"/>
  <c r="J3933" i="2"/>
  <c r="I3933" i="2"/>
  <c r="L3932" i="2"/>
  <c r="K3932" i="2"/>
  <c r="J3932" i="2"/>
  <c r="I3932" i="2"/>
  <c r="K3931" i="2"/>
  <c r="L3931" i="2" s="1"/>
  <c r="J3931" i="2"/>
  <c r="I3931" i="2"/>
  <c r="L3930" i="2"/>
  <c r="K3930" i="2"/>
  <c r="J3930" i="2"/>
  <c r="I3930" i="2"/>
  <c r="K3929" i="2"/>
  <c r="L3929" i="2" s="1"/>
  <c r="J3929" i="2"/>
  <c r="I3929" i="2"/>
  <c r="L3928" i="2"/>
  <c r="K3928" i="2"/>
  <c r="J3928" i="2"/>
  <c r="I3928" i="2"/>
  <c r="K3927" i="2"/>
  <c r="L3927" i="2" s="1"/>
  <c r="J3927" i="2"/>
  <c r="I3927" i="2"/>
  <c r="L3926" i="2"/>
  <c r="K3926" i="2"/>
  <c r="J3926" i="2"/>
  <c r="I3926" i="2"/>
  <c r="K3925" i="2"/>
  <c r="L3925" i="2" s="1"/>
  <c r="J3925" i="2"/>
  <c r="I3925" i="2"/>
  <c r="L3924" i="2"/>
  <c r="K3924" i="2"/>
  <c r="J3924" i="2"/>
  <c r="I3924" i="2"/>
  <c r="K3923" i="2"/>
  <c r="L3923" i="2" s="1"/>
  <c r="J3923" i="2"/>
  <c r="I3923" i="2"/>
  <c r="L3922" i="2"/>
  <c r="K3922" i="2"/>
  <c r="J3922" i="2"/>
  <c r="I3922" i="2"/>
  <c r="K3921" i="2"/>
  <c r="L3921" i="2" s="1"/>
  <c r="J3921" i="2"/>
  <c r="I3921" i="2"/>
  <c r="L3920" i="2"/>
  <c r="K3920" i="2"/>
  <c r="J3920" i="2"/>
  <c r="I3920" i="2"/>
  <c r="K3919" i="2"/>
  <c r="L3919" i="2" s="1"/>
  <c r="J3919" i="2"/>
  <c r="I3919" i="2"/>
  <c r="L3918" i="2"/>
  <c r="K3918" i="2"/>
  <c r="J3918" i="2"/>
  <c r="I3918" i="2"/>
  <c r="K3917" i="2"/>
  <c r="L3917" i="2" s="1"/>
  <c r="J3917" i="2"/>
  <c r="I3917" i="2"/>
  <c r="L3916" i="2"/>
  <c r="K3916" i="2"/>
  <c r="J3916" i="2"/>
  <c r="I3916" i="2"/>
  <c r="K3915" i="2"/>
  <c r="L3915" i="2" s="1"/>
  <c r="J3915" i="2"/>
  <c r="I3915" i="2"/>
  <c r="L3914" i="2"/>
  <c r="K3914" i="2"/>
  <c r="J3914" i="2"/>
  <c r="I3914" i="2"/>
  <c r="K3913" i="2"/>
  <c r="L3913" i="2" s="1"/>
  <c r="J3913" i="2"/>
  <c r="I3913" i="2"/>
  <c r="L3912" i="2"/>
  <c r="K3912" i="2"/>
  <c r="J3912" i="2"/>
  <c r="I3912" i="2"/>
  <c r="K3911" i="2"/>
  <c r="L3911" i="2" s="1"/>
  <c r="J3911" i="2"/>
  <c r="I3911" i="2"/>
  <c r="L3910" i="2"/>
  <c r="K3910" i="2"/>
  <c r="J3910" i="2"/>
  <c r="I3910" i="2"/>
  <c r="K3909" i="2"/>
  <c r="L3909" i="2" s="1"/>
  <c r="J3909" i="2"/>
  <c r="I3909" i="2"/>
  <c r="L3908" i="2"/>
  <c r="K3908" i="2"/>
  <c r="J3908" i="2"/>
  <c r="I3908" i="2"/>
  <c r="K3907" i="2"/>
  <c r="L3907" i="2" s="1"/>
  <c r="J3907" i="2"/>
  <c r="I3907" i="2"/>
  <c r="L3906" i="2"/>
  <c r="K3906" i="2"/>
  <c r="J3906" i="2"/>
  <c r="I3906" i="2"/>
  <c r="K3905" i="2"/>
  <c r="L3905" i="2" s="1"/>
  <c r="J3905" i="2"/>
  <c r="I3905" i="2"/>
  <c r="L3904" i="2"/>
  <c r="K3904" i="2"/>
  <c r="J3904" i="2"/>
  <c r="I3904" i="2"/>
  <c r="K3903" i="2"/>
  <c r="L3903" i="2" s="1"/>
  <c r="J3903" i="2"/>
  <c r="I3903" i="2"/>
  <c r="L3902" i="2"/>
  <c r="K3902" i="2"/>
  <c r="J3902" i="2"/>
  <c r="I3902" i="2"/>
  <c r="K3901" i="2"/>
  <c r="L3901" i="2" s="1"/>
  <c r="J3901" i="2"/>
  <c r="I3901" i="2"/>
  <c r="L3900" i="2"/>
  <c r="K3900" i="2"/>
  <c r="J3900" i="2"/>
  <c r="I3900" i="2"/>
  <c r="K3899" i="2"/>
  <c r="L3899" i="2" s="1"/>
  <c r="J3899" i="2"/>
  <c r="I3899" i="2"/>
  <c r="L3898" i="2"/>
  <c r="K3898" i="2"/>
  <c r="J3898" i="2"/>
  <c r="I3898" i="2"/>
  <c r="K3897" i="2"/>
  <c r="L3897" i="2" s="1"/>
  <c r="J3897" i="2"/>
  <c r="I3897" i="2"/>
  <c r="L3896" i="2"/>
  <c r="K3896" i="2"/>
  <c r="J3896" i="2"/>
  <c r="I3896" i="2"/>
  <c r="K3895" i="2"/>
  <c r="L3895" i="2" s="1"/>
  <c r="J3895" i="2"/>
  <c r="I3895" i="2"/>
  <c r="L3894" i="2"/>
  <c r="K3894" i="2"/>
  <c r="J3894" i="2"/>
  <c r="I3894" i="2"/>
  <c r="K3893" i="2"/>
  <c r="L3893" i="2" s="1"/>
  <c r="J3893" i="2"/>
  <c r="I3893" i="2"/>
  <c r="L3892" i="2"/>
  <c r="K3892" i="2"/>
  <c r="J3892" i="2"/>
  <c r="I3892" i="2"/>
  <c r="K3891" i="2"/>
  <c r="L3891" i="2" s="1"/>
  <c r="J3891" i="2"/>
  <c r="I3891" i="2"/>
  <c r="L3890" i="2"/>
  <c r="K3890" i="2"/>
  <c r="J3890" i="2"/>
  <c r="I3890" i="2"/>
  <c r="K3889" i="2"/>
  <c r="L3889" i="2" s="1"/>
  <c r="J3889" i="2"/>
  <c r="I3889" i="2"/>
  <c r="L3888" i="2"/>
  <c r="K3888" i="2"/>
  <c r="J3888" i="2"/>
  <c r="I3888" i="2"/>
  <c r="K3887" i="2"/>
  <c r="L3887" i="2" s="1"/>
  <c r="J3887" i="2"/>
  <c r="I3887" i="2"/>
  <c r="L3886" i="2"/>
  <c r="K3886" i="2"/>
  <c r="J3886" i="2"/>
  <c r="I3886" i="2"/>
  <c r="K3885" i="2"/>
  <c r="L3885" i="2" s="1"/>
  <c r="J3885" i="2"/>
  <c r="I3885" i="2"/>
  <c r="L3884" i="2"/>
  <c r="K3884" i="2"/>
  <c r="J3884" i="2"/>
  <c r="I3884" i="2"/>
  <c r="K3883" i="2"/>
  <c r="L3883" i="2" s="1"/>
  <c r="J3883" i="2"/>
  <c r="I3883" i="2"/>
  <c r="L3882" i="2"/>
  <c r="K3882" i="2"/>
  <c r="J3882" i="2"/>
  <c r="I3882" i="2"/>
  <c r="K3881" i="2"/>
  <c r="L3881" i="2" s="1"/>
  <c r="J3881" i="2"/>
  <c r="I3881" i="2"/>
  <c r="L3880" i="2"/>
  <c r="K3880" i="2"/>
  <c r="J3880" i="2"/>
  <c r="I3880" i="2"/>
  <c r="K3879" i="2"/>
  <c r="L3879" i="2" s="1"/>
  <c r="J3879" i="2"/>
  <c r="I3879" i="2"/>
  <c r="L3878" i="2"/>
  <c r="K3878" i="2"/>
  <c r="J3878" i="2"/>
  <c r="I3878" i="2"/>
  <c r="K3877" i="2"/>
  <c r="L3877" i="2" s="1"/>
  <c r="J3877" i="2"/>
  <c r="I3877" i="2"/>
  <c r="L3876" i="2"/>
  <c r="K3876" i="2"/>
  <c r="J3876" i="2"/>
  <c r="I3876" i="2"/>
  <c r="K3875" i="2"/>
  <c r="L3875" i="2" s="1"/>
  <c r="J3875" i="2"/>
  <c r="I3875" i="2"/>
  <c r="L3874" i="2"/>
  <c r="K3874" i="2"/>
  <c r="J3874" i="2"/>
  <c r="I3874" i="2"/>
  <c r="K3873" i="2"/>
  <c r="L3873" i="2" s="1"/>
  <c r="J3873" i="2"/>
  <c r="I3873" i="2"/>
  <c r="L3872" i="2"/>
  <c r="K3872" i="2"/>
  <c r="J3872" i="2"/>
  <c r="I3872" i="2"/>
  <c r="K3871" i="2"/>
  <c r="L3871" i="2" s="1"/>
  <c r="J3871" i="2"/>
  <c r="I3871" i="2"/>
  <c r="L3870" i="2"/>
  <c r="K3870" i="2"/>
  <c r="J3870" i="2"/>
  <c r="I3870" i="2"/>
  <c r="K3869" i="2"/>
  <c r="L3869" i="2" s="1"/>
  <c r="J3869" i="2"/>
  <c r="I3869" i="2"/>
  <c r="L3868" i="2"/>
  <c r="K3868" i="2"/>
  <c r="J3868" i="2"/>
  <c r="I3868" i="2"/>
  <c r="K3867" i="2"/>
  <c r="L3867" i="2" s="1"/>
  <c r="J3867" i="2"/>
  <c r="I3867" i="2"/>
  <c r="L3866" i="2"/>
  <c r="K3866" i="2"/>
  <c r="J3866" i="2"/>
  <c r="I3866" i="2"/>
  <c r="K3865" i="2"/>
  <c r="L3865" i="2" s="1"/>
  <c r="J3865" i="2"/>
  <c r="I3865" i="2"/>
  <c r="L3864" i="2"/>
  <c r="K3864" i="2"/>
  <c r="J3864" i="2"/>
  <c r="I3864" i="2"/>
  <c r="K3863" i="2"/>
  <c r="L3863" i="2" s="1"/>
  <c r="J3863" i="2"/>
  <c r="I3863" i="2"/>
  <c r="L3862" i="2"/>
  <c r="K3862" i="2"/>
  <c r="J3862" i="2"/>
  <c r="I3862" i="2"/>
  <c r="K3861" i="2"/>
  <c r="L3861" i="2" s="1"/>
  <c r="J3861" i="2"/>
  <c r="I3861" i="2"/>
  <c r="L3860" i="2"/>
  <c r="K3860" i="2"/>
  <c r="J3860" i="2"/>
  <c r="I3860" i="2"/>
  <c r="K3859" i="2"/>
  <c r="L3859" i="2" s="1"/>
  <c r="J3859" i="2"/>
  <c r="I3859" i="2"/>
  <c r="L3858" i="2"/>
  <c r="K3858" i="2"/>
  <c r="J3858" i="2"/>
  <c r="I3858" i="2"/>
  <c r="K3857" i="2"/>
  <c r="L3857" i="2" s="1"/>
  <c r="J3857" i="2"/>
  <c r="I3857" i="2"/>
  <c r="L3856" i="2"/>
  <c r="K3856" i="2"/>
  <c r="J3856" i="2"/>
  <c r="I3856" i="2"/>
  <c r="K3855" i="2"/>
  <c r="L3855" i="2" s="1"/>
  <c r="J3855" i="2"/>
  <c r="I3855" i="2"/>
  <c r="L3854" i="2"/>
  <c r="K3854" i="2"/>
  <c r="J3854" i="2"/>
  <c r="I3854" i="2"/>
  <c r="K3853" i="2"/>
  <c r="L3853" i="2" s="1"/>
  <c r="J3853" i="2"/>
  <c r="I3853" i="2"/>
  <c r="L3852" i="2"/>
  <c r="K3852" i="2"/>
  <c r="J3852" i="2"/>
  <c r="I3852" i="2"/>
  <c r="K3851" i="2"/>
  <c r="L3851" i="2" s="1"/>
  <c r="J3851" i="2"/>
  <c r="I3851" i="2"/>
  <c r="L3850" i="2"/>
  <c r="K3850" i="2"/>
  <c r="J3850" i="2"/>
  <c r="I3850" i="2"/>
  <c r="K3849" i="2"/>
  <c r="L3849" i="2" s="1"/>
  <c r="J3849" i="2"/>
  <c r="I3849" i="2"/>
  <c r="L3848" i="2"/>
  <c r="K3848" i="2"/>
  <c r="J3848" i="2"/>
  <c r="I3848" i="2"/>
  <c r="K3847" i="2"/>
  <c r="L3847" i="2" s="1"/>
  <c r="J3847" i="2"/>
  <c r="I3847" i="2"/>
  <c r="L3846" i="2"/>
  <c r="K3846" i="2"/>
  <c r="J3846" i="2"/>
  <c r="I3846" i="2"/>
  <c r="K3845" i="2"/>
  <c r="L3845" i="2" s="1"/>
  <c r="J3845" i="2"/>
  <c r="I3845" i="2"/>
  <c r="L3844" i="2"/>
  <c r="K3844" i="2"/>
  <c r="J3844" i="2"/>
  <c r="I3844" i="2"/>
  <c r="K3843" i="2"/>
  <c r="L3843" i="2" s="1"/>
  <c r="J3843" i="2"/>
  <c r="I3843" i="2"/>
  <c r="L3842" i="2"/>
  <c r="K3842" i="2"/>
  <c r="J3842" i="2"/>
  <c r="I3842" i="2"/>
  <c r="K3841" i="2"/>
  <c r="L3841" i="2" s="1"/>
  <c r="J3841" i="2"/>
  <c r="I3841" i="2"/>
  <c r="L3840" i="2"/>
  <c r="K3840" i="2"/>
  <c r="J3840" i="2"/>
  <c r="I3840" i="2"/>
  <c r="K3839" i="2"/>
  <c r="L3839" i="2" s="1"/>
  <c r="J3839" i="2"/>
  <c r="I3839" i="2"/>
  <c r="L3838" i="2"/>
  <c r="K3838" i="2"/>
  <c r="J3838" i="2"/>
  <c r="I3838" i="2"/>
  <c r="K3837" i="2"/>
  <c r="L3837" i="2" s="1"/>
  <c r="J3837" i="2"/>
  <c r="I3837" i="2"/>
  <c r="L3836" i="2"/>
  <c r="K3836" i="2"/>
  <c r="J3836" i="2"/>
  <c r="I3836" i="2"/>
  <c r="K3835" i="2"/>
  <c r="L3835" i="2" s="1"/>
  <c r="J3835" i="2"/>
  <c r="I3835" i="2"/>
  <c r="L3834" i="2"/>
  <c r="K3834" i="2"/>
  <c r="J3834" i="2"/>
  <c r="I3834" i="2"/>
  <c r="K3833" i="2"/>
  <c r="L3833" i="2" s="1"/>
  <c r="J3833" i="2"/>
  <c r="I3833" i="2"/>
  <c r="L3832" i="2"/>
  <c r="K3832" i="2"/>
  <c r="J3832" i="2"/>
  <c r="I3832" i="2"/>
  <c r="K3831" i="2"/>
  <c r="L3831" i="2" s="1"/>
  <c r="J3831" i="2"/>
  <c r="I3831" i="2"/>
  <c r="L3830" i="2"/>
  <c r="K3830" i="2"/>
  <c r="J3830" i="2"/>
  <c r="I3830" i="2"/>
  <c r="K3829" i="2"/>
  <c r="L3829" i="2" s="1"/>
  <c r="J3829" i="2"/>
  <c r="I3829" i="2"/>
  <c r="L3828" i="2"/>
  <c r="K3828" i="2"/>
  <c r="J3828" i="2"/>
  <c r="I3828" i="2"/>
  <c r="K3827" i="2"/>
  <c r="L3827" i="2" s="1"/>
  <c r="J3827" i="2"/>
  <c r="I3827" i="2"/>
  <c r="L3826" i="2"/>
  <c r="K3826" i="2"/>
  <c r="J3826" i="2"/>
  <c r="I3826" i="2"/>
  <c r="K3825" i="2"/>
  <c r="L3825" i="2" s="1"/>
  <c r="J3825" i="2"/>
  <c r="I3825" i="2"/>
  <c r="L3824" i="2"/>
  <c r="K3824" i="2"/>
  <c r="J3824" i="2"/>
  <c r="I3824" i="2"/>
  <c r="K3823" i="2"/>
  <c r="L3823" i="2" s="1"/>
  <c r="J3823" i="2"/>
  <c r="I3823" i="2"/>
  <c r="L3822" i="2"/>
  <c r="K3822" i="2"/>
  <c r="J3822" i="2"/>
  <c r="I3822" i="2"/>
  <c r="K3821" i="2"/>
  <c r="L3821" i="2" s="1"/>
  <c r="J3821" i="2"/>
  <c r="I3821" i="2"/>
  <c r="L3820" i="2"/>
  <c r="K3820" i="2"/>
  <c r="J3820" i="2"/>
  <c r="I3820" i="2"/>
  <c r="K3819" i="2"/>
  <c r="L3819" i="2" s="1"/>
  <c r="J3819" i="2"/>
  <c r="I3819" i="2"/>
  <c r="L3818" i="2"/>
  <c r="K3818" i="2"/>
  <c r="J3818" i="2"/>
  <c r="I3818" i="2"/>
  <c r="K3817" i="2"/>
  <c r="L3817" i="2" s="1"/>
  <c r="J3817" i="2"/>
  <c r="I3817" i="2"/>
  <c r="L3816" i="2"/>
  <c r="K3816" i="2"/>
  <c r="J3816" i="2"/>
  <c r="I3816" i="2"/>
  <c r="K3815" i="2"/>
  <c r="L3815" i="2" s="1"/>
  <c r="J3815" i="2"/>
  <c r="I3815" i="2"/>
  <c r="L3814" i="2"/>
  <c r="K3814" i="2"/>
  <c r="J3814" i="2"/>
  <c r="I3814" i="2"/>
  <c r="K3813" i="2"/>
  <c r="L3813" i="2" s="1"/>
  <c r="J3813" i="2"/>
  <c r="I3813" i="2"/>
  <c r="L3812" i="2"/>
  <c r="K3812" i="2"/>
  <c r="J3812" i="2"/>
  <c r="I3812" i="2"/>
  <c r="K3811" i="2"/>
  <c r="L3811" i="2" s="1"/>
  <c r="J3811" i="2"/>
  <c r="I3811" i="2"/>
  <c r="L3810" i="2"/>
  <c r="K3810" i="2"/>
  <c r="J3810" i="2"/>
  <c r="I3810" i="2"/>
  <c r="K3809" i="2"/>
  <c r="L3809" i="2" s="1"/>
  <c r="J3809" i="2"/>
  <c r="I3809" i="2"/>
  <c r="L3808" i="2"/>
  <c r="K3808" i="2"/>
  <c r="J3808" i="2"/>
  <c r="I3808" i="2"/>
  <c r="K3807" i="2"/>
  <c r="L3807" i="2" s="1"/>
  <c r="J3807" i="2"/>
  <c r="I3807" i="2"/>
  <c r="L3806" i="2"/>
  <c r="K3806" i="2"/>
  <c r="J3806" i="2"/>
  <c r="I3806" i="2"/>
  <c r="K3805" i="2"/>
  <c r="L3805" i="2" s="1"/>
  <c r="J3805" i="2"/>
  <c r="I3805" i="2"/>
  <c r="L3804" i="2"/>
  <c r="K3804" i="2"/>
  <c r="J3804" i="2"/>
  <c r="I3804" i="2"/>
  <c r="K3803" i="2"/>
  <c r="L3803" i="2" s="1"/>
  <c r="J3803" i="2"/>
  <c r="I3803" i="2"/>
  <c r="L3802" i="2"/>
  <c r="K3802" i="2"/>
  <c r="J3802" i="2"/>
  <c r="I3802" i="2"/>
  <c r="K3801" i="2"/>
  <c r="L3801" i="2" s="1"/>
  <c r="J3801" i="2"/>
  <c r="I3801" i="2"/>
  <c r="L3800" i="2"/>
  <c r="K3800" i="2"/>
  <c r="J3800" i="2"/>
  <c r="I3800" i="2"/>
  <c r="K3799" i="2"/>
  <c r="L3799" i="2" s="1"/>
  <c r="J3799" i="2"/>
  <c r="I3799" i="2"/>
  <c r="L3798" i="2"/>
  <c r="K3798" i="2"/>
  <c r="J3798" i="2"/>
  <c r="I3798" i="2"/>
  <c r="K3797" i="2"/>
  <c r="L3797" i="2" s="1"/>
  <c r="J3797" i="2"/>
  <c r="I3797" i="2"/>
  <c r="L3796" i="2"/>
  <c r="K3796" i="2"/>
  <c r="J3796" i="2"/>
  <c r="I3796" i="2"/>
  <c r="K3795" i="2"/>
  <c r="L3795" i="2" s="1"/>
  <c r="J3795" i="2"/>
  <c r="I3795" i="2"/>
  <c r="L3794" i="2"/>
  <c r="K3794" i="2"/>
  <c r="J3794" i="2"/>
  <c r="I3794" i="2"/>
  <c r="K3793" i="2"/>
  <c r="L3793" i="2" s="1"/>
  <c r="J3793" i="2"/>
  <c r="I3793" i="2"/>
  <c r="L3792" i="2"/>
  <c r="K3792" i="2"/>
  <c r="J3792" i="2"/>
  <c r="I3792" i="2"/>
  <c r="K3791" i="2"/>
  <c r="L3791" i="2" s="1"/>
  <c r="J3791" i="2"/>
  <c r="I3791" i="2"/>
  <c r="L3790" i="2"/>
  <c r="K3790" i="2"/>
  <c r="J3790" i="2"/>
  <c r="I3790" i="2"/>
  <c r="K3789" i="2"/>
  <c r="L3789" i="2" s="1"/>
  <c r="J3789" i="2"/>
  <c r="I3789" i="2"/>
  <c r="L3788" i="2"/>
  <c r="K3788" i="2"/>
  <c r="J3788" i="2"/>
  <c r="I3788" i="2"/>
  <c r="K3787" i="2"/>
  <c r="L3787" i="2" s="1"/>
  <c r="J3787" i="2"/>
  <c r="I3787" i="2"/>
  <c r="L3786" i="2"/>
  <c r="K3786" i="2"/>
  <c r="J3786" i="2"/>
  <c r="I3786" i="2"/>
  <c r="K3785" i="2"/>
  <c r="L3785" i="2" s="1"/>
  <c r="J3785" i="2"/>
  <c r="I3785" i="2"/>
  <c r="L3784" i="2"/>
  <c r="K3784" i="2"/>
  <c r="J3784" i="2"/>
  <c r="I3784" i="2"/>
  <c r="K3783" i="2"/>
  <c r="L3783" i="2" s="1"/>
  <c r="J3783" i="2"/>
  <c r="I3783" i="2"/>
  <c r="L3782" i="2"/>
  <c r="K3782" i="2"/>
  <c r="J3782" i="2"/>
  <c r="I3782" i="2"/>
  <c r="K3781" i="2"/>
  <c r="L3781" i="2" s="1"/>
  <c r="J3781" i="2"/>
  <c r="I3781" i="2"/>
  <c r="L3780" i="2"/>
  <c r="K3780" i="2"/>
  <c r="J3780" i="2"/>
  <c r="I3780" i="2"/>
  <c r="K3779" i="2"/>
  <c r="L3779" i="2" s="1"/>
  <c r="J3779" i="2"/>
  <c r="I3779" i="2"/>
  <c r="L3778" i="2"/>
  <c r="K3778" i="2"/>
  <c r="J3778" i="2"/>
  <c r="I3778" i="2"/>
  <c r="K3777" i="2"/>
  <c r="L3777" i="2" s="1"/>
  <c r="J3777" i="2"/>
  <c r="I3777" i="2"/>
  <c r="L3776" i="2"/>
  <c r="K3776" i="2"/>
  <c r="J3776" i="2"/>
  <c r="I3776" i="2"/>
  <c r="K3775" i="2"/>
  <c r="L3775" i="2" s="1"/>
  <c r="J3775" i="2"/>
  <c r="I3775" i="2"/>
  <c r="L3774" i="2"/>
  <c r="K3774" i="2"/>
  <c r="J3774" i="2"/>
  <c r="I3774" i="2"/>
  <c r="K3773" i="2"/>
  <c r="L3773" i="2" s="1"/>
  <c r="J3773" i="2"/>
  <c r="I3773" i="2"/>
  <c r="L3772" i="2"/>
  <c r="K3772" i="2"/>
  <c r="J3772" i="2"/>
  <c r="I3772" i="2"/>
  <c r="K3771" i="2"/>
  <c r="L3771" i="2" s="1"/>
  <c r="J3771" i="2"/>
  <c r="I3771" i="2"/>
  <c r="L3770" i="2"/>
  <c r="K3770" i="2"/>
  <c r="J3770" i="2"/>
  <c r="I3770" i="2"/>
  <c r="K3769" i="2"/>
  <c r="L3769" i="2" s="1"/>
  <c r="J3769" i="2"/>
  <c r="I3769" i="2"/>
  <c r="L3768" i="2"/>
  <c r="K3768" i="2"/>
  <c r="J3768" i="2"/>
  <c r="I3768" i="2"/>
  <c r="K3767" i="2"/>
  <c r="L3767" i="2" s="1"/>
  <c r="J3767" i="2"/>
  <c r="I3767" i="2"/>
  <c r="L3766" i="2"/>
  <c r="K3766" i="2"/>
  <c r="J3766" i="2"/>
  <c r="I3766" i="2"/>
  <c r="K3765" i="2"/>
  <c r="L3765" i="2" s="1"/>
  <c r="J3765" i="2"/>
  <c r="I3765" i="2"/>
  <c r="L3764" i="2"/>
  <c r="K3764" i="2"/>
  <c r="J3764" i="2"/>
  <c r="I3764" i="2"/>
  <c r="K3763" i="2"/>
  <c r="L3763" i="2" s="1"/>
  <c r="J3763" i="2"/>
  <c r="I3763" i="2"/>
  <c r="L3762" i="2"/>
  <c r="K3762" i="2"/>
  <c r="J3762" i="2"/>
  <c r="I3762" i="2"/>
  <c r="K3761" i="2"/>
  <c r="L3761" i="2" s="1"/>
  <c r="J3761" i="2"/>
  <c r="I3761" i="2"/>
  <c r="L3760" i="2"/>
  <c r="K3760" i="2"/>
  <c r="J3760" i="2"/>
  <c r="I3760" i="2"/>
  <c r="K3759" i="2"/>
  <c r="L3759" i="2" s="1"/>
  <c r="J3759" i="2"/>
  <c r="I3759" i="2"/>
  <c r="L3758" i="2"/>
  <c r="K3758" i="2"/>
  <c r="J3758" i="2"/>
  <c r="I3758" i="2"/>
  <c r="K3757" i="2"/>
  <c r="L3757" i="2" s="1"/>
  <c r="J3757" i="2"/>
  <c r="I3757" i="2"/>
  <c r="L3756" i="2"/>
  <c r="K3756" i="2"/>
  <c r="J3756" i="2"/>
  <c r="I3756" i="2"/>
  <c r="K3755" i="2"/>
  <c r="L3755" i="2" s="1"/>
  <c r="J3755" i="2"/>
  <c r="I3755" i="2"/>
  <c r="L3754" i="2"/>
  <c r="K3754" i="2"/>
  <c r="J3754" i="2"/>
  <c r="I3754" i="2"/>
  <c r="K3753" i="2"/>
  <c r="L3753" i="2" s="1"/>
  <c r="J3753" i="2"/>
  <c r="I3753" i="2"/>
  <c r="L3752" i="2"/>
  <c r="K3752" i="2"/>
  <c r="J3752" i="2"/>
  <c r="I3752" i="2"/>
  <c r="K3751" i="2"/>
  <c r="L3751" i="2" s="1"/>
  <c r="J3751" i="2"/>
  <c r="I3751" i="2"/>
  <c r="L3750" i="2"/>
  <c r="K3750" i="2"/>
  <c r="J3750" i="2"/>
  <c r="I3750" i="2"/>
  <c r="K3749" i="2"/>
  <c r="L3749" i="2" s="1"/>
  <c r="J3749" i="2"/>
  <c r="I3749" i="2"/>
  <c r="L3748" i="2"/>
  <c r="K3748" i="2"/>
  <c r="J3748" i="2"/>
  <c r="I3748" i="2"/>
  <c r="K3747" i="2"/>
  <c r="L3747" i="2" s="1"/>
  <c r="J3747" i="2"/>
  <c r="I3747" i="2"/>
  <c r="L3746" i="2"/>
  <c r="K3746" i="2"/>
  <c r="J3746" i="2"/>
  <c r="I3746" i="2"/>
  <c r="K3745" i="2"/>
  <c r="L3745" i="2" s="1"/>
  <c r="J3745" i="2"/>
  <c r="I3745" i="2"/>
  <c r="L3744" i="2"/>
  <c r="K3744" i="2"/>
  <c r="J3744" i="2"/>
  <c r="I3744" i="2"/>
  <c r="K3743" i="2"/>
  <c r="L3743" i="2" s="1"/>
  <c r="J3743" i="2"/>
  <c r="I3743" i="2"/>
  <c r="L3742" i="2"/>
  <c r="K3742" i="2"/>
  <c r="J3742" i="2"/>
  <c r="I3742" i="2"/>
  <c r="K3741" i="2"/>
  <c r="L3741" i="2" s="1"/>
  <c r="J3741" i="2"/>
  <c r="I3741" i="2"/>
  <c r="L3740" i="2"/>
  <c r="K3740" i="2"/>
  <c r="J3740" i="2"/>
  <c r="I3740" i="2"/>
  <c r="K3739" i="2"/>
  <c r="L3739" i="2" s="1"/>
  <c r="J3739" i="2"/>
  <c r="I3739" i="2"/>
  <c r="L3738" i="2"/>
  <c r="K3738" i="2"/>
  <c r="J3738" i="2"/>
  <c r="I3738" i="2"/>
  <c r="K3737" i="2"/>
  <c r="L3737" i="2" s="1"/>
  <c r="J3737" i="2"/>
  <c r="I3737" i="2"/>
  <c r="L3736" i="2"/>
  <c r="K3736" i="2"/>
  <c r="J3736" i="2"/>
  <c r="I3736" i="2"/>
  <c r="K3735" i="2"/>
  <c r="L3735" i="2" s="1"/>
  <c r="J3735" i="2"/>
  <c r="I3735" i="2"/>
  <c r="L3734" i="2"/>
  <c r="K3734" i="2"/>
  <c r="J3734" i="2"/>
  <c r="I3734" i="2"/>
  <c r="K3733" i="2"/>
  <c r="L3733" i="2" s="1"/>
  <c r="J3733" i="2"/>
  <c r="I3733" i="2"/>
  <c r="L3732" i="2"/>
  <c r="K3732" i="2"/>
  <c r="J3732" i="2"/>
  <c r="I3732" i="2"/>
  <c r="K3731" i="2"/>
  <c r="L3731" i="2" s="1"/>
  <c r="J3731" i="2"/>
  <c r="I3731" i="2"/>
  <c r="L3730" i="2"/>
  <c r="K3730" i="2"/>
  <c r="J3730" i="2"/>
  <c r="I3730" i="2"/>
  <c r="K3729" i="2"/>
  <c r="L3729" i="2" s="1"/>
  <c r="J3729" i="2"/>
  <c r="I3729" i="2"/>
  <c r="L3728" i="2"/>
  <c r="K3728" i="2"/>
  <c r="J3728" i="2"/>
  <c r="I3728" i="2"/>
  <c r="K3727" i="2"/>
  <c r="L3727" i="2" s="1"/>
  <c r="J3727" i="2"/>
  <c r="I3727" i="2"/>
  <c r="L3726" i="2"/>
  <c r="K3726" i="2"/>
  <c r="J3726" i="2"/>
  <c r="I3726" i="2"/>
  <c r="K3725" i="2"/>
  <c r="L3725" i="2" s="1"/>
  <c r="J3725" i="2"/>
  <c r="I3725" i="2"/>
  <c r="L3724" i="2"/>
  <c r="K3724" i="2"/>
  <c r="J3724" i="2"/>
  <c r="I3724" i="2"/>
  <c r="K3723" i="2"/>
  <c r="L3723" i="2" s="1"/>
  <c r="J3723" i="2"/>
  <c r="I3723" i="2"/>
  <c r="L3722" i="2"/>
  <c r="K3722" i="2"/>
  <c r="J3722" i="2"/>
  <c r="I3722" i="2"/>
  <c r="K3721" i="2"/>
  <c r="L3721" i="2" s="1"/>
  <c r="J3721" i="2"/>
  <c r="I3721" i="2"/>
  <c r="L3720" i="2"/>
  <c r="K3720" i="2"/>
  <c r="J3720" i="2"/>
  <c r="I3720" i="2"/>
  <c r="K3719" i="2"/>
  <c r="L3719" i="2" s="1"/>
  <c r="J3719" i="2"/>
  <c r="I3719" i="2"/>
  <c r="L3718" i="2"/>
  <c r="K3718" i="2"/>
  <c r="J3718" i="2"/>
  <c r="I3718" i="2"/>
  <c r="K3717" i="2"/>
  <c r="L3717" i="2" s="1"/>
  <c r="J3717" i="2"/>
  <c r="I3717" i="2"/>
  <c r="L3716" i="2"/>
  <c r="K3716" i="2"/>
  <c r="J3716" i="2"/>
  <c r="I3716" i="2"/>
  <c r="K3715" i="2"/>
  <c r="L3715" i="2" s="1"/>
  <c r="J3715" i="2"/>
  <c r="I3715" i="2"/>
  <c r="L3714" i="2"/>
  <c r="K3714" i="2"/>
  <c r="J3714" i="2"/>
  <c r="I3714" i="2"/>
  <c r="K3713" i="2"/>
  <c r="L3713" i="2" s="1"/>
  <c r="J3713" i="2"/>
  <c r="I3713" i="2"/>
  <c r="L3712" i="2"/>
  <c r="K3712" i="2"/>
  <c r="J3712" i="2"/>
  <c r="I3712" i="2"/>
  <c r="K3711" i="2"/>
  <c r="L3711" i="2" s="1"/>
  <c r="J3711" i="2"/>
  <c r="I3711" i="2"/>
  <c r="L3710" i="2"/>
  <c r="K3710" i="2"/>
  <c r="J3710" i="2"/>
  <c r="I3710" i="2"/>
  <c r="K3709" i="2"/>
  <c r="L3709" i="2" s="1"/>
  <c r="J3709" i="2"/>
  <c r="I3709" i="2"/>
  <c r="L3708" i="2"/>
  <c r="K3708" i="2"/>
  <c r="J3708" i="2"/>
  <c r="I3708" i="2"/>
  <c r="K3707" i="2"/>
  <c r="L3707" i="2" s="1"/>
  <c r="J3707" i="2"/>
  <c r="I3707" i="2"/>
  <c r="L3706" i="2"/>
  <c r="K3706" i="2"/>
  <c r="J3706" i="2"/>
  <c r="I3706" i="2"/>
  <c r="K3705" i="2"/>
  <c r="L3705" i="2" s="1"/>
  <c r="J3705" i="2"/>
  <c r="I3705" i="2"/>
  <c r="L3704" i="2"/>
  <c r="K3704" i="2"/>
  <c r="J3704" i="2"/>
  <c r="I3704" i="2"/>
  <c r="K3703" i="2"/>
  <c r="L3703" i="2" s="1"/>
  <c r="J3703" i="2"/>
  <c r="I3703" i="2"/>
  <c r="L3702" i="2"/>
  <c r="K3702" i="2"/>
  <c r="J3702" i="2"/>
  <c r="I3702" i="2"/>
  <c r="K3701" i="2"/>
  <c r="L3701" i="2" s="1"/>
  <c r="J3701" i="2"/>
  <c r="I3701" i="2"/>
  <c r="L3700" i="2"/>
  <c r="K3700" i="2"/>
  <c r="J3700" i="2"/>
  <c r="I3700" i="2"/>
  <c r="K3699" i="2"/>
  <c r="L3699" i="2" s="1"/>
  <c r="J3699" i="2"/>
  <c r="I3699" i="2"/>
  <c r="L3698" i="2"/>
  <c r="K3698" i="2"/>
  <c r="J3698" i="2"/>
  <c r="I3698" i="2"/>
  <c r="K3697" i="2"/>
  <c r="L3697" i="2" s="1"/>
  <c r="J3697" i="2"/>
  <c r="I3697" i="2"/>
  <c r="L3696" i="2"/>
  <c r="K3696" i="2"/>
  <c r="J3696" i="2"/>
  <c r="I3696" i="2"/>
  <c r="K3695" i="2"/>
  <c r="L3695" i="2" s="1"/>
  <c r="J3695" i="2"/>
  <c r="I3695" i="2"/>
  <c r="L3694" i="2"/>
  <c r="K3694" i="2"/>
  <c r="J3694" i="2"/>
  <c r="I3694" i="2"/>
  <c r="K3693" i="2"/>
  <c r="L3693" i="2" s="1"/>
  <c r="J3693" i="2"/>
  <c r="I3693" i="2"/>
  <c r="L3692" i="2"/>
  <c r="K3692" i="2"/>
  <c r="J3692" i="2"/>
  <c r="I3692" i="2"/>
  <c r="K3691" i="2"/>
  <c r="L3691" i="2" s="1"/>
  <c r="J3691" i="2"/>
  <c r="I3691" i="2"/>
  <c r="L3690" i="2"/>
  <c r="K3690" i="2"/>
  <c r="J3690" i="2"/>
  <c r="I3690" i="2"/>
  <c r="K3689" i="2"/>
  <c r="L3689" i="2" s="1"/>
  <c r="J3689" i="2"/>
  <c r="I3689" i="2"/>
  <c r="L3688" i="2"/>
  <c r="K3688" i="2"/>
  <c r="J3688" i="2"/>
  <c r="I3688" i="2"/>
  <c r="K3687" i="2"/>
  <c r="L3687" i="2" s="1"/>
  <c r="J3687" i="2"/>
  <c r="I3687" i="2"/>
  <c r="L3686" i="2"/>
  <c r="K3686" i="2"/>
  <c r="J3686" i="2"/>
  <c r="I3686" i="2"/>
  <c r="K3685" i="2"/>
  <c r="L3685" i="2" s="1"/>
  <c r="J3685" i="2"/>
  <c r="I3685" i="2"/>
  <c r="L3684" i="2"/>
  <c r="K3684" i="2"/>
  <c r="J3684" i="2"/>
  <c r="I3684" i="2"/>
  <c r="K3683" i="2"/>
  <c r="L3683" i="2" s="1"/>
  <c r="J3683" i="2"/>
  <c r="I3683" i="2"/>
  <c r="L3682" i="2"/>
  <c r="K3682" i="2"/>
  <c r="J3682" i="2"/>
  <c r="I3682" i="2"/>
  <c r="K3681" i="2"/>
  <c r="L3681" i="2" s="1"/>
  <c r="J3681" i="2"/>
  <c r="I3681" i="2"/>
  <c r="L3680" i="2"/>
  <c r="K3680" i="2"/>
  <c r="J3680" i="2"/>
  <c r="I3680" i="2"/>
  <c r="K3679" i="2"/>
  <c r="L3679" i="2" s="1"/>
  <c r="J3679" i="2"/>
  <c r="I3679" i="2"/>
  <c r="L3678" i="2"/>
  <c r="K3678" i="2"/>
  <c r="J3678" i="2"/>
  <c r="I3678" i="2"/>
  <c r="K3677" i="2"/>
  <c r="L3677" i="2" s="1"/>
  <c r="J3677" i="2"/>
  <c r="I3677" i="2"/>
  <c r="L3676" i="2"/>
  <c r="K3676" i="2"/>
  <c r="J3676" i="2"/>
  <c r="I3676" i="2"/>
  <c r="K3675" i="2"/>
  <c r="L3675" i="2" s="1"/>
  <c r="J3675" i="2"/>
  <c r="I3675" i="2"/>
  <c r="L3674" i="2"/>
  <c r="K3674" i="2"/>
  <c r="J3674" i="2"/>
  <c r="I3674" i="2"/>
  <c r="K3673" i="2"/>
  <c r="L3673" i="2" s="1"/>
  <c r="J3673" i="2"/>
  <c r="I3673" i="2"/>
  <c r="L3672" i="2"/>
  <c r="K3672" i="2"/>
  <c r="J3672" i="2"/>
  <c r="I3672" i="2"/>
  <c r="K3671" i="2"/>
  <c r="L3671" i="2" s="1"/>
  <c r="J3671" i="2"/>
  <c r="I3671" i="2"/>
  <c r="L3670" i="2"/>
  <c r="K3670" i="2"/>
  <c r="J3670" i="2"/>
  <c r="I3670" i="2"/>
  <c r="K3669" i="2"/>
  <c r="L3669" i="2" s="1"/>
  <c r="J3669" i="2"/>
  <c r="I3669" i="2"/>
  <c r="L3668" i="2"/>
  <c r="K3668" i="2"/>
  <c r="J3668" i="2"/>
  <c r="I3668" i="2"/>
  <c r="K3667" i="2"/>
  <c r="L3667" i="2" s="1"/>
  <c r="J3667" i="2"/>
  <c r="I3667" i="2"/>
  <c r="L3666" i="2"/>
  <c r="K3666" i="2"/>
  <c r="J3666" i="2"/>
  <c r="I3666" i="2"/>
  <c r="K3665" i="2"/>
  <c r="L3665" i="2" s="1"/>
  <c r="J3665" i="2"/>
  <c r="I3665" i="2"/>
  <c r="L3664" i="2"/>
  <c r="K3664" i="2"/>
  <c r="J3664" i="2"/>
  <c r="I3664" i="2"/>
  <c r="K3663" i="2"/>
  <c r="L3663" i="2" s="1"/>
  <c r="J3663" i="2"/>
  <c r="I3663" i="2"/>
  <c r="L3662" i="2"/>
  <c r="K3662" i="2"/>
  <c r="J3662" i="2"/>
  <c r="I3662" i="2"/>
  <c r="K3661" i="2"/>
  <c r="L3661" i="2" s="1"/>
  <c r="J3661" i="2"/>
  <c r="I3661" i="2"/>
  <c r="L3660" i="2"/>
  <c r="K3660" i="2"/>
  <c r="J3660" i="2"/>
  <c r="I3660" i="2"/>
  <c r="K3659" i="2"/>
  <c r="L3659" i="2" s="1"/>
  <c r="J3659" i="2"/>
  <c r="I3659" i="2"/>
  <c r="L3658" i="2"/>
  <c r="K3658" i="2"/>
  <c r="J3658" i="2"/>
  <c r="I3658" i="2"/>
  <c r="K3657" i="2"/>
  <c r="L3657" i="2" s="1"/>
  <c r="J3657" i="2"/>
  <c r="I3657" i="2"/>
  <c r="L3656" i="2"/>
  <c r="K3656" i="2"/>
  <c r="J3656" i="2"/>
  <c r="I3656" i="2"/>
  <c r="K3655" i="2"/>
  <c r="L3655" i="2" s="1"/>
  <c r="J3655" i="2"/>
  <c r="I3655" i="2"/>
  <c r="L3654" i="2"/>
  <c r="K3654" i="2"/>
  <c r="J3654" i="2"/>
  <c r="I3654" i="2"/>
  <c r="K3653" i="2"/>
  <c r="L3653" i="2" s="1"/>
  <c r="J3653" i="2"/>
  <c r="I3653" i="2"/>
  <c r="L3652" i="2"/>
  <c r="K3652" i="2"/>
  <c r="J3652" i="2"/>
  <c r="I3652" i="2"/>
  <c r="K3651" i="2"/>
  <c r="L3651" i="2" s="1"/>
  <c r="J3651" i="2"/>
  <c r="I3651" i="2"/>
  <c r="L3650" i="2"/>
  <c r="K3650" i="2"/>
  <c r="J3650" i="2"/>
  <c r="I3650" i="2"/>
  <c r="K3649" i="2"/>
  <c r="L3649" i="2" s="1"/>
  <c r="J3649" i="2"/>
  <c r="I3649" i="2"/>
  <c r="L3648" i="2"/>
  <c r="K3648" i="2"/>
  <c r="J3648" i="2"/>
  <c r="I3648" i="2"/>
  <c r="K3647" i="2"/>
  <c r="L3647" i="2" s="1"/>
  <c r="J3647" i="2"/>
  <c r="I3647" i="2"/>
  <c r="L3646" i="2"/>
  <c r="K3646" i="2"/>
  <c r="J3646" i="2"/>
  <c r="I3646" i="2"/>
  <c r="K3645" i="2"/>
  <c r="L3645" i="2" s="1"/>
  <c r="J3645" i="2"/>
  <c r="I3645" i="2"/>
  <c r="L3644" i="2"/>
  <c r="K3644" i="2"/>
  <c r="J3644" i="2"/>
  <c r="I3644" i="2"/>
  <c r="K3643" i="2"/>
  <c r="L3643" i="2" s="1"/>
  <c r="J3643" i="2"/>
  <c r="I3643" i="2"/>
  <c r="L3642" i="2"/>
  <c r="K3642" i="2"/>
  <c r="J3642" i="2"/>
  <c r="I3642" i="2"/>
  <c r="K3641" i="2"/>
  <c r="L3641" i="2" s="1"/>
  <c r="J3641" i="2"/>
  <c r="I3641" i="2"/>
  <c r="L3640" i="2"/>
  <c r="K3640" i="2"/>
  <c r="J3640" i="2"/>
  <c r="I3640" i="2"/>
  <c r="K3639" i="2"/>
  <c r="L3639" i="2" s="1"/>
  <c r="J3639" i="2"/>
  <c r="I3639" i="2"/>
  <c r="L3638" i="2"/>
  <c r="K3638" i="2"/>
  <c r="J3638" i="2"/>
  <c r="I3638" i="2"/>
  <c r="K3637" i="2"/>
  <c r="L3637" i="2" s="1"/>
  <c r="J3637" i="2"/>
  <c r="I3637" i="2"/>
  <c r="L3636" i="2"/>
  <c r="K3636" i="2"/>
  <c r="J3636" i="2"/>
  <c r="I3636" i="2"/>
  <c r="K3635" i="2"/>
  <c r="L3635" i="2" s="1"/>
  <c r="J3635" i="2"/>
  <c r="I3635" i="2"/>
  <c r="L3634" i="2"/>
  <c r="K3634" i="2"/>
  <c r="J3634" i="2"/>
  <c r="I3634" i="2"/>
  <c r="K3633" i="2"/>
  <c r="L3633" i="2" s="1"/>
  <c r="J3633" i="2"/>
  <c r="I3633" i="2"/>
  <c r="L3632" i="2"/>
  <c r="K3632" i="2"/>
  <c r="J3632" i="2"/>
  <c r="I3632" i="2"/>
  <c r="K3631" i="2"/>
  <c r="L3631" i="2" s="1"/>
  <c r="J3631" i="2"/>
  <c r="I3631" i="2"/>
  <c r="L3630" i="2"/>
  <c r="K3630" i="2"/>
  <c r="J3630" i="2"/>
  <c r="I3630" i="2"/>
  <c r="K3629" i="2"/>
  <c r="L3629" i="2" s="1"/>
  <c r="J3629" i="2"/>
  <c r="I3629" i="2"/>
  <c r="L3628" i="2"/>
  <c r="K3628" i="2"/>
  <c r="J3628" i="2"/>
  <c r="I3628" i="2"/>
  <c r="K3627" i="2"/>
  <c r="L3627" i="2" s="1"/>
  <c r="J3627" i="2"/>
  <c r="I3627" i="2"/>
  <c r="L3626" i="2"/>
  <c r="K3626" i="2"/>
  <c r="J3626" i="2"/>
  <c r="I3626" i="2"/>
  <c r="K3625" i="2"/>
  <c r="L3625" i="2" s="1"/>
  <c r="J3625" i="2"/>
  <c r="I3625" i="2"/>
  <c r="L3624" i="2"/>
  <c r="K3624" i="2"/>
  <c r="J3624" i="2"/>
  <c r="I3624" i="2"/>
  <c r="K3623" i="2"/>
  <c r="L3623" i="2" s="1"/>
  <c r="J3623" i="2"/>
  <c r="I3623" i="2"/>
  <c r="L3622" i="2"/>
  <c r="K3622" i="2"/>
  <c r="J3622" i="2"/>
  <c r="I3622" i="2"/>
  <c r="K3621" i="2"/>
  <c r="L3621" i="2" s="1"/>
  <c r="J3621" i="2"/>
  <c r="I3621" i="2"/>
  <c r="L3620" i="2"/>
  <c r="K3620" i="2"/>
  <c r="J3620" i="2"/>
  <c r="I3620" i="2"/>
  <c r="K3619" i="2"/>
  <c r="L3619" i="2" s="1"/>
  <c r="J3619" i="2"/>
  <c r="I3619" i="2"/>
  <c r="L3618" i="2"/>
  <c r="K3618" i="2"/>
  <c r="J3618" i="2"/>
  <c r="I3618" i="2"/>
  <c r="K3617" i="2"/>
  <c r="L3617" i="2" s="1"/>
  <c r="J3617" i="2"/>
  <c r="I3617" i="2"/>
  <c r="L3616" i="2"/>
  <c r="K3616" i="2"/>
  <c r="J3616" i="2"/>
  <c r="I3616" i="2"/>
  <c r="K3615" i="2"/>
  <c r="L3615" i="2" s="1"/>
  <c r="J3615" i="2"/>
  <c r="I3615" i="2"/>
  <c r="L3614" i="2"/>
  <c r="K3614" i="2"/>
  <c r="J3614" i="2"/>
  <c r="I3614" i="2"/>
  <c r="K3613" i="2"/>
  <c r="L3613" i="2" s="1"/>
  <c r="J3613" i="2"/>
  <c r="I3613" i="2"/>
  <c r="L3612" i="2"/>
  <c r="K3612" i="2"/>
  <c r="J3612" i="2"/>
  <c r="I3612" i="2"/>
  <c r="K3611" i="2"/>
  <c r="L3611" i="2" s="1"/>
  <c r="J3611" i="2"/>
  <c r="I3611" i="2"/>
  <c r="L3610" i="2"/>
  <c r="K3610" i="2"/>
  <c r="J3610" i="2"/>
  <c r="I3610" i="2"/>
  <c r="K3609" i="2"/>
  <c r="L3609" i="2" s="1"/>
  <c r="J3609" i="2"/>
  <c r="I3609" i="2"/>
  <c r="L3608" i="2"/>
  <c r="K3608" i="2"/>
  <c r="J3608" i="2"/>
  <c r="I3608" i="2"/>
  <c r="K3607" i="2"/>
  <c r="L3607" i="2" s="1"/>
  <c r="J3607" i="2"/>
  <c r="I3607" i="2"/>
  <c r="L3606" i="2"/>
  <c r="K3606" i="2"/>
  <c r="J3606" i="2"/>
  <c r="I3606" i="2"/>
  <c r="K3605" i="2"/>
  <c r="L3605" i="2" s="1"/>
  <c r="J3605" i="2"/>
  <c r="I3605" i="2"/>
  <c r="L3604" i="2"/>
  <c r="K3604" i="2"/>
  <c r="J3604" i="2"/>
  <c r="I3604" i="2"/>
  <c r="K3603" i="2"/>
  <c r="L3603" i="2" s="1"/>
  <c r="J3603" i="2"/>
  <c r="I3603" i="2"/>
  <c r="L3602" i="2"/>
  <c r="K3602" i="2"/>
  <c r="J3602" i="2"/>
  <c r="I3602" i="2"/>
  <c r="K3601" i="2"/>
  <c r="L3601" i="2" s="1"/>
  <c r="J3601" i="2"/>
  <c r="I3601" i="2"/>
  <c r="L3600" i="2"/>
  <c r="K3600" i="2"/>
  <c r="J3600" i="2"/>
  <c r="I3600" i="2"/>
  <c r="K3599" i="2"/>
  <c r="L3599" i="2" s="1"/>
  <c r="J3599" i="2"/>
  <c r="I3599" i="2"/>
  <c r="L3598" i="2"/>
  <c r="K3598" i="2"/>
  <c r="J3598" i="2"/>
  <c r="I3598" i="2"/>
  <c r="K3597" i="2"/>
  <c r="L3597" i="2" s="1"/>
  <c r="J3597" i="2"/>
  <c r="I3597" i="2"/>
  <c r="L3596" i="2"/>
  <c r="K3596" i="2"/>
  <c r="J3596" i="2"/>
  <c r="I3596" i="2"/>
  <c r="K3595" i="2"/>
  <c r="L3595" i="2" s="1"/>
  <c r="J3595" i="2"/>
  <c r="I3595" i="2"/>
  <c r="L3594" i="2"/>
  <c r="K3594" i="2"/>
  <c r="J3594" i="2"/>
  <c r="I3594" i="2"/>
  <c r="K3593" i="2"/>
  <c r="L3593" i="2" s="1"/>
  <c r="J3593" i="2"/>
  <c r="I3593" i="2"/>
  <c r="L3592" i="2"/>
  <c r="K3592" i="2"/>
  <c r="J3592" i="2"/>
  <c r="I3592" i="2"/>
  <c r="K3591" i="2"/>
  <c r="L3591" i="2" s="1"/>
  <c r="J3591" i="2"/>
  <c r="I3591" i="2"/>
  <c r="L3590" i="2"/>
  <c r="K3590" i="2"/>
  <c r="J3590" i="2"/>
  <c r="I3590" i="2"/>
  <c r="K3589" i="2"/>
  <c r="L3589" i="2" s="1"/>
  <c r="J3589" i="2"/>
  <c r="I3589" i="2"/>
  <c r="L3588" i="2"/>
  <c r="K3588" i="2"/>
  <c r="J3588" i="2"/>
  <c r="I3588" i="2"/>
  <c r="K3587" i="2"/>
  <c r="L3587" i="2" s="1"/>
  <c r="J3587" i="2"/>
  <c r="I3587" i="2"/>
  <c r="L3586" i="2"/>
  <c r="K3586" i="2"/>
  <c r="J3586" i="2"/>
  <c r="I3586" i="2"/>
  <c r="K3585" i="2"/>
  <c r="L3585" i="2" s="1"/>
  <c r="J3585" i="2"/>
  <c r="I3585" i="2"/>
  <c r="L3584" i="2"/>
  <c r="K3584" i="2"/>
  <c r="J3584" i="2"/>
  <c r="I3584" i="2"/>
  <c r="K3583" i="2"/>
  <c r="L3583" i="2" s="1"/>
  <c r="J3583" i="2"/>
  <c r="I3583" i="2"/>
  <c r="L3582" i="2"/>
  <c r="K3582" i="2"/>
  <c r="J3582" i="2"/>
  <c r="I3582" i="2"/>
  <c r="K3581" i="2"/>
  <c r="L3581" i="2" s="1"/>
  <c r="J3581" i="2"/>
  <c r="I3581" i="2"/>
  <c r="L3580" i="2"/>
  <c r="K3580" i="2"/>
  <c r="J3580" i="2"/>
  <c r="I3580" i="2"/>
  <c r="K3579" i="2"/>
  <c r="L3579" i="2" s="1"/>
  <c r="J3579" i="2"/>
  <c r="I3579" i="2"/>
  <c r="L3578" i="2"/>
  <c r="K3578" i="2"/>
  <c r="J3578" i="2"/>
  <c r="I3578" i="2"/>
  <c r="K3577" i="2"/>
  <c r="L3577" i="2" s="1"/>
  <c r="J3577" i="2"/>
  <c r="I3577" i="2"/>
  <c r="L3576" i="2"/>
  <c r="K3576" i="2"/>
  <c r="J3576" i="2"/>
  <c r="I3576" i="2"/>
  <c r="K3575" i="2"/>
  <c r="L3575" i="2" s="1"/>
  <c r="J3575" i="2"/>
  <c r="I3575" i="2"/>
  <c r="L3574" i="2"/>
  <c r="K3574" i="2"/>
  <c r="J3574" i="2"/>
  <c r="I3574" i="2"/>
  <c r="K3573" i="2"/>
  <c r="L3573" i="2" s="1"/>
  <c r="J3573" i="2"/>
  <c r="I3573" i="2"/>
  <c r="L3572" i="2"/>
  <c r="K3572" i="2"/>
  <c r="J3572" i="2"/>
  <c r="I3572" i="2"/>
  <c r="K3571" i="2"/>
  <c r="L3571" i="2" s="1"/>
  <c r="J3571" i="2"/>
  <c r="I3571" i="2"/>
  <c r="L3570" i="2"/>
  <c r="K3570" i="2"/>
  <c r="J3570" i="2"/>
  <c r="I3570" i="2"/>
  <c r="K3569" i="2"/>
  <c r="L3569" i="2" s="1"/>
  <c r="J3569" i="2"/>
  <c r="I3569" i="2"/>
  <c r="L3568" i="2"/>
  <c r="K3568" i="2"/>
  <c r="J3568" i="2"/>
  <c r="I3568" i="2"/>
  <c r="K3567" i="2"/>
  <c r="L3567" i="2" s="1"/>
  <c r="J3567" i="2"/>
  <c r="I3567" i="2"/>
  <c r="L3566" i="2"/>
  <c r="K3566" i="2"/>
  <c r="J3566" i="2"/>
  <c r="I3566" i="2"/>
  <c r="K3565" i="2"/>
  <c r="L3565" i="2" s="1"/>
  <c r="J3565" i="2"/>
  <c r="I3565" i="2"/>
  <c r="L3564" i="2"/>
  <c r="K3564" i="2"/>
  <c r="J3564" i="2"/>
  <c r="I3564" i="2"/>
  <c r="K3563" i="2"/>
  <c r="L3563" i="2" s="1"/>
  <c r="J3563" i="2"/>
  <c r="I3563" i="2"/>
  <c r="L3562" i="2"/>
  <c r="K3562" i="2"/>
  <c r="J3562" i="2"/>
  <c r="I3562" i="2"/>
  <c r="K3561" i="2"/>
  <c r="L3561" i="2" s="1"/>
  <c r="J3561" i="2"/>
  <c r="I3561" i="2"/>
  <c r="L3560" i="2"/>
  <c r="K3560" i="2"/>
  <c r="J3560" i="2"/>
  <c r="I3560" i="2"/>
  <c r="K3559" i="2"/>
  <c r="L3559" i="2" s="1"/>
  <c r="J3559" i="2"/>
  <c r="I3559" i="2"/>
  <c r="L3558" i="2"/>
  <c r="K3558" i="2"/>
  <c r="J3558" i="2"/>
  <c r="I3558" i="2"/>
  <c r="K3557" i="2"/>
  <c r="L3557" i="2" s="1"/>
  <c r="J3557" i="2"/>
  <c r="I3557" i="2"/>
  <c r="L3556" i="2"/>
  <c r="K3556" i="2"/>
  <c r="J3556" i="2"/>
  <c r="I3556" i="2"/>
  <c r="K3555" i="2"/>
  <c r="L3555" i="2" s="1"/>
  <c r="J3555" i="2"/>
  <c r="I3555" i="2"/>
  <c r="L3554" i="2"/>
  <c r="K3554" i="2"/>
  <c r="J3554" i="2"/>
  <c r="I3554" i="2"/>
  <c r="K3553" i="2"/>
  <c r="L3553" i="2" s="1"/>
  <c r="J3553" i="2"/>
  <c r="I3553" i="2"/>
  <c r="L3552" i="2"/>
  <c r="K3552" i="2"/>
  <c r="J3552" i="2"/>
  <c r="I3552" i="2"/>
  <c r="K3551" i="2"/>
  <c r="L3551" i="2" s="1"/>
  <c r="J3551" i="2"/>
  <c r="I3551" i="2"/>
  <c r="L3550" i="2"/>
  <c r="K3550" i="2"/>
  <c r="J3550" i="2"/>
  <c r="I3550" i="2"/>
  <c r="K3549" i="2"/>
  <c r="L3549" i="2" s="1"/>
  <c r="J3549" i="2"/>
  <c r="I3549" i="2"/>
  <c r="L3548" i="2"/>
  <c r="K3548" i="2"/>
  <c r="J3548" i="2"/>
  <c r="I3548" i="2"/>
  <c r="K3547" i="2"/>
  <c r="L3547" i="2" s="1"/>
  <c r="J3547" i="2"/>
  <c r="I3547" i="2"/>
  <c r="L3546" i="2"/>
  <c r="K3546" i="2"/>
  <c r="J3546" i="2"/>
  <c r="I3546" i="2"/>
  <c r="K3545" i="2"/>
  <c r="L3545" i="2" s="1"/>
  <c r="J3545" i="2"/>
  <c r="I3545" i="2"/>
  <c r="L3544" i="2"/>
  <c r="K3544" i="2"/>
  <c r="J3544" i="2"/>
  <c r="I3544" i="2"/>
  <c r="K3543" i="2"/>
  <c r="L3543" i="2" s="1"/>
  <c r="J3543" i="2"/>
  <c r="I3543" i="2"/>
  <c r="L3542" i="2"/>
  <c r="K3542" i="2"/>
  <c r="J3542" i="2"/>
  <c r="I3542" i="2"/>
  <c r="K3541" i="2"/>
  <c r="L3541" i="2" s="1"/>
  <c r="J3541" i="2"/>
  <c r="I3541" i="2"/>
  <c r="L3540" i="2"/>
  <c r="K3540" i="2"/>
  <c r="J3540" i="2"/>
  <c r="I3540" i="2"/>
  <c r="K3539" i="2"/>
  <c r="L3539" i="2" s="1"/>
  <c r="J3539" i="2"/>
  <c r="I3539" i="2"/>
  <c r="L3538" i="2"/>
  <c r="K3538" i="2"/>
  <c r="J3538" i="2"/>
  <c r="I3538" i="2"/>
  <c r="K3537" i="2"/>
  <c r="L3537" i="2" s="1"/>
  <c r="J3537" i="2"/>
  <c r="I3537" i="2"/>
  <c r="L3536" i="2"/>
  <c r="K3536" i="2"/>
  <c r="J3536" i="2"/>
  <c r="I3536" i="2"/>
  <c r="K3535" i="2"/>
  <c r="L3535" i="2" s="1"/>
  <c r="J3535" i="2"/>
  <c r="I3535" i="2"/>
  <c r="L3534" i="2"/>
  <c r="K3534" i="2"/>
  <c r="J3534" i="2"/>
  <c r="I3534" i="2"/>
  <c r="K3533" i="2"/>
  <c r="L3533" i="2" s="1"/>
  <c r="J3533" i="2"/>
  <c r="I3533" i="2"/>
  <c r="L3532" i="2"/>
  <c r="K3532" i="2"/>
  <c r="J3532" i="2"/>
  <c r="I3532" i="2"/>
  <c r="K3531" i="2"/>
  <c r="L3531" i="2" s="1"/>
  <c r="J3531" i="2"/>
  <c r="I3531" i="2"/>
  <c r="L3530" i="2"/>
  <c r="K3530" i="2"/>
  <c r="J3530" i="2"/>
  <c r="I3530" i="2"/>
  <c r="K3529" i="2"/>
  <c r="L3529" i="2" s="1"/>
  <c r="J3529" i="2"/>
  <c r="I3529" i="2"/>
  <c r="L3528" i="2"/>
  <c r="K3528" i="2"/>
  <c r="J3528" i="2"/>
  <c r="I3528" i="2"/>
  <c r="K3527" i="2"/>
  <c r="L3527" i="2" s="1"/>
  <c r="J3527" i="2"/>
  <c r="I3527" i="2"/>
  <c r="L3526" i="2"/>
  <c r="K3526" i="2"/>
  <c r="J3526" i="2"/>
  <c r="I3526" i="2"/>
  <c r="K3525" i="2"/>
  <c r="L3525" i="2" s="1"/>
  <c r="J3525" i="2"/>
  <c r="I3525" i="2"/>
  <c r="L3524" i="2"/>
  <c r="K3524" i="2"/>
  <c r="J3524" i="2"/>
  <c r="I3524" i="2"/>
  <c r="K3523" i="2"/>
  <c r="L3523" i="2" s="1"/>
  <c r="J3523" i="2"/>
  <c r="I3523" i="2"/>
  <c r="L3522" i="2"/>
  <c r="K3522" i="2"/>
  <c r="J3522" i="2"/>
  <c r="I3522" i="2"/>
  <c r="K3521" i="2"/>
  <c r="L3521" i="2" s="1"/>
  <c r="J3521" i="2"/>
  <c r="I3521" i="2"/>
  <c r="L3520" i="2"/>
  <c r="K3520" i="2"/>
  <c r="J3520" i="2"/>
  <c r="I3520" i="2"/>
  <c r="K3519" i="2"/>
  <c r="L3519" i="2" s="1"/>
  <c r="J3519" i="2"/>
  <c r="I3519" i="2"/>
  <c r="L3518" i="2"/>
  <c r="K3518" i="2"/>
  <c r="J3518" i="2"/>
  <c r="I3518" i="2"/>
  <c r="K3517" i="2"/>
  <c r="L3517" i="2" s="1"/>
  <c r="J3517" i="2"/>
  <c r="I3517" i="2"/>
  <c r="L3516" i="2"/>
  <c r="K3516" i="2"/>
  <c r="J3516" i="2"/>
  <c r="I3516" i="2"/>
  <c r="K3515" i="2"/>
  <c r="L3515" i="2" s="1"/>
  <c r="J3515" i="2"/>
  <c r="I3515" i="2"/>
  <c r="L3514" i="2"/>
  <c r="K3514" i="2"/>
  <c r="J3514" i="2"/>
  <c r="I3514" i="2"/>
  <c r="K3513" i="2"/>
  <c r="L3513" i="2" s="1"/>
  <c r="J3513" i="2"/>
  <c r="I3513" i="2"/>
  <c r="L3512" i="2"/>
  <c r="K3512" i="2"/>
  <c r="J3512" i="2"/>
  <c r="I3512" i="2"/>
  <c r="K3511" i="2"/>
  <c r="L3511" i="2" s="1"/>
  <c r="J3511" i="2"/>
  <c r="I3511" i="2"/>
  <c r="L3510" i="2"/>
  <c r="K3510" i="2"/>
  <c r="J3510" i="2"/>
  <c r="I3510" i="2"/>
  <c r="K3509" i="2"/>
  <c r="L3509" i="2" s="1"/>
  <c r="J3509" i="2"/>
  <c r="I3509" i="2"/>
  <c r="L3508" i="2"/>
  <c r="K3508" i="2"/>
  <c r="J3508" i="2"/>
  <c r="I3508" i="2"/>
  <c r="K3507" i="2"/>
  <c r="L3507" i="2" s="1"/>
  <c r="J3507" i="2"/>
  <c r="I3507" i="2"/>
  <c r="L3506" i="2"/>
  <c r="K3506" i="2"/>
  <c r="J3506" i="2"/>
  <c r="I3506" i="2"/>
  <c r="K3505" i="2"/>
  <c r="L3505" i="2" s="1"/>
  <c r="J3505" i="2"/>
  <c r="I3505" i="2"/>
  <c r="L3504" i="2"/>
  <c r="K3504" i="2"/>
  <c r="J3504" i="2"/>
  <c r="I3504" i="2"/>
  <c r="K3503" i="2"/>
  <c r="L3503" i="2" s="1"/>
  <c r="J3503" i="2"/>
  <c r="I3503" i="2"/>
  <c r="L3502" i="2"/>
  <c r="K3502" i="2"/>
  <c r="J3502" i="2"/>
  <c r="I3502" i="2"/>
  <c r="K3501" i="2"/>
  <c r="L3501" i="2" s="1"/>
  <c r="J3501" i="2"/>
  <c r="I3501" i="2"/>
  <c r="L3500" i="2"/>
  <c r="K3500" i="2"/>
  <c r="J3500" i="2"/>
  <c r="I3500" i="2"/>
  <c r="K3499" i="2"/>
  <c r="L3499" i="2" s="1"/>
  <c r="J3499" i="2"/>
  <c r="I3499" i="2"/>
  <c r="L3498" i="2"/>
  <c r="K3498" i="2"/>
  <c r="J3498" i="2"/>
  <c r="I3498" i="2"/>
  <c r="K3497" i="2"/>
  <c r="L3497" i="2" s="1"/>
  <c r="J3497" i="2"/>
  <c r="I3497" i="2"/>
  <c r="L3496" i="2"/>
  <c r="K3496" i="2"/>
  <c r="J3496" i="2"/>
  <c r="I3496" i="2"/>
  <c r="K3495" i="2"/>
  <c r="L3495" i="2" s="1"/>
  <c r="J3495" i="2"/>
  <c r="I3495" i="2"/>
  <c r="L3494" i="2"/>
  <c r="K3494" i="2"/>
  <c r="J3494" i="2"/>
  <c r="I3494" i="2"/>
  <c r="K3493" i="2"/>
  <c r="L3493" i="2" s="1"/>
  <c r="J3493" i="2"/>
  <c r="I3493" i="2"/>
  <c r="L3492" i="2"/>
  <c r="K3492" i="2"/>
  <c r="J3492" i="2"/>
  <c r="I3492" i="2"/>
  <c r="K3491" i="2"/>
  <c r="L3491" i="2" s="1"/>
  <c r="J3491" i="2"/>
  <c r="I3491" i="2"/>
  <c r="L3490" i="2"/>
  <c r="K3490" i="2"/>
  <c r="J3490" i="2"/>
  <c r="I3490" i="2"/>
  <c r="K3489" i="2"/>
  <c r="L3489" i="2" s="1"/>
  <c r="J3489" i="2"/>
  <c r="I3489" i="2"/>
  <c r="L3488" i="2"/>
  <c r="K3488" i="2"/>
  <c r="J3488" i="2"/>
  <c r="I3488" i="2"/>
  <c r="K3487" i="2"/>
  <c r="L3487" i="2" s="1"/>
  <c r="J3487" i="2"/>
  <c r="I3487" i="2"/>
  <c r="L3486" i="2"/>
  <c r="K3486" i="2"/>
  <c r="J3486" i="2"/>
  <c r="I3486" i="2"/>
  <c r="K3485" i="2"/>
  <c r="L3485" i="2" s="1"/>
  <c r="J3485" i="2"/>
  <c r="I3485" i="2"/>
  <c r="L3484" i="2"/>
  <c r="K3484" i="2"/>
  <c r="J3484" i="2"/>
  <c r="I3484" i="2"/>
  <c r="K3483" i="2"/>
  <c r="L3483" i="2" s="1"/>
  <c r="J3483" i="2"/>
  <c r="I3483" i="2"/>
  <c r="L3482" i="2"/>
  <c r="K3482" i="2"/>
  <c r="J3482" i="2"/>
  <c r="I3482" i="2"/>
  <c r="K3481" i="2"/>
  <c r="L3481" i="2" s="1"/>
  <c r="J3481" i="2"/>
  <c r="I3481" i="2"/>
  <c r="L3480" i="2"/>
  <c r="K3480" i="2"/>
  <c r="J3480" i="2"/>
  <c r="I3480" i="2"/>
  <c r="K3479" i="2"/>
  <c r="L3479" i="2" s="1"/>
  <c r="J3479" i="2"/>
  <c r="I3479" i="2"/>
  <c r="L3478" i="2"/>
  <c r="K3478" i="2"/>
  <c r="J3478" i="2"/>
  <c r="I3478" i="2"/>
  <c r="K3477" i="2"/>
  <c r="L3477" i="2" s="1"/>
  <c r="J3477" i="2"/>
  <c r="I3477" i="2"/>
  <c r="L3476" i="2"/>
  <c r="K3476" i="2"/>
  <c r="J3476" i="2"/>
  <c r="I3476" i="2"/>
  <c r="K3475" i="2"/>
  <c r="L3475" i="2" s="1"/>
  <c r="J3475" i="2"/>
  <c r="I3475" i="2"/>
  <c r="L3474" i="2"/>
  <c r="K3474" i="2"/>
  <c r="J3474" i="2"/>
  <c r="I3474" i="2"/>
  <c r="K3473" i="2"/>
  <c r="L3473" i="2" s="1"/>
  <c r="J3473" i="2"/>
  <c r="I3473" i="2"/>
  <c r="L3472" i="2"/>
  <c r="K3472" i="2"/>
  <c r="J3472" i="2"/>
  <c r="I3472" i="2"/>
  <c r="K3471" i="2"/>
  <c r="L3471" i="2" s="1"/>
  <c r="J3471" i="2"/>
  <c r="I3471" i="2"/>
  <c r="L3470" i="2"/>
  <c r="K3470" i="2"/>
  <c r="J3470" i="2"/>
  <c r="I3470" i="2"/>
  <c r="K3469" i="2"/>
  <c r="L3469" i="2" s="1"/>
  <c r="J3469" i="2"/>
  <c r="I3469" i="2"/>
  <c r="L3468" i="2"/>
  <c r="K3468" i="2"/>
  <c r="J3468" i="2"/>
  <c r="I3468" i="2"/>
  <c r="K3467" i="2"/>
  <c r="L3467" i="2" s="1"/>
  <c r="J3467" i="2"/>
  <c r="I3467" i="2"/>
  <c r="L3466" i="2"/>
  <c r="K3466" i="2"/>
  <c r="J3466" i="2"/>
  <c r="I3466" i="2"/>
  <c r="K3465" i="2"/>
  <c r="L3465" i="2" s="1"/>
  <c r="J3465" i="2"/>
  <c r="I3465" i="2"/>
  <c r="L3464" i="2"/>
  <c r="K3464" i="2"/>
  <c r="J3464" i="2"/>
  <c r="I3464" i="2"/>
  <c r="K3463" i="2"/>
  <c r="L3463" i="2" s="1"/>
  <c r="J3463" i="2"/>
  <c r="I3463" i="2"/>
  <c r="L3462" i="2"/>
  <c r="K3462" i="2"/>
  <c r="J3462" i="2"/>
  <c r="I3462" i="2"/>
  <c r="K3461" i="2"/>
  <c r="L3461" i="2" s="1"/>
  <c r="J3461" i="2"/>
  <c r="I3461" i="2"/>
  <c r="L3460" i="2"/>
  <c r="K3460" i="2"/>
  <c r="J3460" i="2"/>
  <c r="I3460" i="2"/>
  <c r="K3459" i="2"/>
  <c r="L3459" i="2" s="1"/>
  <c r="J3459" i="2"/>
  <c r="I3459" i="2"/>
  <c r="L3458" i="2"/>
  <c r="K3458" i="2"/>
  <c r="J3458" i="2"/>
  <c r="I3458" i="2"/>
  <c r="K3457" i="2"/>
  <c r="L3457" i="2" s="1"/>
  <c r="J3457" i="2"/>
  <c r="I3457" i="2"/>
  <c r="L3456" i="2"/>
  <c r="K3456" i="2"/>
  <c r="J3456" i="2"/>
  <c r="I3456" i="2"/>
  <c r="K3455" i="2"/>
  <c r="L3455" i="2" s="1"/>
  <c r="J3455" i="2"/>
  <c r="I3455" i="2"/>
  <c r="L3454" i="2"/>
  <c r="K3454" i="2"/>
  <c r="J3454" i="2"/>
  <c r="I3454" i="2"/>
  <c r="K3453" i="2"/>
  <c r="L3453" i="2" s="1"/>
  <c r="J3453" i="2"/>
  <c r="I3453" i="2"/>
  <c r="L3452" i="2"/>
  <c r="K3452" i="2"/>
  <c r="J3452" i="2"/>
  <c r="I3452" i="2"/>
  <c r="K3451" i="2"/>
  <c r="L3451" i="2" s="1"/>
  <c r="J3451" i="2"/>
  <c r="I3451" i="2"/>
  <c r="L3450" i="2"/>
  <c r="K3450" i="2"/>
  <c r="J3450" i="2"/>
  <c r="I3450" i="2"/>
  <c r="K3449" i="2"/>
  <c r="L3449" i="2" s="1"/>
  <c r="J3449" i="2"/>
  <c r="I3449" i="2"/>
  <c r="L3448" i="2"/>
  <c r="K3448" i="2"/>
  <c r="J3448" i="2"/>
  <c r="I3448" i="2"/>
  <c r="K3447" i="2"/>
  <c r="L3447" i="2" s="1"/>
  <c r="J3447" i="2"/>
  <c r="I3447" i="2"/>
  <c r="L3446" i="2"/>
  <c r="K3446" i="2"/>
  <c r="J3446" i="2"/>
  <c r="I3446" i="2"/>
  <c r="K3445" i="2"/>
  <c r="L3445" i="2" s="1"/>
  <c r="J3445" i="2"/>
  <c r="I3445" i="2"/>
  <c r="L3444" i="2"/>
  <c r="K3444" i="2"/>
  <c r="J3444" i="2"/>
  <c r="I3444" i="2"/>
  <c r="K3443" i="2"/>
  <c r="L3443" i="2" s="1"/>
  <c r="J3443" i="2"/>
  <c r="I3443" i="2"/>
  <c r="L3442" i="2"/>
  <c r="K3442" i="2"/>
  <c r="J3442" i="2"/>
  <c r="I3442" i="2"/>
  <c r="K3441" i="2"/>
  <c r="L3441" i="2" s="1"/>
  <c r="J3441" i="2"/>
  <c r="I3441" i="2"/>
  <c r="L3440" i="2"/>
  <c r="K3440" i="2"/>
  <c r="J3440" i="2"/>
  <c r="I3440" i="2"/>
  <c r="K3439" i="2"/>
  <c r="L3439" i="2" s="1"/>
  <c r="J3439" i="2"/>
  <c r="I3439" i="2"/>
  <c r="L3438" i="2"/>
  <c r="K3438" i="2"/>
  <c r="J3438" i="2"/>
  <c r="I3438" i="2"/>
  <c r="K3437" i="2"/>
  <c r="L3437" i="2" s="1"/>
  <c r="J3437" i="2"/>
  <c r="I3437" i="2"/>
  <c r="L3436" i="2"/>
  <c r="K3436" i="2"/>
  <c r="J3436" i="2"/>
  <c r="I3436" i="2"/>
  <c r="K3435" i="2"/>
  <c r="L3435" i="2" s="1"/>
  <c r="J3435" i="2"/>
  <c r="I3435" i="2"/>
  <c r="L3434" i="2"/>
  <c r="K3434" i="2"/>
  <c r="J3434" i="2"/>
  <c r="I3434" i="2"/>
  <c r="K3433" i="2"/>
  <c r="L3433" i="2" s="1"/>
  <c r="J3433" i="2"/>
  <c r="I3433" i="2"/>
  <c r="L3432" i="2"/>
  <c r="K3432" i="2"/>
  <c r="J3432" i="2"/>
  <c r="I3432" i="2"/>
  <c r="K3431" i="2"/>
  <c r="L3431" i="2" s="1"/>
  <c r="J3431" i="2"/>
  <c r="I3431" i="2"/>
  <c r="L3430" i="2"/>
  <c r="K3430" i="2"/>
  <c r="J3430" i="2"/>
  <c r="I3430" i="2"/>
  <c r="K3429" i="2"/>
  <c r="L3429" i="2" s="1"/>
  <c r="J3429" i="2"/>
  <c r="I3429" i="2"/>
  <c r="L3428" i="2"/>
  <c r="K3428" i="2"/>
  <c r="J3428" i="2"/>
  <c r="I3428" i="2"/>
  <c r="K3427" i="2"/>
  <c r="L3427" i="2" s="1"/>
  <c r="J3427" i="2"/>
  <c r="I3427" i="2"/>
  <c r="L3426" i="2"/>
  <c r="K3426" i="2"/>
  <c r="J3426" i="2"/>
  <c r="I3426" i="2"/>
  <c r="K3425" i="2"/>
  <c r="L3425" i="2" s="1"/>
  <c r="J3425" i="2"/>
  <c r="I3425" i="2"/>
  <c r="L3424" i="2"/>
  <c r="K3424" i="2"/>
  <c r="J3424" i="2"/>
  <c r="I3424" i="2"/>
  <c r="K3423" i="2"/>
  <c r="L3423" i="2" s="1"/>
  <c r="J3423" i="2"/>
  <c r="I3423" i="2"/>
  <c r="L3422" i="2"/>
  <c r="K3422" i="2"/>
  <c r="J3422" i="2"/>
  <c r="I3422" i="2"/>
  <c r="K3421" i="2"/>
  <c r="L3421" i="2" s="1"/>
  <c r="J3421" i="2"/>
  <c r="I3421" i="2"/>
  <c r="L3420" i="2"/>
  <c r="K3420" i="2"/>
  <c r="J3420" i="2"/>
  <c r="I3420" i="2"/>
  <c r="K3419" i="2"/>
  <c r="L3419" i="2" s="1"/>
  <c r="J3419" i="2"/>
  <c r="I3419" i="2"/>
  <c r="L3418" i="2"/>
  <c r="K3418" i="2"/>
  <c r="J3418" i="2"/>
  <c r="I3418" i="2"/>
  <c r="K3417" i="2"/>
  <c r="L3417" i="2" s="1"/>
  <c r="J3417" i="2"/>
  <c r="I3417" i="2"/>
  <c r="L3416" i="2"/>
  <c r="K3416" i="2"/>
  <c r="J3416" i="2"/>
  <c r="I3416" i="2"/>
  <c r="K3415" i="2"/>
  <c r="L3415" i="2" s="1"/>
  <c r="J3415" i="2"/>
  <c r="I3415" i="2"/>
  <c r="L3414" i="2"/>
  <c r="K3414" i="2"/>
  <c r="J3414" i="2"/>
  <c r="I3414" i="2"/>
  <c r="K3413" i="2"/>
  <c r="L3413" i="2" s="1"/>
  <c r="J3413" i="2"/>
  <c r="I3413" i="2"/>
  <c r="L3412" i="2"/>
  <c r="K3412" i="2"/>
  <c r="J3412" i="2"/>
  <c r="I3412" i="2"/>
  <c r="K3411" i="2"/>
  <c r="L3411" i="2" s="1"/>
  <c r="J3411" i="2"/>
  <c r="I3411" i="2"/>
  <c r="L3410" i="2"/>
  <c r="K3410" i="2"/>
  <c r="J3410" i="2"/>
  <c r="I3410" i="2"/>
  <c r="K3409" i="2"/>
  <c r="L3409" i="2" s="1"/>
  <c r="J3409" i="2"/>
  <c r="I3409" i="2"/>
  <c r="L3408" i="2"/>
  <c r="K3408" i="2"/>
  <c r="J3408" i="2"/>
  <c r="I3408" i="2"/>
  <c r="K3407" i="2"/>
  <c r="L3407" i="2" s="1"/>
  <c r="J3407" i="2"/>
  <c r="I3407" i="2"/>
  <c r="L3406" i="2"/>
  <c r="K3406" i="2"/>
  <c r="J3406" i="2"/>
  <c r="I3406" i="2"/>
  <c r="K3405" i="2"/>
  <c r="L3405" i="2" s="1"/>
  <c r="J3405" i="2"/>
  <c r="I3405" i="2"/>
  <c r="L3404" i="2"/>
  <c r="K3404" i="2"/>
  <c r="J3404" i="2"/>
  <c r="I3404" i="2"/>
  <c r="K3403" i="2"/>
  <c r="L3403" i="2" s="1"/>
  <c r="J3403" i="2"/>
  <c r="I3403" i="2"/>
  <c r="L3402" i="2"/>
  <c r="K3402" i="2"/>
  <c r="J3402" i="2"/>
  <c r="I3402" i="2"/>
  <c r="K3401" i="2"/>
  <c r="L3401" i="2" s="1"/>
  <c r="J3401" i="2"/>
  <c r="I3401" i="2"/>
  <c r="L3400" i="2"/>
  <c r="K3400" i="2"/>
  <c r="J3400" i="2"/>
  <c r="I3400" i="2"/>
  <c r="K3399" i="2"/>
  <c r="L3399" i="2" s="1"/>
  <c r="J3399" i="2"/>
  <c r="I3399" i="2"/>
  <c r="L3398" i="2"/>
  <c r="K3398" i="2"/>
  <c r="J3398" i="2"/>
  <c r="I3398" i="2"/>
  <c r="K3397" i="2"/>
  <c r="L3397" i="2" s="1"/>
  <c r="J3397" i="2"/>
  <c r="I3397" i="2"/>
  <c r="L3396" i="2"/>
  <c r="K3396" i="2"/>
  <c r="J3396" i="2"/>
  <c r="I3396" i="2"/>
  <c r="K3395" i="2"/>
  <c r="L3395" i="2" s="1"/>
  <c r="J3395" i="2"/>
  <c r="I3395" i="2"/>
  <c r="L3394" i="2"/>
  <c r="K3394" i="2"/>
  <c r="J3394" i="2"/>
  <c r="I3394" i="2"/>
  <c r="K3393" i="2"/>
  <c r="L3393" i="2" s="1"/>
  <c r="J3393" i="2"/>
  <c r="I3393" i="2"/>
  <c r="L3392" i="2"/>
  <c r="K3392" i="2"/>
  <c r="J3392" i="2"/>
  <c r="I3392" i="2"/>
  <c r="K3391" i="2"/>
  <c r="L3391" i="2" s="1"/>
  <c r="J3391" i="2"/>
  <c r="I3391" i="2"/>
  <c r="L3390" i="2"/>
  <c r="K3390" i="2"/>
  <c r="J3390" i="2"/>
  <c r="I3390" i="2"/>
  <c r="K3389" i="2"/>
  <c r="L3389" i="2" s="1"/>
  <c r="J3389" i="2"/>
  <c r="I3389" i="2"/>
  <c r="L3388" i="2"/>
  <c r="K3388" i="2"/>
  <c r="J3388" i="2"/>
  <c r="I3388" i="2"/>
  <c r="K3387" i="2"/>
  <c r="L3387" i="2" s="1"/>
  <c r="J3387" i="2"/>
  <c r="I3387" i="2"/>
  <c r="L3386" i="2"/>
  <c r="K3386" i="2"/>
  <c r="J3386" i="2"/>
  <c r="I3386" i="2"/>
  <c r="K3385" i="2"/>
  <c r="L3385" i="2" s="1"/>
  <c r="J3385" i="2"/>
  <c r="I3385" i="2"/>
  <c r="L3384" i="2"/>
  <c r="K3384" i="2"/>
  <c r="J3384" i="2"/>
  <c r="I3384" i="2"/>
  <c r="K3383" i="2"/>
  <c r="L3383" i="2" s="1"/>
  <c r="J3383" i="2"/>
  <c r="I3383" i="2"/>
  <c r="L3382" i="2"/>
  <c r="K3382" i="2"/>
  <c r="J3382" i="2"/>
  <c r="I3382" i="2"/>
  <c r="K3381" i="2"/>
  <c r="L3381" i="2" s="1"/>
  <c r="J3381" i="2"/>
  <c r="I3381" i="2"/>
  <c r="L3380" i="2"/>
  <c r="K3380" i="2"/>
  <c r="J3380" i="2"/>
  <c r="I3380" i="2"/>
  <c r="K3379" i="2"/>
  <c r="L3379" i="2" s="1"/>
  <c r="J3379" i="2"/>
  <c r="I3379" i="2"/>
  <c r="L3378" i="2"/>
  <c r="K3378" i="2"/>
  <c r="J3378" i="2"/>
  <c r="I3378" i="2"/>
  <c r="K3377" i="2"/>
  <c r="L3377" i="2" s="1"/>
  <c r="J3377" i="2"/>
  <c r="I3377" i="2"/>
  <c r="L3376" i="2"/>
  <c r="K3376" i="2"/>
  <c r="J3376" i="2"/>
  <c r="I3376" i="2"/>
  <c r="K3375" i="2"/>
  <c r="L3375" i="2" s="1"/>
  <c r="J3375" i="2"/>
  <c r="I3375" i="2"/>
  <c r="L3374" i="2"/>
  <c r="K3374" i="2"/>
  <c r="J3374" i="2"/>
  <c r="I3374" i="2"/>
  <c r="K3373" i="2"/>
  <c r="L3373" i="2" s="1"/>
  <c r="J3373" i="2"/>
  <c r="I3373" i="2"/>
  <c r="L3372" i="2"/>
  <c r="K3372" i="2"/>
  <c r="J3372" i="2"/>
  <c r="I3372" i="2"/>
  <c r="K3371" i="2"/>
  <c r="L3371" i="2" s="1"/>
  <c r="J3371" i="2"/>
  <c r="I3371" i="2"/>
  <c r="L3370" i="2"/>
  <c r="K3370" i="2"/>
  <c r="J3370" i="2"/>
  <c r="I3370" i="2"/>
  <c r="K3369" i="2"/>
  <c r="L3369" i="2" s="1"/>
  <c r="J3369" i="2"/>
  <c r="I3369" i="2"/>
  <c r="L3368" i="2"/>
  <c r="K3368" i="2"/>
  <c r="J3368" i="2"/>
  <c r="I3368" i="2"/>
  <c r="K3367" i="2"/>
  <c r="L3367" i="2" s="1"/>
  <c r="J3367" i="2"/>
  <c r="I3367" i="2"/>
  <c r="L3366" i="2"/>
  <c r="K3366" i="2"/>
  <c r="J3366" i="2"/>
  <c r="I3366" i="2"/>
  <c r="K3365" i="2"/>
  <c r="L3365" i="2" s="1"/>
  <c r="J3365" i="2"/>
  <c r="I3365" i="2"/>
  <c r="L3364" i="2"/>
  <c r="K3364" i="2"/>
  <c r="J3364" i="2"/>
  <c r="I3364" i="2"/>
  <c r="K3363" i="2"/>
  <c r="L3363" i="2" s="1"/>
  <c r="J3363" i="2"/>
  <c r="I3363" i="2"/>
  <c r="L3362" i="2"/>
  <c r="K3362" i="2"/>
  <c r="J3362" i="2"/>
  <c r="I3362" i="2"/>
  <c r="K3361" i="2"/>
  <c r="L3361" i="2" s="1"/>
  <c r="J3361" i="2"/>
  <c r="I3361" i="2"/>
  <c r="L3360" i="2"/>
  <c r="K3360" i="2"/>
  <c r="J3360" i="2"/>
  <c r="I3360" i="2"/>
  <c r="K3359" i="2"/>
  <c r="L3359" i="2" s="1"/>
  <c r="J3359" i="2"/>
  <c r="I3359" i="2"/>
  <c r="L3358" i="2"/>
  <c r="K3358" i="2"/>
  <c r="J3358" i="2"/>
  <c r="I3358" i="2"/>
  <c r="K3357" i="2"/>
  <c r="L3357" i="2" s="1"/>
  <c r="J3357" i="2"/>
  <c r="I3357" i="2"/>
  <c r="L3356" i="2"/>
  <c r="K3356" i="2"/>
  <c r="J3356" i="2"/>
  <c r="I3356" i="2"/>
  <c r="K3355" i="2"/>
  <c r="L3355" i="2" s="1"/>
  <c r="J3355" i="2"/>
  <c r="I3355" i="2"/>
  <c r="L3354" i="2"/>
  <c r="K3354" i="2"/>
  <c r="J3354" i="2"/>
  <c r="I3354" i="2"/>
  <c r="K3353" i="2"/>
  <c r="L3353" i="2" s="1"/>
  <c r="J3353" i="2"/>
  <c r="I3353" i="2"/>
  <c r="L3352" i="2"/>
  <c r="K3352" i="2"/>
  <c r="J3352" i="2"/>
  <c r="I3352" i="2"/>
  <c r="K3351" i="2"/>
  <c r="L3351" i="2" s="1"/>
  <c r="J3351" i="2"/>
  <c r="I3351" i="2"/>
  <c r="L3350" i="2"/>
  <c r="K3350" i="2"/>
  <c r="J3350" i="2"/>
  <c r="I3350" i="2"/>
  <c r="K3349" i="2"/>
  <c r="L3349" i="2" s="1"/>
  <c r="J3349" i="2"/>
  <c r="I3349" i="2"/>
  <c r="L3348" i="2"/>
  <c r="K3348" i="2"/>
  <c r="J3348" i="2"/>
  <c r="I3348" i="2"/>
  <c r="K3347" i="2"/>
  <c r="L3347" i="2" s="1"/>
  <c r="J3347" i="2"/>
  <c r="I3347" i="2"/>
  <c r="L3346" i="2"/>
  <c r="K3346" i="2"/>
  <c r="J3346" i="2"/>
  <c r="I3346" i="2"/>
  <c r="K3345" i="2"/>
  <c r="L3345" i="2" s="1"/>
  <c r="J3345" i="2"/>
  <c r="I3345" i="2"/>
  <c r="L3344" i="2"/>
  <c r="K3344" i="2"/>
  <c r="J3344" i="2"/>
  <c r="I3344" i="2"/>
  <c r="K3343" i="2"/>
  <c r="L3343" i="2" s="1"/>
  <c r="J3343" i="2"/>
  <c r="I3343" i="2"/>
  <c r="L3342" i="2"/>
  <c r="K3342" i="2"/>
  <c r="J3342" i="2"/>
  <c r="I3342" i="2"/>
  <c r="K3341" i="2"/>
  <c r="L3341" i="2" s="1"/>
  <c r="J3341" i="2"/>
  <c r="I3341" i="2"/>
  <c r="L3340" i="2"/>
  <c r="K3340" i="2"/>
  <c r="J3340" i="2"/>
  <c r="I3340" i="2"/>
  <c r="K3339" i="2"/>
  <c r="L3339" i="2" s="1"/>
  <c r="J3339" i="2"/>
  <c r="I3339" i="2"/>
  <c r="L3338" i="2"/>
  <c r="K3338" i="2"/>
  <c r="J3338" i="2"/>
  <c r="I3338" i="2"/>
  <c r="K3337" i="2"/>
  <c r="L3337" i="2" s="1"/>
  <c r="J3337" i="2"/>
  <c r="I3337" i="2"/>
  <c r="L3336" i="2"/>
  <c r="K3336" i="2"/>
  <c r="J3336" i="2"/>
  <c r="I3336" i="2"/>
  <c r="K3335" i="2"/>
  <c r="L3335" i="2" s="1"/>
  <c r="J3335" i="2"/>
  <c r="I3335" i="2"/>
  <c r="L3334" i="2"/>
  <c r="K3334" i="2"/>
  <c r="J3334" i="2"/>
  <c r="I3334" i="2"/>
  <c r="K3333" i="2"/>
  <c r="L3333" i="2" s="1"/>
  <c r="J3333" i="2"/>
  <c r="I3333" i="2"/>
  <c r="L3332" i="2"/>
  <c r="K3332" i="2"/>
  <c r="J3332" i="2"/>
  <c r="I3332" i="2"/>
  <c r="K3331" i="2"/>
  <c r="L3331" i="2" s="1"/>
  <c r="J3331" i="2"/>
  <c r="I3331" i="2"/>
  <c r="L3330" i="2"/>
  <c r="K3330" i="2"/>
  <c r="J3330" i="2"/>
  <c r="I3330" i="2"/>
  <c r="K3329" i="2"/>
  <c r="L3329" i="2" s="1"/>
  <c r="J3329" i="2"/>
  <c r="I3329" i="2"/>
  <c r="L3328" i="2"/>
  <c r="K3328" i="2"/>
  <c r="J3328" i="2"/>
  <c r="I3328" i="2"/>
  <c r="K3327" i="2"/>
  <c r="L3327" i="2" s="1"/>
  <c r="J3327" i="2"/>
  <c r="I3327" i="2"/>
  <c r="L3326" i="2"/>
  <c r="K3326" i="2"/>
  <c r="J3326" i="2"/>
  <c r="I3326" i="2"/>
  <c r="K3325" i="2"/>
  <c r="L3325" i="2" s="1"/>
  <c r="J3325" i="2"/>
  <c r="I3325" i="2"/>
  <c r="L3324" i="2"/>
  <c r="K3324" i="2"/>
  <c r="J3324" i="2"/>
  <c r="I3324" i="2"/>
  <c r="K3323" i="2"/>
  <c r="L3323" i="2" s="1"/>
  <c r="J3323" i="2"/>
  <c r="I3323" i="2"/>
  <c r="L3322" i="2"/>
  <c r="K3322" i="2"/>
  <c r="J3322" i="2"/>
  <c r="I3322" i="2"/>
  <c r="K3321" i="2"/>
  <c r="L3321" i="2" s="1"/>
  <c r="J3321" i="2"/>
  <c r="I3321" i="2"/>
  <c r="L3320" i="2"/>
  <c r="K3320" i="2"/>
  <c r="J3320" i="2"/>
  <c r="I3320" i="2"/>
  <c r="K3319" i="2"/>
  <c r="L3319" i="2" s="1"/>
  <c r="J3319" i="2"/>
  <c r="I3319" i="2"/>
  <c r="L3318" i="2"/>
  <c r="K3318" i="2"/>
  <c r="J3318" i="2"/>
  <c r="I3318" i="2"/>
  <c r="K3317" i="2"/>
  <c r="L3317" i="2" s="1"/>
  <c r="J3317" i="2"/>
  <c r="I3317" i="2"/>
  <c r="L3316" i="2"/>
  <c r="K3316" i="2"/>
  <c r="J3316" i="2"/>
  <c r="I3316" i="2"/>
  <c r="K3315" i="2"/>
  <c r="L3315" i="2" s="1"/>
  <c r="J3315" i="2"/>
  <c r="I3315" i="2"/>
  <c r="L3314" i="2"/>
  <c r="K3314" i="2"/>
  <c r="J3314" i="2"/>
  <c r="I3314" i="2"/>
  <c r="K3313" i="2"/>
  <c r="L3313" i="2" s="1"/>
  <c r="J3313" i="2"/>
  <c r="I3313" i="2"/>
  <c r="L3312" i="2"/>
  <c r="K3312" i="2"/>
  <c r="J3312" i="2"/>
  <c r="I3312" i="2"/>
  <c r="K3311" i="2"/>
  <c r="L3311" i="2" s="1"/>
  <c r="J3311" i="2"/>
  <c r="I3311" i="2"/>
  <c r="L3310" i="2"/>
  <c r="K3310" i="2"/>
  <c r="J3310" i="2"/>
  <c r="I3310" i="2"/>
  <c r="K3309" i="2"/>
  <c r="L3309" i="2" s="1"/>
  <c r="J3309" i="2"/>
  <c r="I3309" i="2"/>
  <c r="L3308" i="2"/>
  <c r="K3308" i="2"/>
  <c r="J3308" i="2"/>
  <c r="I3308" i="2"/>
  <c r="K3307" i="2"/>
  <c r="L3307" i="2" s="1"/>
  <c r="J3307" i="2"/>
  <c r="I3307" i="2"/>
  <c r="L3306" i="2"/>
  <c r="K3306" i="2"/>
  <c r="J3306" i="2"/>
  <c r="I3306" i="2"/>
  <c r="K3305" i="2"/>
  <c r="L3305" i="2" s="1"/>
  <c r="J3305" i="2"/>
  <c r="I3305" i="2"/>
  <c r="L3304" i="2"/>
  <c r="K3304" i="2"/>
  <c r="J3304" i="2"/>
  <c r="I3304" i="2"/>
  <c r="K3303" i="2"/>
  <c r="L3303" i="2" s="1"/>
  <c r="J3303" i="2"/>
  <c r="I3303" i="2"/>
  <c r="L3302" i="2"/>
  <c r="K3302" i="2"/>
  <c r="J3302" i="2"/>
  <c r="I3302" i="2"/>
  <c r="K3301" i="2"/>
  <c r="L3301" i="2" s="1"/>
  <c r="J3301" i="2"/>
  <c r="I3301" i="2"/>
  <c r="L3300" i="2"/>
  <c r="K3300" i="2"/>
  <c r="J3300" i="2"/>
  <c r="I3300" i="2"/>
  <c r="K3299" i="2"/>
  <c r="L3299" i="2" s="1"/>
  <c r="J3299" i="2"/>
  <c r="I3299" i="2"/>
  <c r="L3298" i="2"/>
  <c r="K3298" i="2"/>
  <c r="J3298" i="2"/>
  <c r="I3298" i="2"/>
  <c r="K3297" i="2"/>
  <c r="L3297" i="2" s="1"/>
  <c r="J3297" i="2"/>
  <c r="I3297" i="2"/>
  <c r="L3296" i="2"/>
  <c r="K3296" i="2"/>
  <c r="J3296" i="2"/>
  <c r="I3296" i="2"/>
  <c r="K3295" i="2"/>
  <c r="L3295" i="2" s="1"/>
  <c r="J3295" i="2"/>
  <c r="I3295" i="2"/>
  <c r="L3294" i="2"/>
  <c r="K3294" i="2"/>
  <c r="J3294" i="2"/>
  <c r="I3294" i="2"/>
  <c r="K3293" i="2"/>
  <c r="L3293" i="2" s="1"/>
  <c r="J3293" i="2"/>
  <c r="I3293" i="2"/>
  <c r="L3292" i="2"/>
  <c r="K3292" i="2"/>
  <c r="J3292" i="2"/>
  <c r="I3292" i="2"/>
  <c r="K3291" i="2"/>
  <c r="L3291" i="2" s="1"/>
  <c r="J3291" i="2"/>
  <c r="I3291" i="2"/>
  <c r="L3290" i="2"/>
  <c r="K3290" i="2"/>
  <c r="J3290" i="2"/>
  <c r="I3290" i="2"/>
  <c r="K3289" i="2"/>
  <c r="L3289" i="2" s="1"/>
  <c r="J3289" i="2"/>
  <c r="I3289" i="2"/>
  <c r="L3288" i="2"/>
  <c r="K3288" i="2"/>
  <c r="J3288" i="2"/>
  <c r="I3288" i="2"/>
  <c r="K3287" i="2"/>
  <c r="L3287" i="2" s="1"/>
  <c r="J3287" i="2"/>
  <c r="I3287" i="2"/>
  <c r="L3286" i="2"/>
  <c r="K3286" i="2"/>
  <c r="J3286" i="2"/>
  <c r="I3286" i="2"/>
  <c r="K3285" i="2"/>
  <c r="L3285" i="2" s="1"/>
  <c r="J3285" i="2"/>
  <c r="I3285" i="2"/>
  <c r="L3284" i="2"/>
  <c r="K3284" i="2"/>
  <c r="J3284" i="2"/>
  <c r="I3284" i="2"/>
  <c r="K3283" i="2"/>
  <c r="L3283" i="2" s="1"/>
  <c r="J3283" i="2"/>
  <c r="I3283" i="2"/>
  <c r="L3282" i="2"/>
  <c r="K3282" i="2"/>
  <c r="J3282" i="2"/>
  <c r="I3282" i="2"/>
  <c r="K3281" i="2"/>
  <c r="L3281" i="2" s="1"/>
  <c r="J3281" i="2"/>
  <c r="I3281" i="2"/>
  <c r="L3280" i="2"/>
  <c r="K3280" i="2"/>
  <c r="J3280" i="2"/>
  <c r="I3280" i="2"/>
  <c r="K3279" i="2"/>
  <c r="L3279" i="2" s="1"/>
  <c r="J3279" i="2"/>
  <c r="I3279" i="2"/>
  <c r="L3278" i="2"/>
  <c r="K3278" i="2"/>
  <c r="J3278" i="2"/>
  <c r="I3278" i="2"/>
  <c r="K3277" i="2"/>
  <c r="L3277" i="2" s="1"/>
  <c r="J3277" i="2"/>
  <c r="I3277" i="2"/>
  <c r="L3276" i="2"/>
  <c r="K3276" i="2"/>
  <c r="J3276" i="2"/>
  <c r="I3276" i="2"/>
  <c r="K3275" i="2"/>
  <c r="L3275" i="2" s="1"/>
  <c r="J3275" i="2"/>
  <c r="I3275" i="2"/>
  <c r="L3274" i="2"/>
  <c r="K3274" i="2"/>
  <c r="J3274" i="2"/>
  <c r="I3274" i="2"/>
  <c r="K3273" i="2"/>
  <c r="L3273" i="2" s="1"/>
  <c r="J3273" i="2"/>
  <c r="I3273" i="2"/>
  <c r="L3272" i="2"/>
  <c r="K3272" i="2"/>
  <c r="J3272" i="2"/>
  <c r="I3272" i="2"/>
  <c r="K3271" i="2"/>
  <c r="L3271" i="2" s="1"/>
  <c r="J3271" i="2"/>
  <c r="I3271" i="2"/>
  <c r="L3270" i="2"/>
  <c r="K3270" i="2"/>
  <c r="J3270" i="2"/>
  <c r="I3270" i="2"/>
  <c r="K3269" i="2"/>
  <c r="L3269" i="2" s="1"/>
  <c r="J3269" i="2"/>
  <c r="I3269" i="2"/>
  <c r="L3268" i="2"/>
  <c r="K3268" i="2"/>
  <c r="J3268" i="2"/>
  <c r="I3268" i="2"/>
  <c r="K3267" i="2"/>
  <c r="L3267" i="2" s="1"/>
  <c r="J3267" i="2"/>
  <c r="I3267" i="2"/>
  <c r="L3266" i="2"/>
  <c r="K3266" i="2"/>
  <c r="J3266" i="2"/>
  <c r="I3266" i="2"/>
  <c r="K3265" i="2"/>
  <c r="L3265" i="2" s="1"/>
  <c r="J3265" i="2"/>
  <c r="I3265" i="2"/>
  <c r="L3264" i="2"/>
  <c r="K3264" i="2"/>
  <c r="J3264" i="2"/>
  <c r="I3264" i="2"/>
  <c r="K3263" i="2"/>
  <c r="L3263" i="2" s="1"/>
  <c r="J3263" i="2"/>
  <c r="I3263" i="2"/>
  <c r="L3262" i="2"/>
  <c r="K3262" i="2"/>
  <c r="J3262" i="2"/>
  <c r="I3262" i="2"/>
  <c r="K3261" i="2"/>
  <c r="L3261" i="2" s="1"/>
  <c r="J3261" i="2"/>
  <c r="I3261" i="2"/>
  <c r="L3260" i="2"/>
  <c r="K3260" i="2"/>
  <c r="J3260" i="2"/>
  <c r="I3260" i="2"/>
  <c r="K3259" i="2"/>
  <c r="L3259" i="2" s="1"/>
  <c r="J3259" i="2"/>
  <c r="I3259" i="2"/>
  <c r="L3258" i="2"/>
  <c r="K3258" i="2"/>
  <c r="J3258" i="2"/>
  <c r="I3258" i="2"/>
  <c r="K3257" i="2"/>
  <c r="L3257" i="2" s="1"/>
  <c r="J3257" i="2"/>
  <c r="I3257" i="2"/>
  <c r="L3256" i="2"/>
  <c r="K3256" i="2"/>
  <c r="J3256" i="2"/>
  <c r="I3256" i="2"/>
  <c r="K3255" i="2"/>
  <c r="L3255" i="2" s="1"/>
  <c r="J3255" i="2"/>
  <c r="I3255" i="2"/>
  <c r="L3254" i="2"/>
  <c r="K3254" i="2"/>
  <c r="J3254" i="2"/>
  <c r="I3254" i="2"/>
  <c r="K3253" i="2"/>
  <c r="L3253" i="2" s="1"/>
  <c r="J3253" i="2"/>
  <c r="I3253" i="2"/>
  <c r="L3252" i="2"/>
  <c r="K3252" i="2"/>
  <c r="J3252" i="2"/>
  <c r="I3252" i="2"/>
  <c r="K3251" i="2"/>
  <c r="L3251" i="2" s="1"/>
  <c r="J3251" i="2"/>
  <c r="I3251" i="2"/>
  <c r="L3250" i="2"/>
  <c r="K3250" i="2"/>
  <c r="J3250" i="2"/>
  <c r="I3250" i="2"/>
  <c r="K3249" i="2"/>
  <c r="L3249" i="2" s="1"/>
  <c r="J3249" i="2"/>
  <c r="I3249" i="2"/>
  <c r="L3248" i="2"/>
  <c r="K3248" i="2"/>
  <c r="J3248" i="2"/>
  <c r="I3248" i="2"/>
  <c r="K3247" i="2"/>
  <c r="L3247" i="2" s="1"/>
  <c r="J3247" i="2"/>
  <c r="I3247" i="2"/>
  <c r="L3246" i="2"/>
  <c r="K3246" i="2"/>
  <c r="J3246" i="2"/>
  <c r="I3246" i="2"/>
  <c r="K3245" i="2"/>
  <c r="L3245" i="2" s="1"/>
  <c r="J3245" i="2"/>
  <c r="I3245" i="2"/>
  <c r="L3244" i="2"/>
  <c r="K3244" i="2"/>
  <c r="J3244" i="2"/>
  <c r="I3244" i="2"/>
  <c r="K3243" i="2"/>
  <c r="L3243" i="2" s="1"/>
  <c r="J3243" i="2"/>
  <c r="I3243" i="2"/>
  <c r="L3242" i="2"/>
  <c r="K3242" i="2"/>
  <c r="J3242" i="2"/>
  <c r="I3242" i="2"/>
  <c r="K3241" i="2"/>
  <c r="L3241" i="2" s="1"/>
  <c r="J3241" i="2"/>
  <c r="I3241" i="2"/>
  <c r="L3240" i="2"/>
  <c r="K3240" i="2"/>
  <c r="J3240" i="2"/>
  <c r="I3240" i="2"/>
  <c r="K3239" i="2"/>
  <c r="L3239" i="2" s="1"/>
  <c r="J3239" i="2"/>
  <c r="I3239" i="2"/>
  <c r="L3238" i="2"/>
  <c r="K3238" i="2"/>
  <c r="J3238" i="2"/>
  <c r="I3238" i="2"/>
  <c r="K3237" i="2"/>
  <c r="L3237" i="2" s="1"/>
  <c r="J3237" i="2"/>
  <c r="I3237" i="2"/>
  <c r="L3236" i="2"/>
  <c r="K3236" i="2"/>
  <c r="J3236" i="2"/>
  <c r="I3236" i="2"/>
  <c r="K3235" i="2"/>
  <c r="L3235" i="2" s="1"/>
  <c r="J3235" i="2"/>
  <c r="I3235" i="2"/>
  <c r="L3234" i="2"/>
  <c r="K3234" i="2"/>
  <c r="J3234" i="2"/>
  <c r="I3234" i="2"/>
  <c r="K3233" i="2"/>
  <c r="L3233" i="2" s="1"/>
  <c r="J3233" i="2"/>
  <c r="I3233" i="2"/>
  <c r="L3232" i="2"/>
  <c r="K3232" i="2"/>
  <c r="J3232" i="2"/>
  <c r="I3232" i="2"/>
  <c r="K3231" i="2"/>
  <c r="L3231" i="2" s="1"/>
  <c r="J3231" i="2"/>
  <c r="I3231" i="2"/>
  <c r="L3230" i="2"/>
  <c r="K3230" i="2"/>
  <c r="J3230" i="2"/>
  <c r="I3230" i="2"/>
  <c r="K3229" i="2"/>
  <c r="L3229" i="2" s="1"/>
  <c r="J3229" i="2"/>
  <c r="I3229" i="2"/>
  <c r="L3228" i="2"/>
  <c r="K3228" i="2"/>
  <c r="J3228" i="2"/>
  <c r="I3228" i="2"/>
  <c r="K3227" i="2"/>
  <c r="L3227" i="2" s="1"/>
  <c r="J3227" i="2"/>
  <c r="I3227" i="2"/>
  <c r="L3226" i="2"/>
  <c r="K3226" i="2"/>
  <c r="J3226" i="2"/>
  <c r="I3226" i="2"/>
  <c r="K3225" i="2"/>
  <c r="L3225" i="2" s="1"/>
  <c r="J3225" i="2"/>
  <c r="I3225" i="2"/>
  <c r="L3224" i="2"/>
  <c r="K3224" i="2"/>
  <c r="J3224" i="2"/>
  <c r="I3224" i="2"/>
  <c r="K3223" i="2"/>
  <c r="L3223" i="2" s="1"/>
  <c r="J3223" i="2"/>
  <c r="I3223" i="2"/>
  <c r="L3222" i="2"/>
  <c r="K3222" i="2"/>
  <c r="J3222" i="2"/>
  <c r="I3222" i="2"/>
  <c r="K3221" i="2"/>
  <c r="L3221" i="2" s="1"/>
  <c r="J3221" i="2"/>
  <c r="I3221" i="2"/>
  <c r="L3220" i="2"/>
  <c r="K3220" i="2"/>
  <c r="J3220" i="2"/>
  <c r="I3220" i="2"/>
  <c r="K3219" i="2"/>
  <c r="L3219" i="2" s="1"/>
  <c r="J3219" i="2"/>
  <c r="I3219" i="2"/>
  <c r="L3218" i="2"/>
  <c r="K3218" i="2"/>
  <c r="J3218" i="2"/>
  <c r="I3218" i="2"/>
  <c r="K3217" i="2"/>
  <c r="L3217" i="2" s="1"/>
  <c r="J3217" i="2"/>
  <c r="I3217" i="2"/>
  <c r="L3216" i="2"/>
  <c r="K3216" i="2"/>
  <c r="J3216" i="2"/>
  <c r="I3216" i="2"/>
  <c r="K3215" i="2"/>
  <c r="L3215" i="2" s="1"/>
  <c r="J3215" i="2"/>
  <c r="I3215" i="2"/>
  <c r="L3214" i="2"/>
  <c r="K3214" i="2"/>
  <c r="J3214" i="2"/>
  <c r="I3214" i="2"/>
  <c r="K3213" i="2"/>
  <c r="L3213" i="2" s="1"/>
  <c r="J3213" i="2"/>
  <c r="I3213" i="2"/>
  <c r="L3212" i="2"/>
  <c r="K3212" i="2"/>
  <c r="J3212" i="2"/>
  <c r="I3212" i="2"/>
  <c r="K3211" i="2"/>
  <c r="L3211" i="2" s="1"/>
  <c r="J3211" i="2"/>
  <c r="I3211" i="2"/>
  <c r="L3210" i="2"/>
  <c r="K3210" i="2"/>
  <c r="J3210" i="2"/>
  <c r="I3210" i="2"/>
  <c r="K3209" i="2"/>
  <c r="L3209" i="2" s="1"/>
  <c r="J3209" i="2"/>
  <c r="I3209" i="2"/>
  <c r="L3208" i="2"/>
  <c r="K3208" i="2"/>
  <c r="J3208" i="2"/>
  <c r="I3208" i="2"/>
  <c r="K3207" i="2"/>
  <c r="L3207" i="2" s="1"/>
  <c r="J3207" i="2"/>
  <c r="I3207" i="2"/>
  <c r="L3206" i="2"/>
  <c r="K3206" i="2"/>
  <c r="J3206" i="2"/>
  <c r="I3206" i="2"/>
  <c r="K3205" i="2"/>
  <c r="L3205" i="2" s="1"/>
  <c r="J3205" i="2"/>
  <c r="I3205" i="2"/>
  <c r="L3204" i="2"/>
  <c r="K3204" i="2"/>
  <c r="J3204" i="2"/>
  <c r="I3204" i="2"/>
  <c r="K3203" i="2"/>
  <c r="L3203" i="2" s="1"/>
  <c r="J3203" i="2"/>
  <c r="I3203" i="2"/>
  <c r="L3202" i="2"/>
  <c r="K3202" i="2"/>
  <c r="J3202" i="2"/>
  <c r="I3202" i="2"/>
  <c r="K3201" i="2"/>
  <c r="L3201" i="2" s="1"/>
  <c r="J3201" i="2"/>
  <c r="I3201" i="2"/>
  <c r="L3200" i="2"/>
  <c r="K3200" i="2"/>
  <c r="J3200" i="2"/>
  <c r="I3200" i="2"/>
  <c r="K3199" i="2"/>
  <c r="L3199" i="2" s="1"/>
  <c r="J3199" i="2"/>
  <c r="I3199" i="2"/>
  <c r="L3198" i="2"/>
  <c r="K3198" i="2"/>
  <c r="J3198" i="2"/>
  <c r="I3198" i="2"/>
  <c r="K3197" i="2"/>
  <c r="L3197" i="2" s="1"/>
  <c r="J3197" i="2"/>
  <c r="I3197" i="2"/>
  <c r="L3196" i="2"/>
  <c r="K3196" i="2"/>
  <c r="J3196" i="2"/>
  <c r="I3196" i="2"/>
  <c r="K3195" i="2"/>
  <c r="L3195" i="2" s="1"/>
  <c r="J3195" i="2"/>
  <c r="I3195" i="2"/>
  <c r="L3194" i="2"/>
  <c r="K3194" i="2"/>
  <c r="J3194" i="2"/>
  <c r="I3194" i="2"/>
  <c r="K3193" i="2"/>
  <c r="L3193" i="2" s="1"/>
  <c r="J3193" i="2"/>
  <c r="I3193" i="2"/>
  <c r="L3192" i="2"/>
  <c r="K3192" i="2"/>
  <c r="J3192" i="2"/>
  <c r="I3192" i="2"/>
  <c r="K3191" i="2"/>
  <c r="L3191" i="2" s="1"/>
  <c r="J3191" i="2"/>
  <c r="I3191" i="2"/>
  <c r="L3190" i="2"/>
  <c r="K3190" i="2"/>
  <c r="J3190" i="2"/>
  <c r="I3190" i="2"/>
  <c r="K3189" i="2"/>
  <c r="L3189" i="2" s="1"/>
  <c r="J3189" i="2"/>
  <c r="I3189" i="2"/>
  <c r="L3188" i="2"/>
  <c r="K3188" i="2"/>
  <c r="J3188" i="2"/>
  <c r="I3188" i="2"/>
  <c r="K3187" i="2"/>
  <c r="L3187" i="2" s="1"/>
  <c r="J3187" i="2"/>
  <c r="I3187" i="2"/>
  <c r="L3186" i="2"/>
  <c r="K3186" i="2"/>
  <c r="J3186" i="2"/>
  <c r="I3186" i="2"/>
  <c r="K3185" i="2"/>
  <c r="L3185" i="2" s="1"/>
  <c r="J3185" i="2"/>
  <c r="I3185" i="2"/>
  <c r="L3184" i="2"/>
  <c r="K3184" i="2"/>
  <c r="J3184" i="2"/>
  <c r="I3184" i="2"/>
  <c r="K3183" i="2"/>
  <c r="L3183" i="2" s="1"/>
  <c r="J3183" i="2"/>
  <c r="I3183" i="2"/>
  <c r="L3182" i="2"/>
  <c r="K3182" i="2"/>
  <c r="J3182" i="2"/>
  <c r="I3182" i="2"/>
  <c r="K3181" i="2"/>
  <c r="L3181" i="2" s="1"/>
  <c r="J3181" i="2"/>
  <c r="I3181" i="2"/>
  <c r="L3180" i="2"/>
  <c r="K3180" i="2"/>
  <c r="J3180" i="2"/>
  <c r="I3180" i="2"/>
  <c r="K3179" i="2"/>
  <c r="L3179" i="2" s="1"/>
  <c r="J3179" i="2"/>
  <c r="I3179" i="2"/>
  <c r="L3178" i="2"/>
  <c r="K3178" i="2"/>
  <c r="J3178" i="2"/>
  <c r="I3178" i="2"/>
  <c r="K3177" i="2"/>
  <c r="L3177" i="2" s="1"/>
  <c r="J3177" i="2"/>
  <c r="I3177" i="2"/>
  <c r="L3176" i="2"/>
  <c r="K3176" i="2"/>
  <c r="J3176" i="2"/>
  <c r="I3176" i="2"/>
  <c r="K3175" i="2"/>
  <c r="L3175" i="2" s="1"/>
  <c r="J3175" i="2"/>
  <c r="I3175" i="2"/>
  <c r="L3174" i="2"/>
  <c r="K3174" i="2"/>
  <c r="J3174" i="2"/>
  <c r="I3174" i="2"/>
  <c r="K3173" i="2"/>
  <c r="L3173" i="2" s="1"/>
  <c r="J3173" i="2"/>
  <c r="I3173" i="2"/>
  <c r="L3172" i="2"/>
  <c r="K3172" i="2"/>
  <c r="J3172" i="2"/>
  <c r="I3172" i="2"/>
  <c r="K3171" i="2"/>
  <c r="L3171" i="2" s="1"/>
  <c r="J3171" i="2"/>
  <c r="I3171" i="2"/>
  <c r="L3170" i="2"/>
  <c r="K3170" i="2"/>
  <c r="J3170" i="2"/>
  <c r="I3170" i="2"/>
  <c r="K3169" i="2"/>
  <c r="L3169" i="2" s="1"/>
  <c r="J3169" i="2"/>
  <c r="I3169" i="2"/>
  <c r="L3168" i="2"/>
  <c r="K3168" i="2"/>
  <c r="J3168" i="2"/>
  <c r="I3168" i="2"/>
  <c r="K3167" i="2"/>
  <c r="L3167" i="2" s="1"/>
  <c r="J3167" i="2"/>
  <c r="I3167" i="2"/>
  <c r="L3166" i="2"/>
  <c r="K3166" i="2"/>
  <c r="J3166" i="2"/>
  <c r="I3166" i="2"/>
  <c r="K3165" i="2"/>
  <c r="L3165" i="2" s="1"/>
  <c r="J3165" i="2"/>
  <c r="I3165" i="2"/>
  <c r="L3164" i="2"/>
  <c r="K3164" i="2"/>
  <c r="J3164" i="2"/>
  <c r="I3164" i="2"/>
  <c r="K3163" i="2"/>
  <c r="L3163" i="2" s="1"/>
  <c r="J3163" i="2"/>
  <c r="I3163" i="2"/>
  <c r="L3162" i="2"/>
  <c r="K3162" i="2"/>
  <c r="J3162" i="2"/>
  <c r="I3162" i="2"/>
  <c r="K3161" i="2"/>
  <c r="L3161" i="2" s="1"/>
  <c r="J3161" i="2"/>
  <c r="I3161" i="2"/>
  <c r="L3160" i="2"/>
  <c r="K3160" i="2"/>
  <c r="J3160" i="2"/>
  <c r="I3160" i="2"/>
  <c r="K3159" i="2"/>
  <c r="L3159" i="2" s="1"/>
  <c r="J3159" i="2"/>
  <c r="I3159" i="2"/>
  <c r="L3158" i="2"/>
  <c r="K3158" i="2"/>
  <c r="J3158" i="2"/>
  <c r="I3158" i="2"/>
  <c r="K3157" i="2"/>
  <c r="L3157" i="2" s="1"/>
  <c r="J3157" i="2"/>
  <c r="I3157" i="2"/>
  <c r="L3156" i="2"/>
  <c r="K3156" i="2"/>
  <c r="J3156" i="2"/>
  <c r="I3156" i="2"/>
  <c r="K3155" i="2"/>
  <c r="L3155" i="2" s="1"/>
  <c r="J3155" i="2"/>
  <c r="I3155" i="2"/>
  <c r="L3154" i="2"/>
  <c r="K3154" i="2"/>
  <c r="J3154" i="2"/>
  <c r="I3154" i="2"/>
  <c r="K3153" i="2"/>
  <c r="L3153" i="2" s="1"/>
  <c r="J3153" i="2"/>
  <c r="I3153" i="2"/>
  <c r="L3152" i="2"/>
  <c r="K3152" i="2"/>
  <c r="J3152" i="2"/>
  <c r="I3152" i="2"/>
  <c r="K3151" i="2"/>
  <c r="L3151" i="2" s="1"/>
  <c r="J3151" i="2"/>
  <c r="I3151" i="2"/>
  <c r="L3150" i="2"/>
  <c r="K3150" i="2"/>
  <c r="J3150" i="2"/>
  <c r="I3150" i="2"/>
  <c r="K3149" i="2"/>
  <c r="L3149" i="2" s="1"/>
  <c r="J3149" i="2"/>
  <c r="I3149" i="2"/>
  <c r="L3148" i="2"/>
  <c r="K3148" i="2"/>
  <c r="J3148" i="2"/>
  <c r="I3148" i="2"/>
  <c r="K3147" i="2"/>
  <c r="L3147" i="2" s="1"/>
  <c r="J3147" i="2"/>
  <c r="I3147" i="2"/>
  <c r="L3146" i="2"/>
  <c r="K3146" i="2"/>
  <c r="J3146" i="2"/>
  <c r="I3146" i="2"/>
  <c r="K3145" i="2"/>
  <c r="L3145" i="2" s="1"/>
  <c r="J3145" i="2"/>
  <c r="I3145" i="2"/>
  <c r="L3144" i="2"/>
  <c r="K3144" i="2"/>
  <c r="J3144" i="2"/>
  <c r="I3144" i="2"/>
  <c r="K3143" i="2"/>
  <c r="L3143" i="2" s="1"/>
  <c r="J3143" i="2"/>
  <c r="I3143" i="2"/>
  <c r="L3142" i="2"/>
  <c r="K3142" i="2"/>
  <c r="J3142" i="2"/>
  <c r="I3142" i="2"/>
  <c r="K3141" i="2"/>
  <c r="L3141" i="2" s="1"/>
  <c r="J3141" i="2"/>
  <c r="I3141" i="2"/>
  <c r="L3140" i="2"/>
  <c r="K3140" i="2"/>
  <c r="J3140" i="2"/>
  <c r="I3140" i="2"/>
  <c r="K3139" i="2"/>
  <c r="L3139" i="2" s="1"/>
  <c r="J3139" i="2"/>
  <c r="I3139" i="2"/>
  <c r="L3138" i="2"/>
  <c r="K3138" i="2"/>
  <c r="J3138" i="2"/>
  <c r="I3138" i="2"/>
  <c r="K3137" i="2"/>
  <c r="L3137" i="2" s="1"/>
  <c r="J3137" i="2"/>
  <c r="I3137" i="2"/>
  <c r="L3136" i="2"/>
  <c r="K3136" i="2"/>
  <c r="J3136" i="2"/>
  <c r="I3136" i="2"/>
  <c r="K3135" i="2"/>
  <c r="L3135" i="2" s="1"/>
  <c r="J3135" i="2"/>
  <c r="I3135" i="2"/>
  <c r="L3134" i="2"/>
  <c r="K3134" i="2"/>
  <c r="J3134" i="2"/>
  <c r="I3134" i="2"/>
  <c r="K3133" i="2"/>
  <c r="L3133" i="2" s="1"/>
  <c r="J3133" i="2"/>
  <c r="I3133" i="2"/>
  <c r="L3132" i="2"/>
  <c r="K3132" i="2"/>
  <c r="J3132" i="2"/>
  <c r="I3132" i="2"/>
  <c r="K3131" i="2"/>
  <c r="L3131" i="2" s="1"/>
  <c r="J3131" i="2"/>
  <c r="I3131" i="2"/>
  <c r="L3130" i="2"/>
  <c r="K3130" i="2"/>
  <c r="J3130" i="2"/>
  <c r="I3130" i="2"/>
  <c r="K3129" i="2"/>
  <c r="L3129" i="2" s="1"/>
  <c r="J3129" i="2"/>
  <c r="I3129" i="2"/>
  <c r="L3128" i="2"/>
  <c r="K3128" i="2"/>
  <c r="J3128" i="2"/>
  <c r="I3128" i="2"/>
  <c r="K3127" i="2"/>
  <c r="L3127" i="2" s="1"/>
  <c r="J3127" i="2"/>
  <c r="I3127" i="2"/>
  <c r="L3126" i="2"/>
  <c r="K3126" i="2"/>
  <c r="J3126" i="2"/>
  <c r="I3126" i="2"/>
  <c r="K3125" i="2"/>
  <c r="L3125" i="2" s="1"/>
  <c r="J3125" i="2"/>
  <c r="I3125" i="2"/>
  <c r="L3124" i="2"/>
  <c r="K3124" i="2"/>
  <c r="J3124" i="2"/>
  <c r="I3124" i="2"/>
  <c r="K3123" i="2"/>
  <c r="L3123" i="2" s="1"/>
  <c r="J3123" i="2"/>
  <c r="I3123" i="2"/>
  <c r="L3122" i="2"/>
  <c r="K3122" i="2"/>
  <c r="J3122" i="2"/>
  <c r="I3122" i="2"/>
  <c r="K3121" i="2"/>
  <c r="L3121" i="2" s="1"/>
  <c r="J3121" i="2"/>
  <c r="I3121" i="2"/>
  <c r="L3120" i="2"/>
  <c r="K3120" i="2"/>
  <c r="J3120" i="2"/>
  <c r="I3120" i="2"/>
  <c r="K3119" i="2"/>
  <c r="L3119" i="2" s="1"/>
  <c r="J3119" i="2"/>
  <c r="I3119" i="2"/>
  <c r="L3118" i="2"/>
  <c r="K3118" i="2"/>
  <c r="J3118" i="2"/>
  <c r="I3118" i="2"/>
  <c r="K3117" i="2"/>
  <c r="L3117" i="2" s="1"/>
  <c r="J3117" i="2"/>
  <c r="I3117" i="2"/>
  <c r="L3116" i="2"/>
  <c r="K3116" i="2"/>
  <c r="J3116" i="2"/>
  <c r="I3116" i="2"/>
  <c r="K3115" i="2"/>
  <c r="L3115" i="2" s="1"/>
  <c r="J3115" i="2"/>
  <c r="I3115" i="2"/>
  <c r="L3114" i="2"/>
  <c r="K3114" i="2"/>
  <c r="J3114" i="2"/>
  <c r="I3114" i="2"/>
  <c r="K3113" i="2"/>
  <c r="L3113" i="2" s="1"/>
  <c r="J3113" i="2"/>
  <c r="I3113" i="2"/>
  <c r="L3112" i="2"/>
  <c r="K3112" i="2"/>
  <c r="J3112" i="2"/>
  <c r="I3112" i="2"/>
  <c r="K3111" i="2"/>
  <c r="L3111" i="2" s="1"/>
  <c r="J3111" i="2"/>
  <c r="I3111" i="2"/>
  <c r="L3110" i="2"/>
  <c r="K3110" i="2"/>
  <c r="J3110" i="2"/>
  <c r="I3110" i="2"/>
  <c r="K3109" i="2"/>
  <c r="L3109" i="2" s="1"/>
  <c r="J3109" i="2"/>
  <c r="I3109" i="2"/>
  <c r="L3108" i="2"/>
  <c r="K3108" i="2"/>
  <c r="J3108" i="2"/>
  <c r="I3108" i="2"/>
  <c r="K3107" i="2"/>
  <c r="L3107" i="2" s="1"/>
  <c r="J3107" i="2"/>
  <c r="I3107" i="2"/>
  <c r="L3106" i="2"/>
  <c r="K3106" i="2"/>
  <c r="J3106" i="2"/>
  <c r="I3106" i="2"/>
  <c r="K3105" i="2"/>
  <c r="L3105" i="2" s="1"/>
  <c r="J3105" i="2"/>
  <c r="I3105" i="2"/>
  <c r="L3104" i="2"/>
  <c r="K3104" i="2"/>
  <c r="J3104" i="2"/>
  <c r="I3104" i="2"/>
  <c r="K3103" i="2"/>
  <c r="L3103" i="2" s="1"/>
  <c r="J3103" i="2"/>
  <c r="I3103" i="2"/>
  <c r="L3102" i="2"/>
  <c r="K3102" i="2"/>
  <c r="J3102" i="2"/>
  <c r="I3102" i="2"/>
  <c r="K3101" i="2"/>
  <c r="L3101" i="2" s="1"/>
  <c r="J3101" i="2"/>
  <c r="I3101" i="2"/>
  <c r="L3100" i="2"/>
  <c r="K3100" i="2"/>
  <c r="J3100" i="2"/>
  <c r="I3100" i="2"/>
  <c r="K3099" i="2"/>
  <c r="L3099" i="2" s="1"/>
  <c r="J3099" i="2"/>
  <c r="I3099" i="2"/>
  <c r="L3098" i="2"/>
  <c r="K3098" i="2"/>
  <c r="J3098" i="2"/>
  <c r="I3098" i="2"/>
  <c r="K3097" i="2"/>
  <c r="L3097" i="2" s="1"/>
  <c r="J3097" i="2"/>
  <c r="I3097" i="2"/>
  <c r="L3096" i="2"/>
  <c r="K3096" i="2"/>
  <c r="J3096" i="2"/>
  <c r="I3096" i="2"/>
  <c r="K3095" i="2"/>
  <c r="L3095" i="2" s="1"/>
  <c r="J3095" i="2"/>
  <c r="I3095" i="2"/>
  <c r="L3094" i="2"/>
  <c r="K3094" i="2"/>
  <c r="J3094" i="2"/>
  <c r="I3094" i="2"/>
  <c r="K3093" i="2"/>
  <c r="L3093" i="2" s="1"/>
  <c r="J3093" i="2"/>
  <c r="I3093" i="2"/>
  <c r="L3092" i="2"/>
  <c r="K3092" i="2"/>
  <c r="J3092" i="2"/>
  <c r="I3092" i="2"/>
  <c r="K3091" i="2"/>
  <c r="L3091" i="2" s="1"/>
  <c r="J3091" i="2"/>
  <c r="I3091" i="2"/>
  <c r="L3090" i="2"/>
  <c r="K3090" i="2"/>
  <c r="J3090" i="2"/>
  <c r="I3090" i="2"/>
  <c r="K3089" i="2"/>
  <c r="L3089" i="2" s="1"/>
  <c r="J3089" i="2"/>
  <c r="I3089" i="2"/>
  <c r="L3088" i="2"/>
  <c r="K3088" i="2"/>
  <c r="J3088" i="2"/>
  <c r="I3088" i="2"/>
  <c r="K3087" i="2"/>
  <c r="L3087" i="2" s="1"/>
  <c r="J3087" i="2"/>
  <c r="I3087" i="2"/>
  <c r="L3086" i="2"/>
  <c r="K3086" i="2"/>
  <c r="J3086" i="2"/>
  <c r="I3086" i="2"/>
  <c r="K3085" i="2"/>
  <c r="L3085" i="2" s="1"/>
  <c r="J3085" i="2"/>
  <c r="I3085" i="2"/>
  <c r="L3084" i="2"/>
  <c r="K3084" i="2"/>
  <c r="J3084" i="2"/>
  <c r="I3084" i="2"/>
  <c r="K3083" i="2"/>
  <c r="L3083" i="2" s="1"/>
  <c r="J3083" i="2"/>
  <c r="I3083" i="2"/>
  <c r="L3082" i="2"/>
  <c r="K3082" i="2"/>
  <c r="J3082" i="2"/>
  <c r="I3082" i="2"/>
  <c r="K3081" i="2"/>
  <c r="L3081" i="2" s="1"/>
  <c r="J3081" i="2"/>
  <c r="I3081" i="2"/>
  <c r="L3080" i="2"/>
  <c r="K3080" i="2"/>
  <c r="J3080" i="2"/>
  <c r="I3080" i="2"/>
  <c r="K3079" i="2"/>
  <c r="L3079" i="2" s="1"/>
  <c r="J3079" i="2"/>
  <c r="I3079" i="2"/>
  <c r="L3078" i="2"/>
  <c r="K3078" i="2"/>
  <c r="J3078" i="2"/>
  <c r="I3078" i="2"/>
  <c r="K3077" i="2"/>
  <c r="L3077" i="2" s="1"/>
  <c r="J3077" i="2"/>
  <c r="I3077" i="2"/>
  <c r="L3076" i="2"/>
  <c r="K3076" i="2"/>
  <c r="J3076" i="2"/>
  <c r="I3076" i="2"/>
  <c r="K3075" i="2"/>
  <c r="L3075" i="2" s="1"/>
  <c r="J3075" i="2"/>
  <c r="I3075" i="2"/>
  <c r="L3074" i="2"/>
  <c r="K3074" i="2"/>
  <c r="J3074" i="2"/>
  <c r="I3074" i="2"/>
  <c r="K3073" i="2"/>
  <c r="L3073" i="2" s="1"/>
  <c r="J3073" i="2"/>
  <c r="I3073" i="2"/>
  <c r="L3072" i="2"/>
  <c r="K3072" i="2"/>
  <c r="J3072" i="2"/>
  <c r="I3072" i="2"/>
  <c r="K3071" i="2"/>
  <c r="L3071" i="2" s="1"/>
  <c r="J3071" i="2"/>
  <c r="I3071" i="2"/>
  <c r="L3070" i="2"/>
  <c r="K3070" i="2"/>
  <c r="J3070" i="2"/>
  <c r="I3070" i="2"/>
  <c r="K3069" i="2"/>
  <c r="L3069" i="2" s="1"/>
  <c r="J3069" i="2"/>
  <c r="I3069" i="2"/>
  <c r="L3068" i="2"/>
  <c r="K3068" i="2"/>
  <c r="J3068" i="2"/>
  <c r="I3068" i="2"/>
  <c r="K3067" i="2"/>
  <c r="L3067" i="2" s="1"/>
  <c r="J3067" i="2"/>
  <c r="I3067" i="2"/>
  <c r="L3066" i="2"/>
  <c r="K3066" i="2"/>
  <c r="J3066" i="2"/>
  <c r="I3066" i="2"/>
  <c r="K3065" i="2"/>
  <c r="L3065" i="2" s="1"/>
  <c r="J3065" i="2"/>
  <c r="I3065" i="2"/>
  <c r="L3064" i="2"/>
  <c r="K3064" i="2"/>
  <c r="J3064" i="2"/>
  <c r="I3064" i="2"/>
  <c r="K3063" i="2"/>
  <c r="L3063" i="2" s="1"/>
  <c r="J3063" i="2"/>
  <c r="I3063" i="2"/>
  <c r="L3062" i="2"/>
  <c r="K3062" i="2"/>
  <c r="J3062" i="2"/>
  <c r="I3062" i="2"/>
  <c r="K3061" i="2"/>
  <c r="L3061" i="2" s="1"/>
  <c r="J3061" i="2"/>
  <c r="I3061" i="2"/>
  <c r="L3060" i="2"/>
  <c r="K3060" i="2"/>
  <c r="J3060" i="2"/>
  <c r="I3060" i="2"/>
  <c r="K3059" i="2"/>
  <c r="L3059" i="2" s="1"/>
  <c r="J3059" i="2"/>
  <c r="I3059" i="2"/>
  <c r="L3058" i="2"/>
  <c r="K3058" i="2"/>
  <c r="J3058" i="2"/>
  <c r="I3058" i="2"/>
  <c r="K3057" i="2"/>
  <c r="L3057" i="2" s="1"/>
  <c r="J3057" i="2"/>
  <c r="I3057" i="2"/>
  <c r="L3056" i="2"/>
  <c r="K3056" i="2"/>
  <c r="J3056" i="2"/>
  <c r="I3056" i="2"/>
  <c r="K3055" i="2"/>
  <c r="L3055" i="2" s="1"/>
  <c r="J3055" i="2"/>
  <c r="I3055" i="2"/>
  <c r="L3054" i="2"/>
  <c r="K3054" i="2"/>
  <c r="J3054" i="2"/>
  <c r="I3054" i="2"/>
  <c r="K3053" i="2"/>
  <c r="L3053" i="2" s="1"/>
  <c r="J3053" i="2"/>
  <c r="I3053" i="2"/>
  <c r="L3052" i="2"/>
  <c r="K3052" i="2"/>
  <c r="J3052" i="2"/>
  <c r="I3052" i="2"/>
  <c r="K3051" i="2"/>
  <c r="L3051" i="2" s="1"/>
  <c r="J3051" i="2"/>
  <c r="I3051" i="2"/>
  <c r="L3050" i="2"/>
  <c r="K3050" i="2"/>
  <c r="J3050" i="2"/>
  <c r="I3050" i="2"/>
  <c r="K3049" i="2"/>
  <c r="L3049" i="2" s="1"/>
  <c r="J3049" i="2"/>
  <c r="I3049" i="2"/>
  <c r="L3048" i="2"/>
  <c r="K3048" i="2"/>
  <c r="J3048" i="2"/>
  <c r="I3048" i="2"/>
  <c r="K3047" i="2"/>
  <c r="L3047" i="2" s="1"/>
  <c r="J3047" i="2"/>
  <c r="I3047" i="2"/>
  <c r="L3046" i="2"/>
  <c r="K3046" i="2"/>
  <c r="J3046" i="2"/>
  <c r="I3046" i="2"/>
  <c r="K3045" i="2"/>
  <c r="L3045" i="2" s="1"/>
  <c r="J3045" i="2"/>
  <c r="I3045" i="2"/>
  <c r="L3044" i="2"/>
  <c r="K3044" i="2"/>
  <c r="J3044" i="2"/>
  <c r="I3044" i="2"/>
  <c r="K3043" i="2"/>
  <c r="L3043" i="2" s="1"/>
  <c r="J3043" i="2"/>
  <c r="I3043" i="2"/>
  <c r="L3042" i="2"/>
  <c r="K3042" i="2"/>
  <c r="J3042" i="2"/>
  <c r="I3042" i="2"/>
  <c r="K3041" i="2"/>
  <c r="L3041" i="2" s="1"/>
  <c r="J3041" i="2"/>
  <c r="I3041" i="2"/>
  <c r="L3040" i="2"/>
  <c r="K3040" i="2"/>
  <c r="J3040" i="2"/>
  <c r="I3040" i="2"/>
  <c r="K3039" i="2"/>
  <c r="L3039" i="2" s="1"/>
  <c r="J3039" i="2"/>
  <c r="I3039" i="2"/>
  <c r="L3038" i="2"/>
  <c r="K3038" i="2"/>
  <c r="J3038" i="2"/>
  <c r="I3038" i="2"/>
  <c r="K3037" i="2"/>
  <c r="L3037" i="2" s="1"/>
  <c r="J3037" i="2"/>
  <c r="I3037" i="2"/>
  <c r="L3036" i="2"/>
  <c r="K3036" i="2"/>
  <c r="J3036" i="2"/>
  <c r="I3036" i="2"/>
  <c r="K3035" i="2"/>
  <c r="L3035" i="2" s="1"/>
  <c r="J3035" i="2"/>
  <c r="I3035" i="2"/>
  <c r="L3034" i="2"/>
  <c r="K3034" i="2"/>
  <c r="J3034" i="2"/>
  <c r="I3034" i="2"/>
  <c r="K3033" i="2"/>
  <c r="L3033" i="2" s="1"/>
  <c r="J3033" i="2"/>
  <c r="I3033" i="2"/>
  <c r="L3032" i="2"/>
  <c r="K3032" i="2"/>
  <c r="J3032" i="2"/>
  <c r="I3032" i="2"/>
  <c r="K3031" i="2"/>
  <c r="L3031" i="2" s="1"/>
  <c r="J3031" i="2"/>
  <c r="I3031" i="2"/>
  <c r="L3030" i="2"/>
  <c r="K3030" i="2"/>
  <c r="J3030" i="2"/>
  <c r="I3030" i="2"/>
  <c r="K3029" i="2"/>
  <c r="L3029" i="2" s="1"/>
  <c r="J3029" i="2"/>
  <c r="I3029" i="2"/>
  <c r="L3028" i="2"/>
  <c r="K3028" i="2"/>
  <c r="J3028" i="2"/>
  <c r="I3028" i="2"/>
  <c r="K3027" i="2"/>
  <c r="L3027" i="2" s="1"/>
  <c r="J3027" i="2"/>
  <c r="I3027" i="2"/>
  <c r="L3026" i="2"/>
  <c r="K3026" i="2"/>
  <c r="J3026" i="2"/>
  <c r="I3026" i="2"/>
  <c r="K3025" i="2"/>
  <c r="L3025" i="2" s="1"/>
  <c r="J3025" i="2"/>
  <c r="I3025" i="2"/>
  <c r="L3024" i="2"/>
  <c r="K3024" i="2"/>
  <c r="J3024" i="2"/>
  <c r="I3024" i="2"/>
  <c r="K3023" i="2"/>
  <c r="L3023" i="2" s="1"/>
  <c r="J3023" i="2"/>
  <c r="I3023" i="2"/>
  <c r="L3022" i="2"/>
  <c r="K3022" i="2"/>
  <c r="J3022" i="2"/>
  <c r="I3022" i="2"/>
  <c r="K3021" i="2"/>
  <c r="L3021" i="2" s="1"/>
  <c r="J3021" i="2"/>
  <c r="I3021" i="2"/>
  <c r="L3020" i="2"/>
  <c r="K3020" i="2"/>
  <c r="J3020" i="2"/>
  <c r="I3020" i="2"/>
  <c r="K3019" i="2"/>
  <c r="L3019" i="2" s="1"/>
  <c r="J3019" i="2"/>
  <c r="I3019" i="2"/>
  <c r="L3018" i="2"/>
  <c r="K3018" i="2"/>
  <c r="J3018" i="2"/>
  <c r="I3018" i="2"/>
  <c r="K3017" i="2"/>
  <c r="L3017" i="2" s="1"/>
  <c r="J3017" i="2"/>
  <c r="I3017" i="2"/>
  <c r="L3016" i="2"/>
  <c r="K3016" i="2"/>
  <c r="J3016" i="2"/>
  <c r="I3016" i="2"/>
  <c r="K3015" i="2"/>
  <c r="L3015" i="2" s="1"/>
  <c r="J3015" i="2"/>
  <c r="I3015" i="2"/>
  <c r="L3014" i="2"/>
  <c r="K3014" i="2"/>
  <c r="J3014" i="2"/>
  <c r="I3014" i="2"/>
  <c r="K3013" i="2"/>
  <c r="L3013" i="2" s="1"/>
  <c r="J3013" i="2"/>
  <c r="I3013" i="2"/>
  <c r="L3012" i="2"/>
  <c r="K3012" i="2"/>
  <c r="J3012" i="2"/>
  <c r="I3012" i="2"/>
  <c r="K3011" i="2"/>
  <c r="L3011" i="2" s="1"/>
  <c r="J3011" i="2"/>
  <c r="I3011" i="2"/>
  <c r="L3010" i="2"/>
  <c r="K3010" i="2"/>
  <c r="J3010" i="2"/>
  <c r="I3010" i="2"/>
  <c r="K3009" i="2"/>
  <c r="L3009" i="2" s="1"/>
  <c r="J3009" i="2"/>
  <c r="I3009" i="2"/>
  <c r="L3008" i="2"/>
  <c r="K3008" i="2"/>
  <c r="J3008" i="2"/>
  <c r="I3008" i="2"/>
  <c r="K3007" i="2"/>
  <c r="L3007" i="2" s="1"/>
  <c r="J3007" i="2"/>
  <c r="I3007" i="2"/>
  <c r="L3006" i="2"/>
  <c r="K3006" i="2"/>
  <c r="J3006" i="2"/>
  <c r="I3006" i="2"/>
  <c r="K3005" i="2"/>
  <c r="L3005" i="2" s="1"/>
  <c r="J3005" i="2"/>
  <c r="I3005" i="2"/>
  <c r="L3004" i="2"/>
  <c r="K3004" i="2"/>
  <c r="J3004" i="2"/>
  <c r="I3004" i="2"/>
  <c r="K3003" i="2"/>
  <c r="L3003" i="2" s="1"/>
  <c r="J3003" i="2"/>
  <c r="I3003" i="2"/>
  <c r="L3002" i="2"/>
  <c r="K3002" i="2"/>
  <c r="J3002" i="2"/>
  <c r="I3002" i="2"/>
  <c r="K3001" i="2"/>
  <c r="L3001" i="2" s="1"/>
  <c r="J3001" i="2"/>
  <c r="I3001" i="2"/>
  <c r="L3000" i="2"/>
  <c r="K3000" i="2"/>
  <c r="J3000" i="2"/>
  <c r="I3000" i="2"/>
  <c r="K2999" i="2"/>
  <c r="L2999" i="2" s="1"/>
  <c r="J2999" i="2"/>
  <c r="I2999" i="2"/>
  <c r="L2998" i="2"/>
  <c r="K2998" i="2"/>
  <c r="J2998" i="2"/>
  <c r="I2998" i="2"/>
  <c r="K2997" i="2"/>
  <c r="L2997" i="2" s="1"/>
  <c r="J2997" i="2"/>
  <c r="I2997" i="2"/>
  <c r="L2996" i="2"/>
  <c r="K2996" i="2"/>
  <c r="J2996" i="2"/>
  <c r="I2996" i="2"/>
  <c r="K2995" i="2"/>
  <c r="L2995" i="2" s="1"/>
  <c r="J2995" i="2"/>
  <c r="I2995" i="2"/>
  <c r="L2994" i="2"/>
  <c r="K2994" i="2"/>
  <c r="J2994" i="2"/>
  <c r="I2994" i="2"/>
  <c r="K2993" i="2"/>
  <c r="L2993" i="2" s="1"/>
  <c r="J2993" i="2"/>
  <c r="I2993" i="2"/>
  <c r="L2992" i="2"/>
  <c r="K2992" i="2"/>
  <c r="J2992" i="2"/>
  <c r="I2992" i="2"/>
  <c r="K2991" i="2"/>
  <c r="L2991" i="2" s="1"/>
  <c r="J2991" i="2"/>
  <c r="I2991" i="2"/>
  <c r="L2990" i="2"/>
  <c r="K2990" i="2"/>
  <c r="J2990" i="2"/>
  <c r="I2990" i="2"/>
  <c r="K2989" i="2"/>
  <c r="L2989" i="2" s="1"/>
  <c r="J2989" i="2"/>
  <c r="I2989" i="2"/>
  <c r="L2988" i="2"/>
  <c r="K2988" i="2"/>
  <c r="J2988" i="2"/>
  <c r="I2988" i="2"/>
  <c r="K2987" i="2"/>
  <c r="L2987" i="2" s="1"/>
  <c r="J2987" i="2"/>
  <c r="I2987" i="2"/>
  <c r="L2986" i="2"/>
  <c r="K2986" i="2"/>
  <c r="J2986" i="2"/>
  <c r="I2986" i="2"/>
  <c r="K2985" i="2"/>
  <c r="L2985" i="2" s="1"/>
  <c r="J2985" i="2"/>
  <c r="I2985" i="2"/>
  <c r="L2984" i="2"/>
  <c r="K2984" i="2"/>
  <c r="J2984" i="2"/>
  <c r="I2984" i="2"/>
  <c r="K2983" i="2"/>
  <c r="L2983" i="2" s="1"/>
  <c r="J2983" i="2"/>
  <c r="I2983" i="2"/>
  <c r="L2982" i="2"/>
  <c r="K2982" i="2"/>
  <c r="J2982" i="2"/>
  <c r="I2982" i="2"/>
  <c r="K2981" i="2"/>
  <c r="L2981" i="2" s="1"/>
  <c r="J2981" i="2"/>
  <c r="I2981" i="2"/>
  <c r="L2980" i="2"/>
  <c r="K2980" i="2"/>
  <c r="J2980" i="2"/>
  <c r="I2980" i="2"/>
  <c r="K2979" i="2"/>
  <c r="L2979" i="2" s="1"/>
  <c r="J2979" i="2"/>
  <c r="I2979" i="2"/>
  <c r="L2978" i="2"/>
  <c r="K2978" i="2"/>
  <c r="J2978" i="2"/>
  <c r="I2978" i="2"/>
  <c r="K2977" i="2"/>
  <c r="L2977" i="2" s="1"/>
  <c r="J2977" i="2"/>
  <c r="I2977" i="2"/>
  <c r="L2976" i="2"/>
  <c r="K2976" i="2"/>
  <c r="J2976" i="2"/>
  <c r="I2976" i="2"/>
  <c r="K2975" i="2"/>
  <c r="L2975" i="2" s="1"/>
  <c r="J2975" i="2"/>
  <c r="I2975" i="2"/>
  <c r="L2974" i="2"/>
  <c r="K2974" i="2"/>
  <c r="J2974" i="2"/>
  <c r="I2974" i="2"/>
  <c r="K2973" i="2"/>
  <c r="L2973" i="2" s="1"/>
  <c r="J2973" i="2"/>
  <c r="I2973" i="2"/>
  <c r="L2972" i="2"/>
  <c r="K2972" i="2"/>
  <c r="J2972" i="2"/>
  <c r="I2972" i="2"/>
  <c r="K2971" i="2"/>
  <c r="L2971" i="2" s="1"/>
  <c r="J2971" i="2"/>
  <c r="I2971" i="2"/>
  <c r="L2970" i="2"/>
  <c r="K2970" i="2"/>
  <c r="J2970" i="2"/>
  <c r="I2970" i="2"/>
  <c r="K2969" i="2"/>
  <c r="L2969" i="2" s="1"/>
  <c r="J2969" i="2"/>
  <c r="I2969" i="2"/>
  <c r="L2968" i="2"/>
  <c r="K2968" i="2"/>
  <c r="J2968" i="2"/>
  <c r="I2968" i="2"/>
  <c r="K2967" i="2"/>
  <c r="L2967" i="2" s="1"/>
  <c r="J2967" i="2"/>
  <c r="I2967" i="2"/>
  <c r="L2966" i="2"/>
  <c r="K2966" i="2"/>
  <c r="J2966" i="2"/>
  <c r="I2966" i="2"/>
  <c r="K2965" i="2"/>
  <c r="L2965" i="2" s="1"/>
  <c r="J2965" i="2"/>
  <c r="I2965" i="2"/>
  <c r="L2964" i="2"/>
  <c r="K2964" i="2"/>
  <c r="J2964" i="2"/>
  <c r="I2964" i="2"/>
  <c r="K2963" i="2"/>
  <c r="L2963" i="2" s="1"/>
  <c r="J2963" i="2"/>
  <c r="I2963" i="2"/>
  <c r="L2962" i="2"/>
  <c r="K2962" i="2"/>
  <c r="J2962" i="2"/>
  <c r="I2962" i="2"/>
  <c r="K2961" i="2"/>
  <c r="L2961" i="2" s="1"/>
  <c r="J2961" i="2"/>
  <c r="I2961" i="2"/>
  <c r="L2960" i="2"/>
  <c r="K2960" i="2"/>
  <c r="J2960" i="2"/>
  <c r="I2960" i="2"/>
  <c r="K2959" i="2"/>
  <c r="L2959" i="2" s="1"/>
  <c r="J2959" i="2"/>
  <c r="I2959" i="2"/>
  <c r="L2958" i="2"/>
  <c r="K2958" i="2"/>
  <c r="J2958" i="2"/>
  <c r="I2958" i="2"/>
  <c r="K2957" i="2"/>
  <c r="L2957" i="2" s="1"/>
  <c r="J2957" i="2"/>
  <c r="I2957" i="2"/>
  <c r="L2956" i="2"/>
  <c r="K2956" i="2"/>
  <c r="J2956" i="2"/>
  <c r="I2956" i="2"/>
  <c r="K2955" i="2"/>
  <c r="L2955" i="2" s="1"/>
  <c r="J2955" i="2"/>
  <c r="I2955" i="2"/>
  <c r="L2954" i="2"/>
  <c r="K2954" i="2"/>
  <c r="J2954" i="2"/>
  <c r="I2954" i="2"/>
  <c r="K2953" i="2"/>
  <c r="L2953" i="2" s="1"/>
  <c r="J2953" i="2"/>
  <c r="I2953" i="2"/>
  <c r="L2952" i="2"/>
  <c r="K2952" i="2"/>
  <c r="J2952" i="2"/>
  <c r="I2952" i="2"/>
  <c r="K2951" i="2"/>
  <c r="L2951" i="2" s="1"/>
  <c r="J2951" i="2"/>
  <c r="I2951" i="2"/>
  <c r="L2950" i="2"/>
  <c r="K2950" i="2"/>
  <c r="J2950" i="2"/>
  <c r="I2950" i="2"/>
  <c r="K2949" i="2"/>
  <c r="L2949" i="2" s="1"/>
  <c r="J2949" i="2"/>
  <c r="I2949" i="2"/>
  <c r="L2948" i="2"/>
  <c r="K2948" i="2"/>
  <c r="J2948" i="2"/>
  <c r="I2948" i="2"/>
  <c r="K2947" i="2"/>
  <c r="L2947" i="2" s="1"/>
  <c r="J2947" i="2"/>
  <c r="I2947" i="2"/>
  <c r="L2946" i="2"/>
  <c r="K2946" i="2"/>
  <c r="J2946" i="2"/>
  <c r="I2946" i="2"/>
  <c r="K2945" i="2"/>
  <c r="L2945" i="2" s="1"/>
  <c r="J2945" i="2"/>
  <c r="I2945" i="2"/>
  <c r="L2944" i="2"/>
  <c r="K2944" i="2"/>
  <c r="J2944" i="2"/>
  <c r="I2944" i="2"/>
  <c r="K2943" i="2"/>
  <c r="L2943" i="2" s="1"/>
  <c r="J2943" i="2"/>
  <c r="I2943" i="2"/>
  <c r="L2942" i="2"/>
  <c r="K2942" i="2"/>
  <c r="J2942" i="2"/>
  <c r="I2942" i="2"/>
  <c r="K2941" i="2"/>
  <c r="L2941" i="2" s="1"/>
  <c r="J2941" i="2"/>
  <c r="I2941" i="2"/>
  <c r="L2940" i="2"/>
  <c r="K2940" i="2"/>
  <c r="J2940" i="2"/>
  <c r="I2940" i="2"/>
  <c r="K2939" i="2"/>
  <c r="L2939" i="2" s="1"/>
  <c r="J2939" i="2"/>
  <c r="I2939" i="2"/>
  <c r="L2938" i="2"/>
  <c r="K2938" i="2"/>
  <c r="J2938" i="2"/>
  <c r="I2938" i="2"/>
  <c r="K2937" i="2"/>
  <c r="L2937" i="2" s="1"/>
  <c r="J2937" i="2"/>
  <c r="I2937" i="2"/>
  <c r="L2936" i="2"/>
  <c r="K2936" i="2"/>
  <c r="J2936" i="2"/>
  <c r="I2936" i="2"/>
  <c r="K2935" i="2"/>
  <c r="L2935" i="2" s="1"/>
  <c r="J2935" i="2"/>
  <c r="I2935" i="2"/>
  <c r="L2934" i="2"/>
  <c r="K2934" i="2"/>
  <c r="J2934" i="2"/>
  <c r="I2934" i="2"/>
  <c r="K2933" i="2"/>
  <c r="L2933" i="2" s="1"/>
  <c r="J2933" i="2"/>
  <c r="I2933" i="2"/>
  <c r="L2932" i="2"/>
  <c r="K2932" i="2"/>
  <c r="J2932" i="2"/>
  <c r="I2932" i="2"/>
  <c r="K2931" i="2"/>
  <c r="L2931" i="2" s="1"/>
  <c r="J2931" i="2"/>
  <c r="I2931" i="2"/>
  <c r="L2930" i="2"/>
  <c r="K2930" i="2"/>
  <c r="J2930" i="2"/>
  <c r="I2930" i="2"/>
  <c r="K2929" i="2"/>
  <c r="L2929" i="2" s="1"/>
  <c r="J2929" i="2"/>
  <c r="I2929" i="2"/>
  <c r="L2928" i="2"/>
  <c r="K2928" i="2"/>
  <c r="J2928" i="2"/>
  <c r="I2928" i="2"/>
  <c r="K2927" i="2"/>
  <c r="L2927" i="2" s="1"/>
  <c r="J2927" i="2"/>
  <c r="I2927" i="2"/>
  <c r="L2926" i="2"/>
  <c r="K2926" i="2"/>
  <c r="J2926" i="2"/>
  <c r="I2926" i="2"/>
  <c r="K2925" i="2"/>
  <c r="L2925" i="2" s="1"/>
  <c r="J2925" i="2"/>
  <c r="I2925" i="2"/>
  <c r="L2924" i="2"/>
  <c r="K2924" i="2"/>
  <c r="J2924" i="2"/>
  <c r="I2924" i="2"/>
  <c r="K2923" i="2"/>
  <c r="L2923" i="2" s="1"/>
  <c r="J2923" i="2"/>
  <c r="I2923" i="2"/>
  <c r="L2922" i="2"/>
  <c r="K2922" i="2"/>
  <c r="J2922" i="2"/>
  <c r="I2922" i="2"/>
  <c r="K2921" i="2"/>
  <c r="L2921" i="2" s="1"/>
  <c r="J2921" i="2"/>
  <c r="I2921" i="2"/>
  <c r="L2920" i="2"/>
  <c r="K2920" i="2"/>
  <c r="J2920" i="2"/>
  <c r="I2920" i="2"/>
  <c r="K2919" i="2"/>
  <c r="L2919" i="2" s="1"/>
  <c r="J2919" i="2"/>
  <c r="I2919" i="2"/>
  <c r="L2918" i="2"/>
  <c r="K2918" i="2"/>
  <c r="J2918" i="2"/>
  <c r="I2918" i="2"/>
  <c r="K2917" i="2"/>
  <c r="L2917" i="2" s="1"/>
  <c r="J2917" i="2"/>
  <c r="I2917" i="2"/>
  <c r="L2916" i="2"/>
  <c r="K2916" i="2"/>
  <c r="J2916" i="2"/>
  <c r="I2916" i="2"/>
  <c r="K2915" i="2"/>
  <c r="L2915" i="2" s="1"/>
  <c r="J2915" i="2"/>
  <c r="I2915" i="2"/>
  <c r="L2914" i="2"/>
  <c r="K2914" i="2"/>
  <c r="J2914" i="2"/>
  <c r="I2914" i="2"/>
  <c r="K2913" i="2"/>
  <c r="L2913" i="2" s="1"/>
  <c r="J2913" i="2"/>
  <c r="I2913" i="2"/>
  <c r="L2912" i="2"/>
  <c r="K2912" i="2"/>
  <c r="J2912" i="2"/>
  <c r="I2912" i="2"/>
  <c r="K2911" i="2"/>
  <c r="L2911" i="2" s="1"/>
  <c r="J2911" i="2"/>
  <c r="I2911" i="2"/>
  <c r="L2910" i="2"/>
  <c r="K2910" i="2"/>
  <c r="J2910" i="2"/>
  <c r="I2910" i="2"/>
  <c r="K2909" i="2"/>
  <c r="L2909" i="2" s="1"/>
  <c r="J2909" i="2"/>
  <c r="I2909" i="2"/>
  <c r="L2908" i="2"/>
  <c r="K2908" i="2"/>
  <c r="J2908" i="2"/>
  <c r="I2908" i="2"/>
  <c r="K2907" i="2"/>
  <c r="L2907" i="2" s="1"/>
  <c r="J2907" i="2"/>
  <c r="I2907" i="2"/>
  <c r="L2906" i="2"/>
  <c r="K2906" i="2"/>
  <c r="J2906" i="2"/>
  <c r="I2906" i="2"/>
  <c r="K2905" i="2"/>
  <c r="L2905" i="2" s="1"/>
  <c r="J2905" i="2"/>
  <c r="I2905" i="2"/>
  <c r="L2904" i="2"/>
  <c r="K2904" i="2"/>
  <c r="J2904" i="2"/>
  <c r="I2904" i="2"/>
  <c r="K2903" i="2"/>
  <c r="L2903" i="2" s="1"/>
  <c r="J2903" i="2"/>
  <c r="I2903" i="2"/>
  <c r="L2902" i="2"/>
  <c r="K2902" i="2"/>
  <c r="J2902" i="2"/>
  <c r="I2902" i="2"/>
  <c r="K2901" i="2"/>
  <c r="L2901" i="2" s="1"/>
  <c r="J2901" i="2"/>
  <c r="I2901" i="2"/>
  <c r="L2900" i="2"/>
  <c r="K2900" i="2"/>
  <c r="J2900" i="2"/>
  <c r="I2900" i="2"/>
  <c r="K2899" i="2"/>
  <c r="L2899" i="2" s="1"/>
  <c r="J2899" i="2"/>
  <c r="I2899" i="2"/>
  <c r="L2898" i="2"/>
  <c r="K2898" i="2"/>
  <c r="J2898" i="2"/>
  <c r="I2898" i="2"/>
  <c r="K2897" i="2"/>
  <c r="L2897" i="2" s="1"/>
  <c r="J2897" i="2"/>
  <c r="I2897" i="2"/>
  <c r="L2896" i="2"/>
  <c r="K2896" i="2"/>
  <c r="J2896" i="2"/>
  <c r="I2896" i="2"/>
  <c r="K2895" i="2"/>
  <c r="L2895" i="2" s="1"/>
  <c r="J2895" i="2"/>
  <c r="I2895" i="2"/>
  <c r="L2894" i="2"/>
  <c r="K2894" i="2"/>
  <c r="J2894" i="2"/>
  <c r="I2894" i="2"/>
  <c r="K2893" i="2"/>
  <c r="L2893" i="2" s="1"/>
  <c r="J2893" i="2"/>
  <c r="I2893" i="2"/>
  <c r="L2892" i="2"/>
  <c r="K2892" i="2"/>
  <c r="J2892" i="2"/>
  <c r="I2892" i="2"/>
  <c r="K2891" i="2"/>
  <c r="L2891" i="2" s="1"/>
  <c r="J2891" i="2"/>
  <c r="I2891" i="2"/>
  <c r="L2890" i="2"/>
  <c r="K2890" i="2"/>
  <c r="J2890" i="2"/>
  <c r="I2890" i="2"/>
  <c r="K2889" i="2"/>
  <c r="L2889" i="2" s="1"/>
  <c r="J2889" i="2"/>
  <c r="I2889" i="2"/>
  <c r="L2888" i="2"/>
  <c r="K2888" i="2"/>
  <c r="J2888" i="2"/>
  <c r="I2888" i="2"/>
  <c r="K2887" i="2"/>
  <c r="L2887" i="2" s="1"/>
  <c r="J2887" i="2"/>
  <c r="I2887" i="2"/>
  <c r="L2886" i="2"/>
  <c r="K2886" i="2"/>
  <c r="J2886" i="2"/>
  <c r="I2886" i="2"/>
  <c r="K2885" i="2"/>
  <c r="L2885" i="2" s="1"/>
  <c r="J2885" i="2"/>
  <c r="I2885" i="2"/>
  <c r="L2884" i="2"/>
  <c r="K2884" i="2"/>
  <c r="J2884" i="2"/>
  <c r="I2884" i="2"/>
  <c r="K2883" i="2"/>
  <c r="L2883" i="2" s="1"/>
  <c r="J2883" i="2"/>
  <c r="I2883" i="2"/>
  <c r="L2882" i="2"/>
  <c r="K2882" i="2"/>
  <c r="J2882" i="2"/>
  <c r="I2882" i="2"/>
  <c r="K2881" i="2"/>
  <c r="L2881" i="2" s="1"/>
  <c r="J2881" i="2"/>
  <c r="I2881" i="2"/>
  <c r="L2880" i="2"/>
  <c r="K2880" i="2"/>
  <c r="J2880" i="2"/>
  <c r="I2880" i="2"/>
  <c r="K2879" i="2"/>
  <c r="L2879" i="2" s="1"/>
  <c r="J2879" i="2"/>
  <c r="I2879" i="2"/>
  <c r="L2878" i="2"/>
  <c r="K2878" i="2"/>
  <c r="J2878" i="2"/>
  <c r="I2878" i="2"/>
  <c r="K2877" i="2"/>
  <c r="L2877" i="2" s="1"/>
  <c r="J2877" i="2"/>
  <c r="I2877" i="2"/>
  <c r="L2876" i="2"/>
  <c r="K2876" i="2"/>
  <c r="J2876" i="2"/>
  <c r="I2876" i="2"/>
  <c r="K2875" i="2"/>
  <c r="L2875" i="2" s="1"/>
  <c r="J2875" i="2"/>
  <c r="I2875" i="2"/>
  <c r="L2874" i="2"/>
  <c r="K2874" i="2"/>
  <c r="J2874" i="2"/>
  <c r="I2874" i="2"/>
  <c r="K2873" i="2"/>
  <c r="L2873" i="2" s="1"/>
  <c r="J2873" i="2"/>
  <c r="I2873" i="2"/>
  <c r="L2872" i="2"/>
  <c r="K2872" i="2"/>
  <c r="J2872" i="2"/>
  <c r="I2872" i="2"/>
  <c r="K2871" i="2"/>
  <c r="L2871" i="2" s="1"/>
  <c r="J2871" i="2"/>
  <c r="I2871" i="2"/>
  <c r="L2870" i="2"/>
  <c r="K2870" i="2"/>
  <c r="J2870" i="2"/>
  <c r="I2870" i="2"/>
  <c r="K2869" i="2"/>
  <c r="L2869" i="2" s="1"/>
  <c r="J2869" i="2"/>
  <c r="I2869" i="2"/>
  <c r="L2868" i="2"/>
  <c r="K2868" i="2"/>
  <c r="J2868" i="2"/>
  <c r="I2868" i="2"/>
  <c r="K2867" i="2"/>
  <c r="L2867" i="2" s="1"/>
  <c r="J2867" i="2"/>
  <c r="I2867" i="2"/>
  <c r="L2866" i="2"/>
  <c r="K2866" i="2"/>
  <c r="J2866" i="2"/>
  <c r="I2866" i="2"/>
  <c r="K2865" i="2"/>
  <c r="L2865" i="2" s="1"/>
  <c r="J2865" i="2"/>
  <c r="I2865" i="2"/>
  <c r="L2864" i="2"/>
  <c r="K2864" i="2"/>
  <c r="J2864" i="2"/>
  <c r="I2864" i="2"/>
  <c r="K2863" i="2"/>
  <c r="L2863" i="2" s="1"/>
  <c r="J2863" i="2"/>
  <c r="I2863" i="2"/>
  <c r="L2862" i="2"/>
  <c r="K2862" i="2"/>
  <c r="J2862" i="2"/>
  <c r="I2862" i="2"/>
  <c r="K2861" i="2"/>
  <c r="L2861" i="2" s="1"/>
  <c r="J2861" i="2"/>
  <c r="I2861" i="2"/>
  <c r="L2860" i="2"/>
  <c r="K2860" i="2"/>
  <c r="J2860" i="2"/>
  <c r="I2860" i="2"/>
  <c r="K2859" i="2"/>
  <c r="L2859" i="2" s="1"/>
  <c r="J2859" i="2"/>
  <c r="I2859" i="2"/>
  <c r="L2858" i="2"/>
  <c r="K2858" i="2"/>
  <c r="J2858" i="2"/>
  <c r="I2858" i="2"/>
  <c r="K2857" i="2"/>
  <c r="L2857" i="2" s="1"/>
  <c r="J2857" i="2"/>
  <c r="I2857" i="2"/>
  <c r="L2856" i="2"/>
  <c r="K2856" i="2"/>
  <c r="J2856" i="2"/>
  <c r="I2856" i="2"/>
  <c r="K2855" i="2"/>
  <c r="L2855" i="2" s="1"/>
  <c r="J2855" i="2"/>
  <c r="I2855" i="2"/>
  <c r="L2854" i="2"/>
  <c r="K2854" i="2"/>
  <c r="J2854" i="2"/>
  <c r="I2854" i="2"/>
  <c r="K2853" i="2"/>
  <c r="L2853" i="2" s="1"/>
  <c r="J2853" i="2"/>
  <c r="I2853" i="2"/>
  <c r="L2852" i="2"/>
  <c r="K2852" i="2"/>
  <c r="J2852" i="2"/>
  <c r="I2852" i="2"/>
  <c r="K2851" i="2"/>
  <c r="L2851" i="2" s="1"/>
  <c r="J2851" i="2"/>
  <c r="I2851" i="2"/>
  <c r="L2850" i="2"/>
  <c r="K2850" i="2"/>
  <c r="J2850" i="2"/>
  <c r="I2850" i="2"/>
  <c r="K2849" i="2"/>
  <c r="L2849" i="2" s="1"/>
  <c r="J2849" i="2"/>
  <c r="I2849" i="2"/>
  <c r="L2848" i="2"/>
  <c r="K2848" i="2"/>
  <c r="J2848" i="2"/>
  <c r="I2848" i="2"/>
  <c r="K2847" i="2"/>
  <c r="L2847" i="2" s="1"/>
  <c r="J2847" i="2"/>
  <c r="I2847" i="2"/>
  <c r="L2846" i="2"/>
  <c r="K2846" i="2"/>
  <c r="J2846" i="2"/>
  <c r="I2846" i="2"/>
  <c r="K2845" i="2"/>
  <c r="L2845" i="2" s="1"/>
  <c r="J2845" i="2"/>
  <c r="I2845" i="2"/>
  <c r="L2844" i="2"/>
  <c r="K2844" i="2"/>
  <c r="J2844" i="2"/>
  <c r="I2844" i="2"/>
  <c r="K2843" i="2"/>
  <c r="L2843" i="2" s="1"/>
  <c r="J2843" i="2"/>
  <c r="I2843" i="2"/>
  <c r="L2842" i="2"/>
  <c r="K2842" i="2"/>
  <c r="J2842" i="2"/>
  <c r="I2842" i="2"/>
  <c r="K2841" i="2"/>
  <c r="L2841" i="2" s="1"/>
  <c r="J2841" i="2"/>
  <c r="I2841" i="2"/>
  <c r="L2840" i="2"/>
  <c r="K2840" i="2"/>
  <c r="J2840" i="2"/>
  <c r="I2840" i="2"/>
  <c r="K2839" i="2"/>
  <c r="L2839" i="2" s="1"/>
  <c r="J2839" i="2"/>
  <c r="I2839" i="2"/>
  <c r="L2838" i="2"/>
  <c r="K2838" i="2"/>
  <c r="J2838" i="2"/>
  <c r="I2838" i="2"/>
  <c r="K2837" i="2"/>
  <c r="L2837" i="2" s="1"/>
  <c r="J2837" i="2"/>
  <c r="I2837" i="2"/>
  <c r="L2836" i="2"/>
  <c r="K2836" i="2"/>
  <c r="J2836" i="2"/>
  <c r="I2836" i="2"/>
  <c r="K2835" i="2"/>
  <c r="L2835" i="2" s="1"/>
  <c r="J2835" i="2"/>
  <c r="I2835" i="2"/>
  <c r="L2834" i="2"/>
  <c r="K2834" i="2"/>
  <c r="J2834" i="2"/>
  <c r="I2834" i="2"/>
  <c r="K2833" i="2"/>
  <c r="L2833" i="2" s="1"/>
  <c r="J2833" i="2"/>
  <c r="I2833" i="2"/>
  <c r="L2832" i="2"/>
  <c r="K2832" i="2"/>
  <c r="J2832" i="2"/>
  <c r="I2832" i="2"/>
  <c r="K2831" i="2"/>
  <c r="L2831" i="2" s="1"/>
  <c r="J2831" i="2"/>
  <c r="I2831" i="2"/>
  <c r="L2830" i="2"/>
  <c r="K2830" i="2"/>
  <c r="J2830" i="2"/>
  <c r="I2830" i="2"/>
  <c r="K2829" i="2"/>
  <c r="L2829" i="2" s="1"/>
  <c r="J2829" i="2"/>
  <c r="I2829" i="2"/>
  <c r="L2828" i="2"/>
  <c r="K2828" i="2"/>
  <c r="J2828" i="2"/>
  <c r="I2828" i="2"/>
  <c r="K2827" i="2"/>
  <c r="L2827" i="2" s="1"/>
  <c r="J2827" i="2"/>
  <c r="I2827" i="2"/>
  <c r="L2826" i="2"/>
  <c r="K2826" i="2"/>
  <c r="J2826" i="2"/>
  <c r="I2826" i="2"/>
  <c r="K2825" i="2"/>
  <c r="L2825" i="2" s="1"/>
  <c r="J2825" i="2"/>
  <c r="I2825" i="2"/>
  <c r="L2824" i="2"/>
  <c r="K2824" i="2"/>
  <c r="J2824" i="2"/>
  <c r="I2824" i="2"/>
  <c r="K2823" i="2"/>
  <c r="L2823" i="2" s="1"/>
  <c r="J2823" i="2"/>
  <c r="I2823" i="2"/>
  <c r="L2822" i="2"/>
  <c r="K2822" i="2"/>
  <c r="J2822" i="2"/>
  <c r="I2822" i="2"/>
  <c r="K2821" i="2"/>
  <c r="L2821" i="2" s="1"/>
  <c r="J2821" i="2"/>
  <c r="I2821" i="2"/>
  <c r="L2820" i="2"/>
  <c r="K2820" i="2"/>
  <c r="J2820" i="2"/>
  <c r="I2820" i="2"/>
  <c r="K2819" i="2"/>
  <c r="L2819" i="2" s="1"/>
  <c r="J2819" i="2"/>
  <c r="I2819" i="2"/>
  <c r="L2818" i="2"/>
  <c r="K2818" i="2"/>
  <c r="J2818" i="2"/>
  <c r="I2818" i="2"/>
  <c r="K2817" i="2"/>
  <c r="L2817" i="2" s="1"/>
  <c r="J2817" i="2"/>
  <c r="I2817" i="2"/>
  <c r="L2816" i="2"/>
  <c r="K2816" i="2"/>
  <c r="J2816" i="2"/>
  <c r="I2816" i="2"/>
  <c r="K2815" i="2"/>
  <c r="L2815" i="2" s="1"/>
  <c r="J2815" i="2"/>
  <c r="I2815" i="2"/>
  <c r="L2814" i="2"/>
  <c r="K2814" i="2"/>
  <c r="J2814" i="2"/>
  <c r="I2814" i="2"/>
  <c r="K2813" i="2"/>
  <c r="L2813" i="2" s="1"/>
  <c r="J2813" i="2"/>
  <c r="I2813" i="2"/>
  <c r="L2812" i="2"/>
  <c r="K2812" i="2"/>
  <c r="J2812" i="2"/>
  <c r="I2812" i="2"/>
  <c r="K2811" i="2"/>
  <c r="L2811" i="2" s="1"/>
  <c r="J2811" i="2"/>
  <c r="I2811" i="2"/>
  <c r="L2810" i="2"/>
  <c r="K2810" i="2"/>
  <c r="J2810" i="2"/>
  <c r="I2810" i="2"/>
  <c r="K2809" i="2"/>
  <c r="L2809" i="2" s="1"/>
  <c r="J2809" i="2"/>
  <c r="I2809" i="2"/>
  <c r="L2808" i="2"/>
  <c r="K2808" i="2"/>
  <c r="J2808" i="2"/>
  <c r="I2808" i="2"/>
  <c r="K2807" i="2"/>
  <c r="L2807" i="2" s="1"/>
  <c r="J2807" i="2"/>
  <c r="I2807" i="2"/>
  <c r="L2806" i="2"/>
  <c r="K2806" i="2"/>
  <c r="J2806" i="2"/>
  <c r="I2806" i="2"/>
  <c r="K2805" i="2"/>
  <c r="L2805" i="2" s="1"/>
  <c r="J2805" i="2"/>
  <c r="I2805" i="2"/>
  <c r="L2804" i="2"/>
  <c r="K2804" i="2"/>
  <c r="J2804" i="2"/>
  <c r="I2804" i="2"/>
  <c r="K2803" i="2"/>
  <c r="L2803" i="2" s="1"/>
  <c r="J2803" i="2"/>
  <c r="I2803" i="2"/>
  <c r="L2802" i="2"/>
  <c r="K2802" i="2"/>
  <c r="J2802" i="2"/>
  <c r="I2802" i="2"/>
  <c r="K2801" i="2"/>
  <c r="L2801" i="2" s="1"/>
  <c r="J2801" i="2"/>
  <c r="I2801" i="2"/>
  <c r="L2800" i="2"/>
  <c r="K2800" i="2"/>
  <c r="J2800" i="2"/>
  <c r="I2800" i="2"/>
  <c r="K2799" i="2"/>
  <c r="L2799" i="2" s="1"/>
  <c r="J2799" i="2"/>
  <c r="I2799" i="2"/>
  <c r="L2798" i="2"/>
  <c r="K2798" i="2"/>
  <c r="J2798" i="2"/>
  <c r="I2798" i="2"/>
  <c r="K2797" i="2"/>
  <c r="L2797" i="2" s="1"/>
  <c r="J2797" i="2"/>
  <c r="I2797" i="2"/>
  <c r="L2796" i="2"/>
  <c r="K2796" i="2"/>
  <c r="J2796" i="2"/>
  <c r="I2796" i="2"/>
  <c r="K2795" i="2"/>
  <c r="L2795" i="2" s="1"/>
  <c r="J2795" i="2"/>
  <c r="I2795" i="2"/>
  <c r="L2794" i="2"/>
  <c r="K2794" i="2"/>
  <c r="J2794" i="2"/>
  <c r="I2794" i="2"/>
  <c r="K2793" i="2"/>
  <c r="L2793" i="2" s="1"/>
  <c r="J2793" i="2"/>
  <c r="I2793" i="2"/>
  <c r="L2792" i="2"/>
  <c r="K2792" i="2"/>
  <c r="J2792" i="2"/>
  <c r="I2792" i="2"/>
  <c r="K2791" i="2"/>
  <c r="L2791" i="2" s="1"/>
  <c r="J2791" i="2"/>
  <c r="I2791" i="2"/>
  <c r="L2790" i="2"/>
  <c r="K2790" i="2"/>
  <c r="J2790" i="2"/>
  <c r="I2790" i="2"/>
  <c r="K2789" i="2"/>
  <c r="L2789" i="2" s="1"/>
  <c r="J2789" i="2"/>
  <c r="I2789" i="2"/>
  <c r="L2788" i="2"/>
  <c r="K2788" i="2"/>
  <c r="J2788" i="2"/>
  <c r="I2788" i="2"/>
  <c r="K2787" i="2"/>
  <c r="L2787" i="2" s="1"/>
  <c r="J2787" i="2"/>
  <c r="I2787" i="2"/>
  <c r="L2786" i="2"/>
  <c r="K2786" i="2"/>
  <c r="J2786" i="2"/>
  <c r="I2786" i="2"/>
  <c r="K2785" i="2"/>
  <c r="L2785" i="2" s="1"/>
  <c r="J2785" i="2"/>
  <c r="I2785" i="2"/>
  <c r="L2784" i="2"/>
  <c r="K2784" i="2"/>
  <c r="J2784" i="2"/>
  <c r="I2784" i="2"/>
  <c r="K2783" i="2"/>
  <c r="L2783" i="2" s="1"/>
  <c r="J2783" i="2"/>
  <c r="I2783" i="2"/>
  <c r="L2782" i="2"/>
  <c r="K2782" i="2"/>
  <c r="J2782" i="2"/>
  <c r="I2782" i="2"/>
  <c r="K2781" i="2"/>
  <c r="L2781" i="2" s="1"/>
  <c r="J2781" i="2"/>
  <c r="I2781" i="2"/>
  <c r="L2780" i="2"/>
  <c r="K2780" i="2"/>
  <c r="J2780" i="2"/>
  <c r="I2780" i="2"/>
  <c r="K2779" i="2"/>
  <c r="L2779" i="2" s="1"/>
  <c r="J2779" i="2"/>
  <c r="I2779" i="2"/>
  <c r="L2778" i="2"/>
  <c r="K2778" i="2"/>
  <c r="J2778" i="2"/>
  <c r="I2778" i="2"/>
  <c r="K2777" i="2"/>
  <c r="L2777" i="2" s="1"/>
  <c r="J2777" i="2"/>
  <c r="I2777" i="2"/>
  <c r="L2776" i="2"/>
  <c r="K2776" i="2"/>
  <c r="J2776" i="2"/>
  <c r="I2776" i="2"/>
  <c r="K2775" i="2"/>
  <c r="L2775" i="2" s="1"/>
  <c r="J2775" i="2"/>
  <c r="I2775" i="2"/>
  <c r="L2774" i="2"/>
  <c r="K2774" i="2"/>
  <c r="J2774" i="2"/>
  <c r="I2774" i="2"/>
  <c r="K2773" i="2"/>
  <c r="L2773" i="2" s="1"/>
  <c r="J2773" i="2"/>
  <c r="I2773" i="2"/>
  <c r="L2772" i="2"/>
  <c r="K2772" i="2"/>
  <c r="J2772" i="2"/>
  <c r="I2772" i="2"/>
  <c r="K2771" i="2"/>
  <c r="L2771" i="2" s="1"/>
  <c r="J2771" i="2"/>
  <c r="I2771" i="2"/>
  <c r="L2770" i="2"/>
  <c r="K2770" i="2"/>
  <c r="J2770" i="2"/>
  <c r="I2770" i="2"/>
  <c r="K2769" i="2"/>
  <c r="L2769" i="2" s="1"/>
  <c r="J2769" i="2"/>
  <c r="I2769" i="2"/>
  <c r="L2768" i="2"/>
  <c r="K2768" i="2"/>
  <c r="J2768" i="2"/>
  <c r="I2768" i="2"/>
  <c r="K2767" i="2"/>
  <c r="L2767" i="2" s="1"/>
  <c r="J2767" i="2"/>
  <c r="I2767" i="2"/>
  <c r="L2766" i="2"/>
  <c r="K2766" i="2"/>
  <c r="J2766" i="2"/>
  <c r="I2766" i="2"/>
  <c r="K2765" i="2"/>
  <c r="L2765" i="2" s="1"/>
  <c r="J2765" i="2"/>
  <c r="I2765" i="2"/>
  <c r="L2764" i="2"/>
  <c r="K2764" i="2"/>
  <c r="J2764" i="2"/>
  <c r="I2764" i="2"/>
  <c r="K2763" i="2"/>
  <c r="L2763" i="2" s="1"/>
  <c r="J2763" i="2"/>
  <c r="I2763" i="2"/>
  <c r="L2762" i="2"/>
  <c r="K2762" i="2"/>
  <c r="J2762" i="2"/>
  <c r="I2762" i="2"/>
  <c r="K2761" i="2"/>
  <c r="L2761" i="2" s="1"/>
  <c r="J2761" i="2"/>
  <c r="I2761" i="2"/>
  <c r="L2760" i="2"/>
  <c r="K2760" i="2"/>
  <c r="J2760" i="2"/>
  <c r="I2760" i="2"/>
  <c r="K2759" i="2"/>
  <c r="L2759" i="2" s="1"/>
  <c r="J2759" i="2"/>
  <c r="I2759" i="2"/>
  <c r="L2758" i="2"/>
  <c r="K2758" i="2"/>
  <c r="J2758" i="2"/>
  <c r="I2758" i="2"/>
  <c r="K2757" i="2"/>
  <c r="L2757" i="2" s="1"/>
  <c r="J2757" i="2"/>
  <c r="I2757" i="2"/>
  <c r="L2756" i="2"/>
  <c r="K2756" i="2"/>
  <c r="J2756" i="2"/>
  <c r="I2756" i="2"/>
  <c r="K2755" i="2"/>
  <c r="L2755" i="2" s="1"/>
  <c r="J2755" i="2"/>
  <c r="I2755" i="2"/>
  <c r="L2754" i="2"/>
  <c r="K2754" i="2"/>
  <c r="J2754" i="2"/>
  <c r="I2754" i="2"/>
  <c r="K2753" i="2"/>
  <c r="L2753" i="2" s="1"/>
  <c r="J2753" i="2"/>
  <c r="I2753" i="2"/>
  <c r="L2752" i="2"/>
  <c r="K2752" i="2"/>
  <c r="J2752" i="2"/>
  <c r="I2752" i="2"/>
  <c r="K2751" i="2"/>
  <c r="L2751" i="2" s="1"/>
  <c r="J2751" i="2"/>
  <c r="I2751" i="2"/>
  <c r="L2750" i="2"/>
  <c r="K2750" i="2"/>
  <c r="J2750" i="2"/>
  <c r="I2750" i="2"/>
  <c r="K2749" i="2"/>
  <c r="L2749" i="2" s="1"/>
  <c r="J2749" i="2"/>
  <c r="I2749" i="2"/>
  <c r="L2748" i="2"/>
  <c r="K2748" i="2"/>
  <c r="J2748" i="2"/>
  <c r="I2748" i="2"/>
  <c r="K2747" i="2"/>
  <c r="L2747" i="2" s="1"/>
  <c r="J2747" i="2"/>
  <c r="I2747" i="2"/>
  <c r="L2746" i="2"/>
  <c r="K2746" i="2"/>
  <c r="J2746" i="2"/>
  <c r="I2746" i="2"/>
  <c r="K2745" i="2"/>
  <c r="L2745" i="2" s="1"/>
  <c r="J2745" i="2"/>
  <c r="I2745" i="2"/>
  <c r="L2744" i="2"/>
  <c r="K2744" i="2"/>
  <c r="J2744" i="2"/>
  <c r="I2744" i="2"/>
  <c r="K2743" i="2"/>
  <c r="L2743" i="2" s="1"/>
  <c r="J2743" i="2"/>
  <c r="I2743" i="2"/>
  <c r="L2742" i="2"/>
  <c r="K2742" i="2"/>
  <c r="J2742" i="2"/>
  <c r="I2742" i="2"/>
  <c r="K2741" i="2"/>
  <c r="L2741" i="2" s="1"/>
  <c r="J2741" i="2"/>
  <c r="I2741" i="2"/>
  <c r="L2740" i="2"/>
  <c r="K2740" i="2"/>
  <c r="J2740" i="2"/>
  <c r="I2740" i="2"/>
  <c r="K2739" i="2"/>
  <c r="L2739" i="2" s="1"/>
  <c r="J2739" i="2"/>
  <c r="I2739" i="2"/>
  <c r="L2738" i="2"/>
  <c r="K2738" i="2"/>
  <c r="J2738" i="2"/>
  <c r="I2738" i="2"/>
  <c r="K2737" i="2"/>
  <c r="L2737" i="2" s="1"/>
  <c r="J2737" i="2"/>
  <c r="I2737" i="2"/>
  <c r="L2736" i="2"/>
  <c r="K2736" i="2"/>
  <c r="J2736" i="2"/>
  <c r="I2736" i="2"/>
  <c r="K2735" i="2"/>
  <c r="L2735" i="2" s="1"/>
  <c r="J2735" i="2"/>
  <c r="I2735" i="2"/>
  <c r="L2734" i="2"/>
  <c r="K2734" i="2"/>
  <c r="J2734" i="2"/>
  <c r="I2734" i="2"/>
  <c r="K2733" i="2"/>
  <c r="L2733" i="2" s="1"/>
  <c r="J2733" i="2"/>
  <c r="I2733" i="2"/>
  <c r="L2732" i="2"/>
  <c r="K2732" i="2"/>
  <c r="J2732" i="2"/>
  <c r="I2732" i="2"/>
  <c r="K2731" i="2"/>
  <c r="L2731" i="2" s="1"/>
  <c r="J2731" i="2"/>
  <c r="I2731" i="2"/>
  <c r="L2730" i="2"/>
  <c r="K2730" i="2"/>
  <c r="J2730" i="2"/>
  <c r="I2730" i="2"/>
  <c r="K2729" i="2"/>
  <c r="L2729" i="2" s="1"/>
  <c r="J2729" i="2"/>
  <c r="I2729" i="2"/>
  <c r="L2728" i="2"/>
  <c r="K2728" i="2"/>
  <c r="J2728" i="2"/>
  <c r="I2728" i="2"/>
  <c r="K2727" i="2"/>
  <c r="L2727" i="2" s="1"/>
  <c r="J2727" i="2"/>
  <c r="I2727" i="2"/>
  <c r="L2726" i="2"/>
  <c r="K2726" i="2"/>
  <c r="J2726" i="2"/>
  <c r="I2726" i="2"/>
  <c r="K2725" i="2"/>
  <c r="L2725" i="2" s="1"/>
  <c r="J2725" i="2"/>
  <c r="I2725" i="2"/>
  <c r="L2724" i="2"/>
  <c r="K2724" i="2"/>
  <c r="J2724" i="2"/>
  <c r="I2724" i="2"/>
  <c r="K2723" i="2"/>
  <c r="L2723" i="2" s="1"/>
  <c r="J2723" i="2"/>
  <c r="I2723" i="2"/>
  <c r="L2722" i="2"/>
  <c r="K2722" i="2"/>
  <c r="J2722" i="2"/>
  <c r="I2722" i="2"/>
  <c r="K2721" i="2"/>
  <c r="L2721" i="2" s="1"/>
  <c r="J2721" i="2"/>
  <c r="I2721" i="2"/>
  <c r="L2720" i="2"/>
  <c r="K2720" i="2"/>
  <c r="J2720" i="2"/>
  <c r="I2720" i="2"/>
  <c r="K2719" i="2"/>
  <c r="L2719" i="2" s="1"/>
  <c r="J2719" i="2"/>
  <c r="I2719" i="2"/>
  <c r="L2718" i="2"/>
  <c r="K2718" i="2"/>
  <c r="J2718" i="2"/>
  <c r="I2718" i="2"/>
  <c r="K2717" i="2"/>
  <c r="L2717" i="2" s="1"/>
  <c r="J2717" i="2"/>
  <c r="I2717" i="2"/>
  <c r="L2716" i="2"/>
  <c r="K2716" i="2"/>
  <c r="J2716" i="2"/>
  <c r="I2716" i="2"/>
  <c r="K2715" i="2"/>
  <c r="L2715" i="2" s="1"/>
  <c r="J2715" i="2"/>
  <c r="I2715" i="2"/>
  <c r="L2714" i="2"/>
  <c r="K2714" i="2"/>
  <c r="J2714" i="2"/>
  <c r="I2714" i="2"/>
  <c r="K2713" i="2"/>
  <c r="L2713" i="2" s="1"/>
  <c r="J2713" i="2"/>
  <c r="I2713" i="2"/>
  <c r="L2712" i="2"/>
  <c r="K2712" i="2"/>
  <c r="J2712" i="2"/>
  <c r="I2712" i="2"/>
  <c r="K2711" i="2"/>
  <c r="L2711" i="2" s="1"/>
  <c r="J2711" i="2"/>
  <c r="I2711" i="2"/>
  <c r="L2710" i="2"/>
  <c r="K2710" i="2"/>
  <c r="J2710" i="2"/>
  <c r="I2710" i="2"/>
  <c r="K2709" i="2"/>
  <c r="L2709" i="2" s="1"/>
  <c r="J2709" i="2"/>
  <c r="I2709" i="2"/>
  <c r="L2708" i="2"/>
  <c r="K2708" i="2"/>
  <c r="J2708" i="2"/>
  <c r="I2708" i="2"/>
  <c r="K2707" i="2"/>
  <c r="L2707" i="2" s="1"/>
  <c r="J2707" i="2"/>
  <c r="I2707" i="2"/>
  <c r="L2706" i="2"/>
  <c r="K2706" i="2"/>
  <c r="J2706" i="2"/>
  <c r="I2706" i="2"/>
  <c r="K2705" i="2"/>
  <c r="L2705" i="2" s="1"/>
  <c r="J2705" i="2"/>
  <c r="I2705" i="2"/>
  <c r="L2704" i="2"/>
  <c r="K2704" i="2"/>
  <c r="J2704" i="2"/>
  <c r="I2704" i="2"/>
  <c r="K2703" i="2"/>
  <c r="L2703" i="2" s="1"/>
  <c r="J2703" i="2"/>
  <c r="I2703" i="2"/>
  <c r="L2702" i="2"/>
  <c r="K2702" i="2"/>
  <c r="J2702" i="2"/>
  <c r="I2702" i="2"/>
  <c r="K2701" i="2"/>
  <c r="L2701" i="2" s="1"/>
  <c r="J2701" i="2"/>
  <c r="I2701" i="2"/>
  <c r="L2700" i="2"/>
  <c r="K2700" i="2"/>
  <c r="J2700" i="2"/>
  <c r="I2700" i="2"/>
  <c r="K2699" i="2"/>
  <c r="L2699" i="2" s="1"/>
  <c r="J2699" i="2"/>
  <c r="I2699" i="2"/>
  <c r="L2698" i="2"/>
  <c r="K2698" i="2"/>
  <c r="J2698" i="2"/>
  <c r="I2698" i="2"/>
  <c r="K2697" i="2"/>
  <c r="L2697" i="2" s="1"/>
  <c r="J2697" i="2"/>
  <c r="I2697" i="2"/>
  <c r="L2696" i="2"/>
  <c r="K2696" i="2"/>
  <c r="J2696" i="2"/>
  <c r="I2696" i="2"/>
  <c r="K2695" i="2"/>
  <c r="L2695" i="2" s="1"/>
  <c r="J2695" i="2"/>
  <c r="I2695" i="2"/>
  <c r="L2694" i="2"/>
  <c r="K2694" i="2"/>
  <c r="J2694" i="2"/>
  <c r="I2694" i="2"/>
  <c r="K2693" i="2"/>
  <c r="L2693" i="2" s="1"/>
  <c r="J2693" i="2"/>
  <c r="I2693" i="2"/>
  <c r="L2692" i="2"/>
  <c r="K2692" i="2"/>
  <c r="J2692" i="2"/>
  <c r="I2692" i="2"/>
  <c r="K2691" i="2"/>
  <c r="L2691" i="2" s="1"/>
  <c r="J2691" i="2"/>
  <c r="I2691" i="2"/>
  <c r="L2690" i="2"/>
  <c r="K2690" i="2"/>
  <c r="J2690" i="2"/>
  <c r="I2690" i="2"/>
  <c r="K2689" i="2"/>
  <c r="L2689" i="2" s="1"/>
  <c r="J2689" i="2"/>
  <c r="I2689" i="2"/>
  <c r="L2688" i="2"/>
  <c r="K2688" i="2"/>
  <c r="J2688" i="2"/>
  <c r="I2688" i="2"/>
  <c r="K2687" i="2"/>
  <c r="L2687" i="2" s="1"/>
  <c r="J2687" i="2"/>
  <c r="I2687" i="2"/>
  <c r="L2686" i="2"/>
  <c r="K2686" i="2"/>
  <c r="J2686" i="2"/>
  <c r="I2686" i="2"/>
  <c r="K2685" i="2"/>
  <c r="L2685" i="2" s="1"/>
  <c r="J2685" i="2"/>
  <c r="I2685" i="2"/>
  <c r="L2684" i="2"/>
  <c r="K2684" i="2"/>
  <c r="J2684" i="2"/>
  <c r="I2684" i="2"/>
  <c r="K2683" i="2"/>
  <c r="L2683" i="2" s="1"/>
  <c r="J2683" i="2"/>
  <c r="I2683" i="2"/>
  <c r="L2682" i="2"/>
  <c r="K2682" i="2"/>
  <c r="J2682" i="2"/>
  <c r="I2682" i="2"/>
  <c r="K2681" i="2"/>
  <c r="L2681" i="2" s="1"/>
  <c r="J2681" i="2"/>
  <c r="I2681" i="2"/>
  <c r="L2680" i="2"/>
  <c r="K2680" i="2"/>
  <c r="J2680" i="2"/>
  <c r="I2680" i="2"/>
  <c r="K2679" i="2"/>
  <c r="L2679" i="2" s="1"/>
  <c r="J2679" i="2"/>
  <c r="I2679" i="2"/>
  <c r="L2678" i="2"/>
  <c r="K2678" i="2"/>
  <c r="J2678" i="2"/>
  <c r="I2678" i="2"/>
  <c r="K2677" i="2"/>
  <c r="L2677" i="2" s="1"/>
  <c r="J2677" i="2"/>
  <c r="I2677" i="2"/>
  <c r="L2676" i="2"/>
  <c r="K2676" i="2"/>
  <c r="J2676" i="2"/>
  <c r="I2676" i="2"/>
  <c r="K2675" i="2"/>
  <c r="L2675" i="2" s="1"/>
  <c r="J2675" i="2"/>
  <c r="I2675" i="2"/>
  <c r="L2674" i="2"/>
  <c r="K2674" i="2"/>
  <c r="J2674" i="2"/>
  <c r="I2674" i="2"/>
  <c r="K2673" i="2"/>
  <c r="L2673" i="2" s="1"/>
  <c r="J2673" i="2"/>
  <c r="I2673" i="2"/>
  <c r="L2672" i="2"/>
  <c r="K2672" i="2"/>
  <c r="J2672" i="2"/>
  <c r="I2672" i="2"/>
  <c r="K2671" i="2"/>
  <c r="L2671" i="2" s="1"/>
  <c r="J2671" i="2"/>
  <c r="I2671" i="2"/>
  <c r="L2670" i="2"/>
  <c r="K2670" i="2"/>
  <c r="J2670" i="2"/>
  <c r="I2670" i="2"/>
  <c r="K2669" i="2"/>
  <c r="L2669" i="2" s="1"/>
  <c r="J2669" i="2"/>
  <c r="I2669" i="2"/>
  <c r="L2668" i="2"/>
  <c r="K2668" i="2"/>
  <c r="J2668" i="2"/>
  <c r="I2668" i="2"/>
  <c r="K2667" i="2"/>
  <c r="L2667" i="2" s="1"/>
  <c r="J2667" i="2"/>
  <c r="I2667" i="2"/>
  <c r="L2666" i="2"/>
  <c r="K2666" i="2"/>
  <c r="J2666" i="2"/>
  <c r="I2666" i="2"/>
  <c r="K2665" i="2"/>
  <c r="L2665" i="2" s="1"/>
  <c r="J2665" i="2"/>
  <c r="I2665" i="2"/>
  <c r="L2664" i="2"/>
  <c r="K2664" i="2"/>
  <c r="J2664" i="2"/>
  <c r="I2664" i="2"/>
  <c r="K2663" i="2"/>
  <c r="L2663" i="2" s="1"/>
  <c r="J2663" i="2"/>
  <c r="I2663" i="2"/>
  <c r="L2662" i="2"/>
  <c r="K2662" i="2"/>
  <c r="J2662" i="2"/>
  <c r="I2662" i="2"/>
  <c r="K2661" i="2"/>
  <c r="L2661" i="2" s="1"/>
  <c r="J2661" i="2"/>
  <c r="I2661" i="2"/>
  <c r="L2660" i="2"/>
  <c r="K2660" i="2"/>
  <c r="J2660" i="2"/>
  <c r="I2660" i="2"/>
  <c r="K2659" i="2"/>
  <c r="L2659" i="2" s="1"/>
  <c r="J2659" i="2"/>
  <c r="I2659" i="2"/>
  <c r="L2658" i="2"/>
  <c r="K2658" i="2"/>
  <c r="J2658" i="2"/>
  <c r="I2658" i="2"/>
  <c r="K2657" i="2"/>
  <c r="L2657" i="2" s="1"/>
  <c r="J2657" i="2"/>
  <c r="I2657" i="2"/>
  <c r="L2656" i="2"/>
  <c r="K2656" i="2"/>
  <c r="J2656" i="2"/>
  <c r="I2656" i="2"/>
  <c r="K2655" i="2"/>
  <c r="L2655" i="2" s="1"/>
  <c r="J2655" i="2"/>
  <c r="I2655" i="2"/>
  <c r="L2654" i="2"/>
  <c r="K2654" i="2"/>
  <c r="J2654" i="2"/>
  <c r="I2654" i="2"/>
  <c r="K2653" i="2"/>
  <c r="L2653" i="2" s="1"/>
  <c r="J2653" i="2"/>
  <c r="I2653" i="2"/>
  <c r="L2652" i="2"/>
  <c r="K2652" i="2"/>
  <c r="J2652" i="2"/>
  <c r="I2652" i="2"/>
  <c r="K2651" i="2"/>
  <c r="L2651" i="2" s="1"/>
  <c r="J2651" i="2"/>
  <c r="I2651" i="2"/>
  <c r="L2650" i="2"/>
  <c r="K2650" i="2"/>
  <c r="J2650" i="2"/>
  <c r="I2650" i="2"/>
  <c r="K2649" i="2"/>
  <c r="L2649" i="2" s="1"/>
  <c r="J2649" i="2"/>
  <c r="I2649" i="2"/>
  <c r="L2648" i="2"/>
  <c r="K2648" i="2"/>
  <c r="J2648" i="2"/>
  <c r="I2648" i="2"/>
  <c r="K2647" i="2"/>
  <c r="L2647" i="2" s="1"/>
  <c r="J2647" i="2"/>
  <c r="I2647" i="2"/>
  <c r="L2646" i="2"/>
  <c r="K2646" i="2"/>
  <c r="J2646" i="2"/>
  <c r="I2646" i="2"/>
  <c r="K2645" i="2"/>
  <c r="L2645" i="2" s="1"/>
  <c r="J2645" i="2"/>
  <c r="I2645" i="2"/>
  <c r="L2644" i="2"/>
  <c r="K2644" i="2"/>
  <c r="J2644" i="2"/>
  <c r="I2644" i="2"/>
  <c r="K2643" i="2"/>
  <c r="L2643" i="2" s="1"/>
  <c r="J2643" i="2"/>
  <c r="I2643" i="2"/>
  <c r="L2642" i="2"/>
  <c r="K2642" i="2"/>
  <c r="J2642" i="2"/>
  <c r="I2642" i="2"/>
  <c r="K2641" i="2"/>
  <c r="L2641" i="2" s="1"/>
  <c r="J2641" i="2"/>
  <c r="I2641" i="2"/>
  <c r="L2640" i="2"/>
  <c r="K2640" i="2"/>
  <c r="J2640" i="2"/>
  <c r="I2640" i="2"/>
  <c r="K2639" i="2"/>
  <c r="L2639" i="2" s="1"/>
  <c r="J2639" i="2"/>
  <c r="I2639" i="2"/>
  <c r="L2638" i="2"/>
  <c r="K2638" i="2"/>
  <c r="J2638" i="2"/>
  <c r="I2638" i="2"/>
  <c r="K2637" i="2"/>
  <c r="L2637" i="2" s="1"/>
  <c r="J2637" i="2"/>
  <c r="I2637" i="2"/>
  <c r="L2636" i="2"/>
  <c r="K2636" i="2"/>
  <c r="J2636" i="2"/>
  <c r="I2636" i="2"/>
  <c r="K2635" i="2"/>
  <c r="L2635" i="2" s="1"/>
  <c r="J2635" i="2"/>
  <c r="I2635" i="2"/>
  <c r="L2634" i="2"/>
  <c r="K2634" i="2"/>
  <c r="J2634" i="2"/>
  <c r="I2634" i="2"/>
  <c r="K2633" i="2"/>
  <c r="L2633" i="2" s="1"/>
  <c r="J2633" i="2"/>
  <c r="I2633" i="2"/>
  <c r="L2632" i="2"/>
  <c r="K2632" i="2"/>
  <c r="J2632" i="2"/>
  <c r="I2632" i="2"/>
  <c r="K2631" i="2"/>
  <c r="L2631" i="2" s="1"/>
  <c r="J2631" i="2"/>
  <c r="I2631" i="2"/>
  <c r="L2630" i="2"/>
  <c r="K2630" i="2"/>
  <c r="J2630" i="2"/>
  <c r="I2630" i="2"/>
  <c r="K2629" i="2"/>
  <c r="L2629" i="2" s="1"/>
  <c r="J2629" i="2"/>
  <c r="I2629" i="2"/>
  <c r="L2628" i="2"/>
  <c r="K2628" i="2"/>
  <c r="J2628" i="2"/>
  <c r="I2628" i="2"/>
  <c r="K2627" i="2"/>
  <c r="L2627" i="2" s="1"/>
  <c r="J2627" i="2"/>
  <c r="I2627" i="2"/>
  <c r="L2626" i="2"/>
  <c r="K2626" i="2"/>
  <c r="J2626" i="2"/>
  <c r="I2626" i="2"/>
  <c r="K2625" i="2"/>
  <c r="L2625" i="2" s="1"/>
  <c r="J2625" i="2"/>
  <c r="I2625" i="2"/>
  <c r="L2624" i="2"/>
  <c r="K2624" i="2"/>
  <c r="J2624" i="2"/>
  <c r="I2624" i="2"/>
  <c r="K2623" i="2"/>
  <c r="L2623" i="2" s="1"/>
  <c r="J2623" i="2"/>
  <c r="I2623" i="2"/>
  <c r="L2622" i="2"/>
  <c r="K2622" i="2"/>
  <c r="J2622" i="2"/>
  <c r="I2622" i="2"/>
  <c r="K2621" i="2"/>
  <c r="L2621" i="2" s="1"/>
  <c r="J2621" i="2"/>
  <c r="I2621" i="2"/>
  <c r="L2620" i="2"/>
  <c r="K2620" i="2"/>
  <c r="J2620" i="2"/>
  <c r="I2620" i="2"/>
  <c r="K2619" i="2"/>
  <c r="L2619" i="2" s="1"/>
  <c r="J2619" i="2"/>
  <c r="I2619" i="2"/>
  <c r="L2618" i="2"/>
  <c r="K2618" i="2"/>
  <c r="J2618" i="2"/>
  <c r="I2618" i="2"/>
  <c r="K2617" i="2"/>
  <c r="L2617" i="2" s="1"/>
  <c r="J2617" i="2"/>
  <c r="I2617" i="2"/>
  <c r="L2616" i="2"/>
  <c r="K2616" i="2"/>
  <c r="J2616" i="2"/>
  <c r="I2616" i="2"/>
  <c r="K2615" i="2"/>
  <c r="L2615" i="2" s="1"/>
  <c r="J2615" i="2"/>
  <c r="I2615" i="2"/>
  <c r="L2614" i="2"/>
  <c r="K2614" i="2"/>
  <c r="J2614" i="2"/>
  <c r="I2614" i="2"/>
  <c r="K2613" i="2"/>
  <c r="L2613" i="2" s="1"/>
  <c r="J2613" i="2"/>
  <c r="I2613" i="2"/>
  <c r="L2612" i="2"/>
  <c r="K2612" i="2"/>
  <c r="J2612" i="2"/>
  <c r="I2612" i="2"/>
  <c r="K2611" i="2"/>
  <c r="L2611" i="2" s="1"/>
  <c r="J2611" i="2"/>
  <c r="I2611" i="2"/>
  <c r="L2610" i="2"/>
  <c r="K2610" i="2"/>
  <c r="J2610" i="2"/>
  <c r="I2610" i="2"/>
  <c r="K2609" i="2"/>
  <c r="L2609" i="2" s="1"/>
  <c r="J2609" i="2"/>
  <c r="I2609" i="2"/>
  <c r="L2608" i="2"/>
  <c r="K2608" i="2"/>
  <c r="J2608" i="2"/>
  <c r="I2608" i="2"/>
  <c r="K2607" i="2"/>
  <c r="L2607" i="2" s="1"/>
  <c r="J2607" i="2"/>
  <c r="I2607" i="2"/>
  <c r="L2606" i="2"/>
  <c r="K2606" i="2"/>
  <c r="J2606" i="2"/>
  <c r="I2606" i="2"/>
  <c r="K2605" i="2"/>
  <c r="L2605" i="2" s="1"/>
  <c r="J2605" i="2"/>
  <c r="I2605" i="2"/>
  <c r="L2604" i="2"/>
  <c r="K2604" i="2"/>
  <c r="J2604" i="2"/>
  <c r="I2604" i="2"/>
  <c r="K2603" i="2"/>
  <c r="L2603" i="2" s="1"/>
  <c r="J2603" i="2"/>
  <c r="I2603" i="2"/>
  <c r="L2602" i="2"/>
  <c r="K2602" i="2"/>
  <c r="J2602" i="2"/>
  <c r="I2602" i="2"/>
  <c r="K2601" i="2"/>
  <c r="L2601" i="2" s="1"/>
  <c r="J2601" i="2"/>
  <c r="I2601" i="2"/>
  <c r="L2600" i="2"/>
  <c r="K2600" i="2"/>
  <c r="J2600" i="2"/>
  <c r="I2600" i="2"/>
  <c r="K2599" i="2"/>
  <c r="L2599" i="2" s="1"/>
  <c r="J2599" i="2"/>
  <c r="I2599" i="2"/>
  <c r="L2598" i="2"/>
  <c r="K2598" i="2"/>
  <c r="J2598" i="2"/>
  <c r="I2598" i="2"/>
  <c r="K2597" i="2"/>
  <c r="L2597" i="2" s="1"/>
  <c r="J2597" i="2"/>
  <c r="I2597" i="2"/>
  <c r="L2596" i="2"/>
  <c r="K2596" i="2"/>
  <c r="J2596" i="2"/>
  <c r="I2596" i="2"/>
  <c r="K2595" i="2"/>
  <c r="L2595" i="2" s="1"/>
  <c r="J2595" i="2"/>
  <c r="I2595" i="2"/>
  <c r="L2594" i="2"/>
  <c r="K2594" i="2"/>
  <c r="J2594" i="2"/>
  <c r="I2594" i="2"/>
  <c r="K2593" i="2"/>
  <c r="L2593" i="2" s="1"/>
  <c r="J2593" i="2"/>
  <c r="I2593" i="2"/>
  <c r="L2592" i="2"/>
  <c r="K2592" i="2"/>
  <c r="J2592" i="2"/>
  <c r="I2592" i="2"/>
  <c r="K2591" i="2"/>
  <c r="L2591" i="2" s="1"/>
  <c r="J2591" i="2"/>
  <c r="I2591" i="2"/>
  <c r="L2590" i="2"/>
  <c r="K2590" i="2"/>
  <c r="J2590" i="2"/>
  <c r="I2590" i="2"/>
  <c r="K2589" i="2"/>
  <c r="L2589" i="2" s="1"/>
  <c r="J2589" i="2"/>
  <c r="I2589" i="2"/>
  <c r="L2588" i="2"/>
  <c r="K2588" i="2"/>
  <c r="J2588" i="2"/>
  <c r="I2588" i="2"/>
  <c r="K2587" i="2"/>
  <c r="L2587" i="2" s="1"/>
  <c r="J2587" i="2"/>
  <c r="I2587" i="2"/>
  <c r="L2586" i="2"/>
  <c r="K2586" i="2"/>
  <c r="J2586" i="2"/>
  <c r="I2586" i="2"/>
  <c r="K2585" i="2"/>
  <c r="L2585" i="2" s="1"/>
  <c r="J2585" i="2"/>
  <c r="I2585" i="2"/>
  <c r="L2584" i="2"/>
  <c r="K2584" i="2"/>
  <c r="J2584" i="2"/>
  <c r="I2584" i="2"/>
  <c r="K2583" i="2"/>
  <c r="L2583" i="2" s="1"/>
  <c r="J2583" i="2"/>
  <c r="I2583" i="2"/>
  <c r="L2582" i="2"/>
  <c r="K2582" i="2"/>
  <c r="J2582" i="2"/>
  <c r="I2582" i="2"/>
  <c r="K2581" i="2"/>
  <c r="L2581" i="2" s="1"/>
  <c r="J2581" i="2"/>
  <c r="I2581" i="2"/>
  <c r="L2580" i="2"/>
  <c r="K2580" i="2"/>
  <c r="J2580" i="2"/>
  <c r="I2580" i="2"/>
  <c r="K2579" i="2"/>
  <c r="L2579" i="2" s="1"/>
  <c r="J2579" i="2"/>
  <c r="I2579" i="2"/>
  <c r="L2578" i="2"/>
  <c r="K2578" i="2"/>
  <c r="J2578" i="2"/>
  <c r="I2578" i="2"/>
  <c r="K2577" i="2"/>
  <c r="L2577" i="2" s="1"/>
  <c r="J2577" i="2"/>
  <c r="I2577" i="2"/>
  <c r="L2576" i="2"/>
  <c r="K2576" i="2"/>
  <c r="J2576" i="2"/>
  <c r="I2576" i="2"/>
  <c r="K2575" i="2"/>
  <c r="L2575" i="2" s="1"/>
  <c r="J2575" i="2"/>
  <c r="I2575" i="2"/>
  <c r="L2574" i="2"/>
  <c r="K2574" i="2"/>
  <c r="J2574" i="2"/>
  <c r="I2574" i="2"/>
  <c r="K2573" i="2"/>
  <c r="L2573" i="2" s="1"/>
  <c r="J2573" i="2"/>
  <c r="I2573" i="2"/>
  <c r="L2572" i="2"/>
  <c r="K2572" i="2"/>
  <c r="J2572" i="2"/>
  <c r="I2572" i="2"/>
  <c r="K2571" i="2"/>
  <c r="L2571" i="2" s="1"/>
  <c r="J2571" i="2"/>
  <c r="I2571" i="2"/>
  <c r="L2570" i="2"/>
  <c r="K2570" i="2"/>
  <c r="J2570" i="2"/>
  <c r="I2570" i="2"/>
  <c r="K2569" i="2"/>
  <c r="L2569" i="2" s="1"/>
  <c r="J2569" i="2"/>
  <c r="I2569" i="2"/>
  <c r="L2568" i="2"/>
  <c r="K2568" i="2"/>
  <c r="J2568" i="2"/>
  <c r="I2568" i="2"/>
  <c r="K2567" i="2"/>
  <c r="L2567" i="2" s="1"/>
  <c r="J2567" i="2"/>
  <c r="I2567" i="2"/>
  <c r="L2566" i="2"/>
  <c r="K2566" i="2"/>
  <c r="J2566" i="2"/>
  <c r="I2566" i="2"/>
  <c r="K2565" i="2"/>
  <c r="L2565" i="2" s="1"/>
  <c r="J2565" i="2"/>
  <c r="I2565" i="2"/>
  <c r="L2564" i="2"/>
  <c r="K2564" i="2"/>
  <c r="J2564" i="2"/>
  <c r="I2564" i="2"/>
  <c r="K2563" i="2"/>
  <c r="L2563" i="2" s="1"/>
  <c r="J2563" i="2"/>
  <c r="I2563" i="2"/>
  <c r="L2562" i="2"/>
  <c r="K2562" i="2"/>
  <c r="J2562" i="2"/>
  <c r="I2562" i="2"/>
  <c r="K2561" i="2"/>
  <c r="L2561" i="2" s="1"/>
  <c r="J2561" i="2"/>
  <c r="I2561" i="2"/>
  <c r="L2560" i="2"/>
  <c r="K2560" i="2"/>
  <c r="J2560" i="2"/>
  <c r="I2560" i="2"/>
  <c r="K2559" i="2"/>
  <c r="L2559" i="2" s="1"/>
  <c r="J2559" i="2"/>
  <c r="I2559" i="2"/>
  <c r="L2558" i="2"/>
  <c r="K2558" i="2"/>
  <c r="J2558" i="2"/>
  <c r="I2558" i="2"/>
  <c r="K2557" i="2"/>
  <c r="L2557" i="2" s="1"/>
  <c r="J2557" i="2"/>
  <c r="I2557" i="2"/>
  <c r="L2556" i="2"/>
  <c r="K2556" i="2"/>
  <c r="J2556" i="2"/>
  <c r="I2556" i="2"/>
  <c r="K2555" i="2"/>
  <c r="L2555" i="2" s="1"/>
  <c r="J2555" i="2"/>
  <c r="I2555" i="2"/>
  <c r="L2554" i="2"/>
  <c r="K2554" i="2"/>
  <c r="J2554" i="2"/>
  <c r="I2554" i="2"/>
  <c r="K2553" i="2"/>
  <c r="L2553" i="2" s="1"/>
  <c r="J2553" i="2"/>
  <c r="I2553" i="2"/>
  <c r="L2552" i="2"/>
  <c r="K2552" i="2"/>
  <c r="J2552" i="2"/>
  <c r="I2552" i="2"/>
  <c r="K2551" i="2"/>
  <c r="L2551" i="2" s="1"/>
  <c r="J2551" i="2"/>
  <c r="I2551" i="2"/>
  <c r="L2550" i="2"/>
  <c r="K2550" i="2"/>
  <c r="J2550" i="2"/>
  <c r="I2550" i="2"/>
  <c r="K2549" i="2"/>
  <c r="L2549" i="2" s="1"/>
  <c r="J2549" i="2"/>
  <c r="I2549" i="2"/>
  <c r="L2548" i="2"/>
  <c r="K2548" i="2"/>
  <c r="J2548" i="2"/>
  <c r="I2548" i="2"/>
  <c r="K2547" i="2"/>
  <c r="L2547" i="2" s="1"/>
  <c r="J2547" i="2"/>
  <c r="I2547" i="2"/>
  <c r="L2546" i="2"/>
  <c r="K2546" i="2"/>
  <c r="J2546" i="2"/>
  <c r="I2546" i="2"/>
  <c r="K2545" i="2"/>
  <c r="L2545" i="2" s="1"/>
  <c r="J2545" i="2"/>
  <c r="I2545" i="2"/>
  <c r="L2544" i="2"/>
  <c r="K2544" i="2"/>
  <c r="J2544" i="2"/>
  <c r="I2544" i="2"/>
  <c r="K2543" i="2"/>
  <c r="L2543" i="2" s="1"/>
  <c r="J2543" i="2"/>
  <c r="I2543" i="2"/>
  <c r="L2542" i="2"/>
  <c r="K2542" i="2"/>
  <c r="J2542" i="2"/>
  <c r="I2542" i="2"/>
  <c r="K2541" i="2"/>
  <c r="L2541" i="2" s="1"/>
  <c r="J2541" i="2"/>
  <c r="I2541" i="2"/>
  <c r="L2540" i="2"/>
  <c r="K2540" i="2"/>
  <c r="J2540" i="2"/>
  <c r="I2540" i="2"/>
  <c r="K2539" i="2"/>
  <c r="L2539" i="2" s="1"/>
  <c r="J2539" i="2"/>
  <c r="I2539" i="2"/>
  <c r="L2538" i="2"/>
  <c r="K2538" i="2"/>
  <c r="J2538" i="2"/>
  <c r="I2538" i="2"/>
  <c r="K2537" i="2"/>
  <c r="L2537" i="2" s="1"/>
  <c r="J2537" i="2"/>
  <c r="I2537" i="2"/>
  <c r="L2536" i="2"/>
  <c r="K2536" i="2"/>
  <c r="J2536" i="2"/>
  <c r="I2536" i="2"/>
  <c r="K2535" i="2"/>
  <c r="L2535" i="2" s="1"/>
  <c r="J2535" i="2"/>
  <c r="I2535" i="2"/>
  <c r="L2534" i="2"/>
  <c r="K2534" i="2"/>
  <c r="J2534" i="2"/>
  <c r="I2534" i="2"/>
  <c r="K2533" i="2"/>
  <c r="L2533" i="2" s="1"/>
  <c r="J2533" i="2"/>
  <c r="I2533" i="2"/>
  <c r="L2532" i="2"/>
  <c r="K2532" i="2"/>
  <c r="J2532" i="2"/>
  <c r="I2532" i="2"/>
  <c r="K2531" i="2"/>
  <c r="L2531" i="2" s="1"/>
  <c r="J2531" i="2"/>
  <c r="I2531" i="2"/>
  <c r="L2530" i="2"/>
  <c r="K2530" i="2"/>
  <c r="J2530" i="2"/>
  <c r="I2530" i="2"/>
  <c r="K2529" i="2"/>
  <c r="L2529" i="2" s="1"/>
  <c r="J2529" i="2"/>
  <c r="I2529" i="2"/>
  <c r="L2528" i="2"/>
  <c r="K2528" i="2"/>
  <c r="J2528" i="2"/>
  <c r="I2528" i="2"/>
  <c r="K2527" i="2"/>
  <c r="L2527" i="2" s="1"/>
  <c r="J2527" i="2"/>
  <c r="I2527" i="2"/>
  <c r="L2526" i="2"/>
  <c r="K2526" i="2"/>
  <c r="J2526" i="2"/>
  <c r="I2526" i="2"/>
  <c r="K2525" i="2"/>
  <c r="L2525" i="2" s="1"/>
  <c r="J2525" i="2"/>
  <c r="I2525" i="2"/>
  <c r="L2524" i="2"/>
  <c r="K2524" i="2"/>
  <c r="J2524" i="2"/>
  <c r="I2524" i="2"/>
  <c r="K2523" i="2"/>
  <c r="L2523" i="2" s="1"/>
  <c r="J2523" i="2"/>
  <c r="I2523" i="2"/>
  <c r="L2522" i="2"/>
  <c r="K2522" i="2"/>
  <c r="J2522" i="2"/>
  <c r="I2522" i="2"/>
  <c r="K2521" i="2"/>
  <c r="L2521" i="2" s="1"/>
  <c r="J2521" i="2"/>
  <c r="I2521" i="2"/>
  <c r="L2520" i="2"/>
  <c r="K2520" i="2"/>
  <c r="J2520" i="2"/>
  <c r="I2520" i="2"/>
  <c r="K2519" i="2"/>
  <c r="L2519" i="2" s="1"/>
  <c r="J2519" i="2"/>
  <c r="I2519" i="2"/>
  <c r="L2518" i="2"/>
  <c r="K2518" i="2"/>
  <c r="J2518" i="2"/>
  <c r="I2518" i="2"/>
  <c r="K2517" i="2"/>
  <c r="L2517" i="2" s="1"/>
  <c r="J2517" i="2"/>
  <c r="I2517" i="2"/>
  <c r="L2516" i="2"/>
  <c r="K2516" i="2"/>
  <c r="J2516" i="2"/>
  <c r="I2516" i="2"/>
  <c r="K2515" i="2"/>
  <c r="L2515" i="2" s="1"/>
  <c r="J2515" i="2"/>
  <c r="I2515" i="2"/>
  <c r="L2514" i="2"/>
  <c r="K2514" i="2"/>
  <c r="J2514" i="2"/>
  <c r="I2514" i="2"/>
  <c r="K2513" i="2"/>
  <c r="L2513" i="2" s="1"/>
  <c r="J2513" i="2"/>
  <c r="I2513" i="2"/>
  <c r="L2512" i="2"/>
  <c r="K2512" i="2"/>
  <c r="J2512" i="2"/>
  <c r="I2512" i="2"/>
  <c r="K2511" i="2"/>
  <c r="L2511" i="2" s="1"/>
  <c r="J2511" i="2"/>
  <c r="I2511" i="2"/>
  <c r="L2510" i="2"/>
  <c r="K2510" i="2"/>
  <c r="J2510" i="2"/>
  <c r="I2510" i="2"/>
  <c r="K2509" i="2"/>
  <c r="L2509" i="2" s="1"/>
  <c r="J2509" i="2"/>
  <c r="I2509" i="2"/>
  <c r="L2508" i="2"/>
  <c r="K2508" i="2"/>
  <c r="J2508" i="2"/>
  <c r="I2508" i="2"/>
  <c r="K2507" i="2"/>
  <c r="L2507" i="2" s="1"/>
  <c r="J2507" i="2"/>
  <c r="I2507" i="2"/>
  <c r="L2506" i="2"/>
  <c r="K2506" i="2"/>
  <c r="J2506" i="2"/>
  <c r="I2506" i="2"/>
  <c r="K2505" i="2"/>
  <c r="L2505" i="2" s="1"/>
  <c r="J2505" i="2"/>
  <c r="I2505" i="2"/>
  <c r="L2504" i="2"/>
  <c r="K2504" i="2"/>
  <c r="J2504" i="2"/>
  <c r="I2504" i="2"/>
  <c r="K2503" i="2"/>
  <c r="L2503" i="2" s="1"/>
  <c r="J2503" i="2"/>
  <c r="I2503" i="2"/>
  <c r="L2502" i="2"/>
  <c r="K2502" i="2"/>
  <c r="J2502" i="2"/>
  <c r="I2502" i="2"/>
  <c r="K2501" i="2"/>
  <c r="L2501" i="2" s="1"/>
  <c r="J2501" i="2"/>
  <c r="I2501" i="2"/>
  <c r="L2500" i="2"/>
  <c r="K2500" i="2"/>
  <c r="J2500" i="2"/>
  <c r="I2500" i="2"/>
  <c r="K2499" i="2"/>
  <c r="L2499" i="2" s="1"/>
  <c r="J2499" i="2"/>
  <c r="I2499" i="2"/>
  <c r="L2498" i="2"/>
  <c r="K2498" i="2"/>
  <c r="J2498" i="2"/>
  <c r="I2498" i="2"/>
  <c r="K2497" i="2"/>
  <c r="L2497" i="2" s="1"/>
  <c r="J2497" i="2"/>
  <c r="I2497" i="2"/>
  <c r="L2496" i="2"/>
  <c r="K2496" i="2"/>
  <c r="J2496" i="2"/>
  <c r="I2496" i="2"/>
  <c r="K2495" i="2"/>
  <c r="L2495" i="2" s="1"/>
  <c r="J2495" i="2"/>
  <c r="I2495" i="2"/>
  <c r="L2494" i="2"/>
  <c r="K2494" i="2"/>
  <c r="J2494" i="2"/>
  <c r="I2494" i="2"/>
  <c r="K2493" i="2"/>
  <c r="L2493" i="2" s="1"/>
  <c r="J2493" i="2"/>
  <c r="I2493" i="2"/>
  <c r="L2492" i="2"/>
  <c r="K2492" i="2"/>
  <c r="J2492" i="2"/>
  <c r="I2492" i="2"/>
  <c r="K2491" i="2"/>
  <c r="L2491" i="2" s="1"/>
  <c r="J2491" i="2"/>
  <c r="I2491" i="2"/>
  <c r="L2490" i="2"/>
  <c r="K2490" i="2"/>
  <c r="J2490" i="2"/>
  <c r="I2490" i="2"/>
  <c r="K2489" i="2"/>
  <c r="L2489" i="2" s="1"/>
  <c r="J2489" i="2"/>
  <c r="I2489" i="2"/>
  <c r="L2488" i="2"/>
  <c r="K2488" i="2"/>
  <c r="J2488" i="2"/>
  <c r="I2488" i="2"/>
  <c r="K2487" i="2"/>
  <c r="L2487" i="2" s="1"/>
  <c r="J2487" i="2"/>
  <c r="I2487" i="2"/>
  <c r="L2486" i="2"/>
  <c r="K2486" i="2"/>
  <c r="J2486" i="2"/>
  <c r="I2486" i="2"/>
  <c r="K2485" i="2"/>
  <c r="L2485" i="2" s="1"/>
  <c r="J2485" i="2"/>
  <c r="I2485" i="2"/>
  <c r="L2484" i="2"/>
  <c r="K2484" i="2"/>
  <c r="J2484" i="2"/>
  <c r="I2484" i="2"/>
  <c r="K2483" i="2"/>
  <c r="L2483" i="2" s="1"/>
  <c r="J2483" i="2"/>
  <c r="I2483" i="2"/>
  <c r="L2482" i="2"/>
  <c r="K2482" i="2"/>
  <c r="J2482" i="2"/>
  <c r="I2482" i="2"/>
  <c r="K2481" i="2"/>
  <c r="L2481" i="2" s="1"/>
  <c r="J2481" i="2"/>
  <c r="I2481" i="2"/>
  <c r="L2480" i="2"/>
  <c r="K2480" i="2"/>
  <c r="J2480" i="2"/>
  <c r="I2480" i="2"/>
  <c r="K2479" i="2"/>
  <c r="L2479" i="2" s="1"/>
  <c r="J2479" i="2"/>
  <c r="I2479" i="2"/>
  <c r="L2478" i="2"/>
  <c r="K2478" i="2"/>
  <c r="J2478" i="2"/>
  <c r="I2478" i="2"/>
  <c r="K2477" i="2"/>
  <c r="L2477" i="2" s="1"/>
  <c r="J2477" i="2"/>
  <c r="I2477" i="2"/>
  <c r="L2476" i="2"/>
  <c r="K2476" i="2"/>
  <c r="J2476" i="2"/>
  <c r="I2476" i="2"/>
  <c r="K2475" i="2"/>
  <c r="L2475" i="2" s="1"/>
  <c r="J2475" i="2"/>
  <c r="I2475" i="2"/>
  <c r="L2474" i="2"/>
  <c r="K2474" i="2"/>
  <c r="J2474" i="2"/>
  <c r="I2474" i="2"/>
  <c r="K2473" i="2"/>
  <c r="L2473" i="2" s="1"/>
  <c r="J2473" i="2"/>
  <c r="I2473" i="2"/>
  <c r="L2472" i="2"/>
  <c r="K2472" i="2"/>
  <c r="J2472" i="2"/>
  <c r="I2472" i="2"/>
  <c r="K2471" i="2"/>
  <c r="L2471" i="2" s="1"/>
  <c r="J2471" i="2"/>
  <c r="I2471" i="2"/>
  <c r="L2470" i="2"/>
  <c r="K2470" i="2"/>
  <c r="J2470" i="2"/>
  <c r="I2470" i="2"/>
  <c r="K2469" i="2"/>
  <c r="L2469" i="2" s="1"/>
  <c r="J2469" i="2"/>
  <c r="I2469" i="2"/>
  <c r="L2468" i="2"/>
  <c r="K2468" i="2"/>
  <c r="J2468" i="2"/>
  <c r="I2468" i="2"/>
  <c r="K2467" i="2"/>
  <c r="L2467" i="2" s="1"/>
  <c r="J2467" i="2"/>
  <c r="I2467" i="2"/>
  <c r="L2466" i="2"/>
  <c r="K2466" i="2"/>
  <c r="J2466" i="2"/>
  <c r="I2466" i="2"/>
  <c r="K2465" i="2"/>
  <c r="L2465" i="2" s="1"/>
  <c r="J2465" i="2"/>
  <c r="I2465" i="2"/>
  <c r="L2464" i="2"/>
  <c r="K2464" i="2"/>
  <c r="J2464" i="2"/>
  <c r="I2464" i="2"/>
  <c r="K2463" i="2"/>
  <c r="L2463" i="2" s="1"/>
  <c r="J2463" i="2"/>
  <c r="I2463" i="2"/>
  <c r="L2462" i="2"/>
  <c r="K2462" i="2"/>
  <c r="J2462" i="2"/>
  <c r="I2462" i="2"/>
  <c r="K2461" i="2"/>
  <c r="L2461" i="2" s="1"/>
  <c r="J2461" i="2"/>
  <c r="I2461" i="2"/>
  <c r="L2460" i="2"/>
  <c r="K2460" i="2"/>
  <c r="J2460" i="2"/>
  <c r="I2460" i="2"/>
  <c r="K2459" i="2"/>
  <c r="L2459" i="2" s="1"/>
  <c r="J2459" i="2"/>
  <c r="I2459" i="2"/>
  <c r="L2458" i="2"/>
  <c r="K2458" i="2"/>
  <c r="J2458" i="2"/>
  <c r="I2458" i="2"/>
  <c r="K2457" i="2"/>
  <c r="L2457" i="2" s="1"/>
  <c r="J2457" i="2"/>
  <c r="I2457" i="2"/>
  <c r="L2456" i="2"/>
  <c r="K2456" i="2"/>
  <c r="J2456" i="2"/>
  <c r="I2456" i="2"/>
  <c r="K2455" i="2"/>
  <c r="L2455" i="2" s="1"/>
  <c r="J2455" i="2"/>
  <c r="I2455" i="2"/>
  <c r="L2454" i="2"/>
  <c r="K2454" i="2"/>
  <c r="J2454" i="2"/>
  <c r="I2454" i="2"/>
  <c r="K2453" i="2"/>
  <c r="L2453" i="2" s="1"/>
  <c r="J2453" i="2"/>
  <c r="I2453" i="2"/>
  <c r="L2452" i="2"/>
  <c r="K2452" i="2"/>
  <c r="J2452" i="2"/>
  <c r="I2452" i="2"/>
  <c r="K2451" i="2"/>
  <c r="L2451" i="2" s="1"/>
  <c r="J2451" i="2"/>
  <c r="I2451" i="2"/>
  <c r="L2450" i="2"/>
  <c r="K2450" i="2"/>
  <c r="J2450" i="2"/>
  <c r="I2450" i="2"/>
  <c r="K2449" i="2"/>
  <c r="L2449" i="2" s="1"/>
  <c r="J2449" i="2"/>
  <c r="I2449" i="2"/>
  <c r="L2448" i="2"/>
  <c r="K2448" i="2"/>
  <c r="J2448" i="2"/>
  <c r="I2448" i="2"/>
  <c r="K2447" i="2"/>
  <c r="L2447" i="2" s="1"/>
  <c r="J2447" i="2"/>
  <c r="I2447" i="2"/>
  <c r="L2446" i="2"/>
  <c r="K2446" i="2"/>
  <c r="J2446" i="2"/>
  <c r="I2446" i="2"/>
  <c r="K2445" i="2"/>
  <c r="L2445" i="2" s="1"/>
  <c r="J2445" i="2"/>
  <c r="I2445" i="2"/>
  <c r="L2444" i="2"/>
  <c r="K2444" i="2"/>
  <c r="J2444" i="2"/>
  <c r="I2444" i="2"/>
  <c r="K2443" i="2"/>
  <c r="L2443" i="2" s="1"/>
  <c r="J2443" i="2"/>
  <c r="I2443" i="2"/>
  <c r="L2442" i="2"/>
  <c r="K2442" i="2"/>
  <c r="J2442" i="2"/>
  <c r="I2442" i="2"/>
  <c r="K2441" i="2"/>
  <c r="L2441" i="2" s="1"/>
  <c r="J2441" i="2"/>
  <c r="I2441" i="2"/>
  <c r="L2440" i="2"/>
  <c r="K2440" i="2"/>
  <c r="J2440" i="2"/>
  <c r="I2440" i="2"/>
  <c r="K2439" i="2"/>
  <c r="L2439" i="2" s="1"/>
  <c r="J2439" i="2"/>
  <c r="I2439" i="2"/>
  <c r="L2438" i="2"/>
  <c r="K2438" i="2"/>
  <c r="J2438" i="2"/>
  <c r="I2438" i="2"/>
  <c r="K2437" i="2"/>
  <c r="L2437" i="2" s="1"/>
  <c r="J2437" i="2"/>
  <c r="I2437" i="2"/>
  <c r="L2436" i="2"/>
  <c r="K2436" i="2"/>
  <c r="J2436" i="2"/>
  <c r="I2436" i="2"/>
  <c r="K2435" i="2"/>
  <c r="L2435" i="2" s="1"/>
  <c r="J2435" i="2"/>
  <c r="I2435" i="2"/>
  <c r="L2434" i="2"/>
  <c r="K2434" i="2"/>
  <c r="J2434" i="2"/>
  <c r="I2434" i="2"/>
  <c r="K2433" i="2"/>
  <c r="L2433" i="2" s="1"/>
  <c r="J2433" i="2"/>
  <c r="I2433" i="2"/>
  <c r="L2432" i="2"/>
  <c r="K2432" i="2"/>
  <c r="J2432" i="2"/>
  <c r="I2432" i="2"/>
  <c r="K2431" i="2"/>
  <c r="L2431" i="2" s="1"/>
  <c r="J2431" i="2"/>
  <c r="I2431" i="2"/>
  <c r="L2430" i="2"/>
  <c r="K2430" i="2"/>
  <c r="J2430" i="2"/>
  <c r="I2430" i="2"/>
  <c r="K2429" i="2"/>
  <c r="L2429" i="2" s="1"/>
  <c r="J2429" i="2"/>
  <c r="I2429" i="2"/>
  <c r="L2428" i="2"/>
  <c r="K2428" i="2"/>
  <c r="J2428" i="2"/>
  <c r="I2428" i="2"/>
  <c r="K2427" i="2"/>
  <c r="L2427" i="2" s="1"/>
  <c r="J2427" i="2"/>
  <c r="I2427" i="2"/>
  <c r="L2426" i="2"/>
  <c r="K2426" i="2"/>
  <c r="J2426" i="2"/>
  <c r="I2426" i="2"/>
  <c r="K2425" i="2"/>
  <c r="L2425" i="2" s="1"/>
  <c r="J2425" i="2"/>
  <c r="I2425" i="2"/>
  <c r="L2424" i="2"/>
  <c r="K2424" i="2"/>
  <c r="J2424" i="2"/>
  <c r="I2424" i="2"/>
  <c r="K2423" i="2"/>
  <c r="L2423" i="2" s="1"/>
  <c r="J2423" i="2"/>
  <c r="I2423" i="2"/>
  <c r="L2422" i="2"/>
  <c r="K2422" i="2"/>
  <c r="J2422" i="2"/>
  <c r="I2422" i="2"/>
  <c r="K2421" i="2"/>
  <c r="L2421" i="2" s="1"/>
  <c r="J2421" i="2"/>
  <c r="I2421" i="2"/>
  <c r="L2420" i="2"/>
  <c r="K2420" i="2"/>
  <c r="J2420" i="2"/>
  <c r="I2420" i="2"/>
  <c r="K2419" i="2"/>
  <c r="L2419" i="2" s="1"/>
  <c r="J2419" i="2"/>
  <c r="I2419" i="2"/>
  <c r="L2418" i="2"/>
  <c r="K2418" i="2"/>
  <c r="J2418" i="2"/>
  <c r="I2418" i="2"/>
  <c r="K2417" i="2"/>
  <c r="L2417" i="2" s="1"/>
  <c r="J2417" i="2"/>
  <c r="I2417" i="2"/>
  <c r="L2416" i="2"/>
  <c r="K2416" i="2"/>
  <c r="J2416" i="2"/>
  <c r="I2416" i="2"/>
  <c r="K2415" i="2"/>
  <c r="L2415" i="2" s="1"/>
  <c r="J2415" i="2"/>
  <c r="I2415" i="2"/>
  <c r="L2414" i="2"/>
  <c r="K2414" i="2"/>
  <c r="J2414" i="2"/>
  <c r="I2414" i="2"/>
  <c r="K2413" i="2"/>
  <c r="L2413" i="2" s="1"/>
  <c r="J2413" i="2"/>
  <c r="I2413" i="2"/>
  <c r="L2412" i="2"/>
  <c r="K2412" i="2"/>
  <c r="J2412" i="2"/>
  <c r="I2412" i="2"/>
  <c r="K2411" i="2"/>
  <c r="L2411" i="2" s="1"/>
  <c r="J2411" i="2"/>
  <c r="I2411" i="2"/>
  <c r="L2410" i="2"/>
  <c r="K2410" i="2"/>
  <c r="J2410" i="2"/>
  <c r="I2410" i="2"/>
  <c r="K2409" i="2"/>
  <c r="L2409" i="2" s="1"/>
  <c r="J2409" i="2"/>
  <c r="I2409" i="2"/>
  <c r="L2408" i="2"/>
  <c r="K2408" i="2"/>
  <c r="J2408" i="2"/>
  <c r="I2408" i="2"/>
  <c r="K2407" i="2"/>
  <c r="L2407" i="2" s="1"/>
  <c r="J2407" i="2"/>
  <c r="I2407" i="2"/>
  <c r="L2406" i="2"/>
  <c r="K2406" i="2"/>
  <c r="J2406" i="2"/>
  <c r="I2406" i="2"/>
  <c r="K2405" i="2"/>
  <c r="L2405" i="2" s="1"/>
  <c r="J2405" i="2"/>
  <c r="I2405" i="2"/>
  <c r="L2404" i="2"/>
  <c r="K2404" i="2"/>
  <c r="J2404" i="2"/>
  <c r="I2404" i="2"/>
  <c r="K2403" i="2"/>
  <c r="L2403" i="2" s="1"/>
  <c r="J2403" i="2"/>
  <c r="I2403" i="2"/>
  <c r="L2402" i="2"/>
  <c r="K2402" i="2"/>
  <c r="J2402" i="2"/>
  <c r="I2402" i="2"/>
  <c r="K2401" i="2"/>
  <c r="L2401" i="2" s="1"/>
  <c r="J2401" i="2"/>
  <c r="I2401" i="2"/>
  <c r="L2400" i="2"/>
  <c r="K2400" i="2"/>
  <c r="J2400" i="2"/>
  <c r="I2400" i="2"/>
  <c r="K2399" i="2"/>
  <c r="L2399" i="2" s="1"/>
  <c r="J2399" i="2"/>
  <c r="I2399" i="2"/>
  <c r="L2398" i="2"/>
  <c r="K2398" i="2"/>
  <c r="J2398" i="2"/>
  <c r="I2398" i="2"/>
  <c r="K2397" i="2"/>
  <c r="L2397" i="2" s="1"/>
  <c r="J2397" i="2"/>
  <c r="I2397" i="2"/>
  <c r="L2396" i="2"/>
  <c r="K2396" i="2"/>
  <c r="J2396" i="2"/>
  <c r="I2396" i="2"/>
  <c r="K2395" i="2"/>
  <c r="L2395" i="2" s="1"/>
  <c r="J2395" i="2"/>
  <c r="I2395" i="2"/>
  <c r="L2394" i="2"/>
  <c r="K2394" i="2"/>
  <c r="J2394" i="2"/>
  <c r="I2394" i="2"/>
  <c r="K2393" i="2"/>
  <c r="L2393" i="2" s="1"/>
  <c r="J2393" i="2"/>
  <c r="I2393" i="2"/>
  <c r="L2392" i="2"/>
  <c r="K2392" i="2"/>
  <c r="J2392" i="2"/>
  <c r="I2392" i="2"/>
  <c r="K2391" i="2"/>
  <c r="L2391" i="2" s="1"/>
  <c r="J2391" i="2"/>
  <c r="I2391" i="2"/>
  <c r="L2390" i="2"/>
  <c r="K2390" i="2"/>
  <c r="J2390" i="2"/>
  <c r="I2390" i="2"/>
  <c r="K2389" i="2"/>
  <c r="L2389" i="2" s="1"/>
  <c r="J2389" i="2"/>
  <c r="I2389" i="2"/>
  <c r="L2388" i="2"/>
  <c r="K2388" i="2"/>
  <c r="J2388" i="2"/>
  <c r="I2388" i="2"/>
  <c r="K2387" i="2"/>
  <c r="L2387" i="2" s="1"/>
  <c r="J2387" i="2"/>
  <c r="I2387" i="2"/>
  <c r="L2386" i="2"/>
  <c r="K2386" i="2"/>
  <c r="J2386" i="2"/>
  <c r="I2386" i="2"/>
  <c r="K2385" i="2"/>
  <c r="L2385" i="2" s="1"/>
  <c r="J2385" i="2"/>
  <c r="I2385" i="2"/>
  <c r="L2384" i="2"/>
  <c r="K2384" i="2"/>
  <c r="J2384" i="2"/>
  <c r="I2384" i="2"/>
  <c r="K2383" i="2"/>
  <c r="L2383" i="2" s="1"/>
  <c r="J2383" i="2"/>
  <c r="I2383" i="2"/>
  <c r="L2382" i="2"/>
  <c r="K2382" i="2"/>
  <c r="J2382" i="2"/>
  <c r="I2382" i="2"/>
  <c r="K2381" i="2"/>
  <c r="L2381" i="2" s="1"/>
  <c r="J2381" i="2"/>
  <c r="I2381" i="2"/>
  <c r="L2380" i="2"/>
  <c r="K2380" i="2"/>
  <c r="J2380" i="2"/>
  <c r="I2380" i="2"/>
  <c r="K2379" i="2"/>
  <c r="L2379" i="2" s="1"/>
  <c r="J2379" i="2"/>
  <c r="I2379" i="2"/>
  <c r="L2378" i="2"/>
  <c r="K2378" i="2"/>
  <c r="J2378" i="2"/>
  <c r="I2378" i="2"/>
  <c r="K2377" i="2"/>
  <c r="L2377" i="2" s="1"/>
  <c r="J2377" i="2"/>
  <c r="I2377" i="2"/>
  <c r="L2376" i="2"/>
  <c r="K2376" i="2"/>
  <c r="J2376" i="2"/>
  <c r="I2376" i="2"/>
  <c r="K2375" i="2"/>
  <c r="L2375" i="2" s="1"/>
  <c r="J2375" i="2"/>
  <c r="I2375" i="2"/>
  <c r="L2374" i="2"/>
  <c r="K2374" i="2"/>
  <c r="J2374" i="2"/>
  <c r="I2374" i="2"/>
  <c r="K2373" i="2"/>
  <c r="L2373" i="2" s="1"/>
  <c r="J2373" i="2"/>
  <c r="I2373" i="2"/>
  <c r="L2372" i="2"/>
  <c r="K2372" i="2"/>
  <c r="J2372" i="2"/>
  <c r="I2372" i="2"/>
  <c r="K2371" i="2"/>
  <c r="L2371" i="2" s="1"/>
  <c r="J2371" i="2"/>
  <c r="I2371" i="2"/>
  <c r="L2370" i="2"/>
  <c r="K2370" i="2"/>
  <c r="J2370" i="2"/>
  <c r="I2370" i="2"/>
  <c r="K2369" i="2"/>
  <c r="L2369" i="2" s="1"/>
  <c r="J2369" i="2"/>
  <c r="I2369" i="2"/>
  <c r="L2368" i="2"/>
  <c r="K2368" i="2"/>
  <c r="J2368" i="2"/>
  <c r="I2368" i="2"/>
  <c r="K2367" i="2"/>
  <c r="L2367" i="2" s="1"/>
  <c r="J2367" i="2"/>
  <c r="I2367" i="2"/>
  <c r="L2366" i="2"/>
  <c r="K2366" i="2"/>
  <c r="J2366" i="2"/>
  <c r="I2366" i="2"/>
  <c r="K2365" i="2"/>
  <c r="L2365" i="2" s="1"/>
  <c r="J2365" i="2"/>
  <c r="I2365" i="2"/>
  <c r="L2364" i="2"/>
  <c r="K2364" i="2"/>
  <c r="J2364" i="2"/>
  <c r="I2364" i="2"/>
  <c r="K2363" i="2"/>
  <c r="L2363" i="2" s="1"/>
  <c r="J2363" i="2"/>
  <c r="I2363" i="2"/>
  <c r="L2362" i="2"/>
  <c r="K2362" i="2"/>
  <c r="J2362" i="2"/>
  <c r="I2362" i="2"/>
  <c r="K2361" i="2"/>
  <c r="L2361" i="2" s="1"/>
  <c r="J2361" i="2"/>
  <c r="I2361" i="2"/>
  <c r="L2360" i="2"/>
  <c r="K2360" i="2"/>
  <c r="J2360" i="2"/>
  <c r="I2360" i="2"/>
  <c r="K2359" i="2"/>
  <c r="L2359" i="2" s="1"/>
  <c r="J2359" i="2"/>
  <c r="I2359" i="2"/>
  <c r="L2358" i="2"/>
  <c r="K2358" i="2"/>
  <c r="J2358" i="2"/>
  <c r="I2358" i="2"/>
  <c r="K2357" i="2"/>
  <c r="L2357" i="2" s="1"/>
  <c r="J2357" i="2"/>
  <c r="I2357" i="2"/>
  <c r="L2356" i="2"/>
  <c r="K2356" i="2"/>
  <c r="J2356" i="2"/>
  <c r="I2356" i="2"/>
  <c r="K2355" i="2"/>
  <c r="L2355" i="2" s="1"/>
  <c r="J2355" i="2"/>
  <c r="I2355" i="2"/>
  <c r="L2354" i="2"/>
  <c r="K2354" i="2"/>
  <c r="J2354" i="2"/>
  <c r="I2354" i="2"/>
  <c r="K2353" i="2"/>
  <c r="L2353" i="2" s="1"/>
  <c r="J2353" i="2"/>
  <c r="I2353" i="2"/>
  <c r="L2352" i="2"/>
  <c r="K2352" i="2"/>
  <c r="J2352" i="2"/>
  <c r="I2352" i="2"/>
  <c r="K2351" i="2"/>
  <c r="L2351" i="2" s="1"/>
  <c r="J2351" i="2"/>
  <c r="I2351" i="2"/>
  <c r="L2350" i="2"/>
  <c r="K2350" i="2"/>
  <c r="J2350" i="2"/>
  <c r="I2350" i="2"/>
  <c r="K2349" i="2"/>
  <c r="L2349" i="2" s="1"/>
  <c r="J2349" i="2"/>
  <c r="I2349" i="2"/>
  <c r="L2348" i="2"/>
  <c r="K2348" i="2"/>
  <c r="J2348" i="2"/>
  <c r="I2348" i="2"/>
  <c r="K2347" i="2"/>
  <c r="L2347" i="2" s="1"/>
  <c r="J2347" i="2"/>
  <c r="I2347" i="2"/>
  <c r="L2346" i="2"/>
  <c r="K2346" i="2"/>
  <c r="J2346" i="2"/>
  <c r="I2346" i="2"/>
  <c r="K2345" i="2"/>
  <c r="L2345" i="2" s="1"/>
  <c r="J2345" i="2"/>
  <c r="I2345" i="2"/>
  <c r="L2344" i="2"/>
  <c r="K2344" i="2"/>
  <c r="J2344" i="2"/>
  <c r="I2344" i="2"/>
  <c r="K2343" i="2"/>
  <c r="L2343" i="2" s="1"/>
  <c r="J2343" i="2"/>
  <c r="I2343" i="2"/>
  <c r="L2342" i="2"/>
  <c r="K2342" i="2"/>
  <c r="J2342" i="2"/>
  <c r="I2342" i="2"/>
  <c r="K2341" i="2"/>
  <c r="L2341" i="2" s="1"/>
  <c r="J2341" i="2"/>
  <c r="I2341" i="2"/>
  <c r="L2340" i="2"/>
  <c r="K2340" i="2"/>
  <c r="J2340" i="2"/>
  <c r="I2340" i="2"/>
  <c r="K2339" i="2"/>
  <c r="L2339" i="2" s="1"/>
  <c r="J2339" i="2"/>
  <c r="I2339" i="2"/>
  <c r="L2338" i="2"/>
  <c r="K2338" i="2"/>
  <c r="J2338" i="2"/>
  <c r="I2338" i="2"/>
  <c r="K2337" i="2"/>
  <c r="L2337" i="2" s="1"/>
  <c r="J2337" i="2"/>
  <c r="I2337" i="2"/>
  <c r="L2336" i="2"/>
  <c r="K2336" i="2"/>
  <c r="J2336" i="2"/>
  <c r="I2336" i="2"/>
  <c r="K2335" i="2"/>
  <c r="L2335" i="2" s="1"/>
  <c r="J2335" i="2"/>
  <c r="I2335" i="2"/>
  <c r="L2334" i="2"/>
  <c r="K2334" i="2"/>
  <c r="J2334" i="2"/>
  <c r="I2334" i="2"/>
  <c r="K2333" i="2"/>
  <c r="L2333" i="2" s="1"/>
  <c r="J2333" i="2"/>
  <c r="I2333" i="2"/>
  <c r="L2332" i="2"/>
  <c r="K2332" i="2"/>
  <c r="J2332" i="2"/>
  <c r="I2332" i="2"/>
  <c r="K2331" i="2"/>
  <c r="L2331" i="2" s="1"/>
  <c r="J2331" i="2"/>
  <c r="I2331" i="2"/>
  <c r="L2330" i="2"/>
  <c r="K2330" i="2"/>
  <c r="J2330" i="2"/>
  <c r="I2330" i="2"/>
  <c r="K2329" i="2"/>
  <c r="L2329" i="2" s="1"/>
  <c r="J2329" i="2"/>
  <c r="I2329" i="2"/>
  <c r="L2328" i="2"/>
  <c r="K2328" i="2"/>
  <c r="J2328" i="2"/>
  <c r="I2328" i="2"/>
  <c r="K2327" i="2"/>
  <c r="L2327" i="2" s="1"/>
  <c r="J2327" i="2"/>
  <c r="I2327" i="2"/>
  <c r="L2326" i="2"/>
  <c r="K2326" i="2"/>
  <c r="J2326" i="2"/>
  <c r="I2326" i="2"/>
  <c r="K2325" i="2"/>
  <c r="L2325" i="2" s="1"/>
  <c r="J2325" i="2"/>
  <c r="I2325" i="2"/>
  <c r="L2324" i="2"/>
  <c r="K2324" i="2"/>
  <c r="J2324" i="2"/>
  <c r="I2324" i="2"/>
  <c r="K2323" i="2"/>
  <c r="L2323" i="2" s="1"/>
  <c r="J2323" i="2"/>
  <c r="I2323" i="2"/>
  <c r="L2322" i="2"/>
  <c r="K2322" i="2"/>
  <c r="J2322" i="2"/>
  <c r="I2322" i="2"/>
  <c r="K2321" i="2"/>
  <c r="L2321" i="2" s="1"/>
  <c r="J2321" i="2"/>
  <c r="I2321" i="2"/>
  <c r="L2320" i="2"/>
  <c r="K2320" i="2"/>
  <c r="J2320" i="2"/>
  <c r="I2320" i="2"/>
  <c r="K2319" i="2"/>
  <c r="L2319" i="2" s="1"/>
  <c r="J2319" i="2"/>
  <c r="I2319" i="2"/>
  <c r="L2318" i="2"/>
  <c r="K2318" i="2"/>
  <c r="J2318" i="2"/>
  <c r="I2318" i="2"/>
  <c r="K2317" i="2"/>
  <c r="L2317" i="2" s="1"/>
  <c r="J2317" i="2"/>
  <c r="I2317" i="2"/>
  <c r="L2316" i="2"/>
  <c r="K2316" i="2"/>
  <c r="J2316" i="2"/>
  <c r="I2316" i="2"/>
  <c r="K2315" i="2"/>
  <c r="L2315" i="2" s="1"/>
  <c r="J2315" i="2"/>
  <c r="I2315" i="2"/>
  <c r="L2314" i="2"/>
  <c r="K2314" i="2"/>
  <c r="J2314" i="2"/>
  <c r="I2314" i="2"/>
  <c r="K2313" i="2"/>
  <c r="L2313" i="2" s="1"/>
  <c r="J2313" i="2"/>
  <c r="I2313" i="2"/>
  <c r="L2312" i="2"/>
  <c r="K2312" i="2"/>
  <c r="J2312" i="2"/>
  <c r="I2312" i="2"/>
  <c r="K2311" i="2"/>
  <c r="L2311" i="2" s="1"/>
  <c r="J2311" i="2"/>
  <c r="I2311" i="2"/>
  <c r="L2310" i="2"/>
  <c r="K2310" i="2"/>
  <c r="J2310" i="2"/>
  <c r="I2310" i="2"/>
  <c r="K2309" i="2"/>
  <c r="L2309" i="2" s="1"/>
  <c r="J2309" i="2"/>
  <c r="I2309" i="2"/>
  <c r="L2308" i="2"/>
  <c r="K2308" i="2"/>
  <c r="J2308" i="2"/>
  <c r="I2308" i="2"/>
  <c r="K2307" i="2"/>
  <c r="L2307" i="2" s="1"/>
  <c r="J2307" i="2"/>
  <c r="I2307" i="2"/>
  <c r="L2306" i="2"/>
  <c r="K2306" i="2"/>
  <c r="J2306" i="2"/>
  <c r="I2306" i="2"/>
  <c r="K2305" i="2"/>
  <c r="L2305" i="2" s="1"/>
  <c r="J2305" i="2"/>
  <c r="I2305" i="2"/>
  <c r="L2304" i="2"/>
  <c r="K2304" i="2"/>
  <c r="J2304" i="2"/>
  <c r="I2304" i="2"/>
  <c r="K2303" i="2"/>
  <c r="L2303" i="2" s="1"/>
  <c r="J2303" i="2"/>
  <c r="I2303" i="2"/>
  <c r="L2302" i="2"/>
  <c r="K2302" i="2"/>
  <c r="J2302" i="2"/>
  <c r="I2302" i="2"/>
  <c r="K2301" i="2"/>
  <c r="L2301" i="2" s="1"/>
  <c r="J2301" i="2"/>
  <c r="I2301" i="2"/>
  <c r="L2300" i="2"/>
  <c r="K2300" i="2"/>
  <c r="J2300" i="2"/>
  <c r="I2300" i="2"/>
  <c r="K2299" i="2"/>
  <c r="L2299" i="2" s="1"/>
  <c r="J2299" i="2"/>
  <c r="I2299" i="2"/>
  <c r="L2298" i="2"/>
  <c r="K2298" i="2"/>
  <c r="J2298" i="2"/>
  <c r="I2298" i="2"/>
  <c r="K2297" i="2"/>
  <c r="L2297" i="2" s="1"/>
  <c r="J2297" i="2"/>
  <c r="I2297" i="2"/>
  <c r="L2296" i="2"/>
  <c r="K2296" i="2"/>
  <c r="J2296" i="2"/>
  <c r="I2296" i="2"/>
  <c r="K2295" i="2"/>
  <c r="L2295" i="2" s="1"/>
  <c r="J2295" i="2"/>
  <c r="I2295" i="2"/>
  <c r="L2294" i="2"/>
  <c r="K2294" i="2"/>
  <c r="J2294" i="2"/>
  <c r="I2294" i="2"/>
  <c r="K2293" i="2"/>
  <c r="L2293" i="2" s="1"/>
  <c r="J2293" i="2"/>
  <c r="I2293" i="2"/>
  <c r="L2292" i="2"/>
  <c r="K2292" i="2"/>
  <c r="J2292" i="2"/>
  <c r="I2292" i="2"/>
  <c r="K2291" i="2"/>
  <c r="L2291" i="2" s="1"/>
  <c r="J2291" i="2"/>
  <c r="I2291" i="2"/>
  <c r="L2290" i="2"/>
  <c r="K2290" i="2"/>
  <c r="J2290" i="2"/>
  <c r="I2290" i="2"/>
  <c r="K2289" i="2"/>
  <c r="L2289" i="2" s="1"/>
  <c r="J2289" i="2"/>
  <c r="I2289" i="2"/>
  <c r="L2288" i="2"/>
  <c r="K2288" i="2"/>
  <c r="J2288" i="2"/>
  <c r="I2288" i="2"/>
  <c r="K2287" i="2"/>
  <c r="L2287" i="2" s="1"/>
  <c r="J2287" i="2"/>
  <c r="I2287" i="2"/>
  <c r="L2286" i="2"/>
  <c r="K2286" i="2"/>
  <c r="J2286" i="2"/>
  <c r="I2286" i="2"/>
  <c r="K2285" i="2"/>
  <c r="L2285" i="2" s="1"/>
  <c r="J2285" i="2"/>
  <c r="I2285" i="2"/>
  <c r="L2284" i="2"/>
  <c r="K2284" i="2"/>
  <c r="J2284" i="2"/>
  <c r="I2284" i="2"/>
  <c r="K2283" i="2"/>
  <c r="L2283" i="2" s="1"/>
  <c r="J2283" i="2"/>
  <c r="I2283" i="2"/>
  <c r="L2282" i="2"/>
  <c r="K2282" i="2"/>
  <c r="J2282" i="2"/>
  <c r="I2282" i="2"/>
  <c r="K2281" i="2"/>
  <c r="L2281" i="2" s="1"/>
  <c r="J2281" i="2"/>
  <c r="I2281" i="2"/>
  <c r="L2280" i="2"/>
  <c r="K2280" i="2"/>
  <c r="J2280" i="2"/>
  <c r="I2280" i="2"/>
  <c r="K2279" i="2"/>
  <c r="L2279" i="2" s="1"/>
  <c r="J2279" i="2"/>
  <c r="I2279" i="2"/>
  <c r="L2278" i="2"/>
  <c r="K2278" i="2"/>
  <c r="J2278" i="2"/>
  <c r="I2278" i="2"/>
  <c r="K2277" i="2"/>
  <c r="L2277" i="2" s="1"/>
  <c r="J2277" i="2"/>
  <c r="I2277" i="2"/>
  <c r="L2276" i="2"/>
  <c r="K2276" i="2"/>
  <c r="J2276" i="2"/>
  <c r="I2276" i="2"/>
  <c r="K2275" i="2"/>
  <c r="L2275" i="2" s="1"/>
  <c r="J2275" i="2"/>
  <c r="I2275" i="2"/>
  <c r="L2274" i="2"/>
  <c r="K2274" i="2"/>
  <c r="J2274" i="2"/>
  <c r="I2274" i="2"/>
  <c r="K2273" i="2"/>
  <c r="L2273" i="2" s="1"/>
  <c r="J2273" i="2"/>
  <c r="I2273" i="2"/>
  <c r="L2272" i="2"/>
  <c r="K2272" i="2"/>
  <c r="J2272" i="2"/>
  <c r="I2272" i="2"/>
  <c r="K2271" i="2"/>
  <c r="L2271" i="2" s="1"/>
  <c r="J2271" i="2"/>
  <c r="I2271" i="2"/>
  <c r="L2270" i="2"/>
  <c r="K2270" i="2"/>
  <c r="J2270" i="2"/>
  <c r="I2270" i="2"/>
  <c r="K2269" i="2"/>
  <c r="L2269" i="2" s="1"/>
  <c r="J2269" i="2"/>
  <c r="I2269" i="2"/>
  <c r="L2268" i="2"/>
  <c r="K2268" i="2"/>
  <c r="J2268" i="2"/>
  <c r="I2268" i="2"/>
  <c r="K2267" i="2"/>
  <c r="L2267" i="2" s="1"/>
  <c r="J2267" i="2"/>
  <c r="I2267" i="2"/>
  <c r="L2266" i="2"/>
  <c r="K2266" i="2"/>
  <c r="J2266" i="2"/>
  <c r="I2266" i="2"/>
  <c r="K2265" i="2"/>
  <c r="L2265" i="2" s="1"/>
  <c r="J2265" i="2"/>
  <c r="I2265" i="2"/>
  <c r="L2264" i="2"/>
  <c r="K2264" i="2"/>
  <c r="J2264" i="2"/>
  <c r="I2264" i="2"/>
  <c r="K2263" i="2"/>
  <c r="L2263" i="2" s="1"/>
  <c r="J2263" i="2"/>
  <c r="I2263" i="2"/>
  <c r="L2262" i="2"/>
  <c r="K2262" i="2"/>
  <c r="J2262" i="2"/>
  <c r="I2262" i="2"/>
  <c r="K2261" i="2"/>
  <c r="L2261" i="2" s="1"/>
  <c r="J2261" i="2"/>
  <c r="I2261" i="2"/>
  <c r="L2260" i="2"/>
  <c r="K2260" i="2"/>
  <c r="J2260" i="2"/>
  <c r="I2260" i="2"/>
  <c r="K2259" i="2"/>
  <c r="L2259" i="2" s="1"/>
  <c r="J2259" i="2"/>
  <c r="I2259" i="2"/>
  <c r="L2258" i="2"/>
  <c r="K2258" i="2"/>
  <c r="J2258" i="2"/>
  <c r="I2258" i="2"/>
  <c r="K2257" i="2"/>
  <c r="L2257" i="2" s="1"/>
  <c r="J2257" i="2"/>
  <c r="I2257" i="2"/>
  <c r="L2256" i="2"/>
  <c r="K2256" i="2"/>
  <c r="J2256" i="2"/>
  <c r="I2256" i="2"/>
  <c r="K2255" i="2"/>
  <c r="L2255" i="2" s="1"/>
  <c r="J2255" i="2"/>
  <c r="I2255" i="2"/>
  <c r="L2254" i="2"/>
  <c r="K2254" i="2"/>
  <c r="J2254" i="2"/>
  <c r="I2254" i="2"/>
  <c r="K2253" i="2"/>
  <c r="L2253" i="2" s="1"/>
  <c r="J2253" i="2"/>
  <c r="I2253" i="2"/>
  <c r="L2252" i="2"/>
  <c r="K2252" i="2"/>
  <c r="J2252" i="2"/>
  <c r="I2252" i="2"/>
  <c r="K2251" i="2"/>
  <c r="L2251" i="2" s="1"/>
  <c r="J2251" i="2"/>
  <c r="I2251" i="2"/>
  <c r="L2250" i="2"/>
  <c r="K2250" i="2"/>
  <c r="J2250" i="2"/>
  <c r="I2250" i="2"/>
  <c r="K2249" i="2"/>
  <c r="L2249" i="2" s="1"/>
  <c r="J2249" i="2"/>
  <c r="I2249" i="2"/>
  <c r="L2248" i="2"/>
  <c r="K2248" i="2"/>
  <c r="J2248" i="2"/>
  <c r="I2248" i="2"/>
  <c r="K2247" i="2"/>
  <c r="L2247" i="2" s="1"/>
  <c r="J2247" i="2"/>
  <c r="I2247" i="2"/>
  <c r="L2246" i="2"/>
  <c r="K2246" i="2"/>
  <c r="J2246" i="2"/>
  <c r="I2246" i="2"/>
  <c r="K2245" i="2"/>
  <c r="L2245" i="2" s="1"/>
  <c r="J2245" i="2"/>
  <c r="I2245" i="2"/>
  <c r="L2244" i="2"/>
  <c r="K2244" i="2"/>
  <c r="J2244" i="2"/>
  <c r="I2244" i="2"/>
  <c r="K2243" i="2"/>
  <c r="L2243" i="2" s="1"/>
  <c r="J2243" i="2"/>
  <c r="I2243" i="2"/>
  <c r="L2242" i="2"/>
  <c r="K2242" i="2"/>
  <c r="J2242" i="2"/>
  <c r="I2242" i="2"/>
  <c r="K2241" i="2"/>
  <c r="L2241" i="2" s="1"/>
  <c r="J2241" i="2"/>
  <c r="I2241" i="2"/>
  <c r="L2240" i="2"/>
  <c r="K2240" i="2"/>
  <c r="J2240" i="2"/>
  <c r="I2240" i="2"/>
  <c r="K2239" i="2"/>
  <c r="L2239" i="2" s="1"/>
  <c r="J2239" i="2"/>
  <c r="I2239" i="2"/>
  <c r="L2238" i="2"/>
  <c r="K2238" i="2"/>
  <c r="J2238" i="2"/>
  <c r="I2238" i="2"/>
  <c r="K2237" i="2"/>
  <c r="L2237" i="2" s="1"/>
  <c r="J2237" i="2"/>
  <c r="I2237" i="2"/>
  <c r="L2236" i="2"/>
  <c r="K2236" i="2"/>
  <c r="J2236" i="2"/>
  <c r="I2236" i="2"/>
  <c r="K2235" i="2"/>
  <c r="L2235" i="2" s="1"/>
  <c r="J2235" i="2"/>
  <c r="I2235" i="2"/>
  <c r="L2234" i="2"/>
  <c r="K2234" i="2"/>
  <c r="J2234" i="2"/>
  <c r="I2234" i="2"/>
  <c r="K2233" i="2"/>
  <c r="L2233" i="2" s="1"/>
  <c r="J2233" i="2"/>
  <c r="I2233" i="2"/>
  <c r="L2232" i="2"/>
  <c r="K2232" i="2"/>
  <c r="J2232" i="2"/>
  <c r="I2232" i="2"/>
  <c r="K2231" i="2"/>
  <c r="L2231" i="2" s="1"/>
  <c r="J2231" i="2"/>
  <c r="I2231" i="2"/>
  <c r="L2230" i="2"/>
  <c r="K2230" i="2"/>
  <c r="J2230" i="2"/>
  <c r="I2230" i="2"/>
  <c r="K2229" i="2"/>
  <c r="L2229" i="2" s="1"/>
  <c r="J2229" i="2"/>
  <c r="I2229" i="2"/>
  <c r="L2228" i="2"/>
  <c r="K2228" i="2"/>
  <c r="J2228" i="2"/>
  <c r="I2228" i="2"/>
  <c r="K2227" i="2"/>
  <c r="L2227" i="2" s="1"/>
  <c r="J2227" i="2"/>
  <c r="I2227" i="2"/>
  <c r="L2226" i="2"/>
  <c r="K2226" i="2"/>
  <c r="J2226" i="2"/>
  <c r="I2226" i="2"/>
  <c r="K2225" i="2"/>
  <c r="L2225" i="2" s="1"/>
  <c r="J2225" i="2"/>
  <c r="I2225" i="2"/>
  <c r="L2224" i="2"/>
  <c r="K2224" i="2"/>
  <c r="J2224" i="2"/>
  <c r="I2224" i="2"/>
  <c r="K2223" i="2"/>
  <c r="L2223" i="2" s="1"/>
  <c r="J2223" i="2"/>
  <c r="I2223" i="2"/>
  <c r="L2222" i="2"/>
  <c r="K2222" i="2"/>
  <c r="J2222" i="2"/>
  <c r="I2222" i="2"/>
  <c r="K2221" i="2"/>
  <c r="L2221" i="2" s="1"/>
  <c r="J2221" i="2"/>
  <c r="I2221" i="2"/>
  <c r="L2220" i="2"/>
  <c r="K2220" i="2"/>
  <c r="J2220" i="2"/>
  <c r="I2220" i="2"/>
  <c r="K2219" i="2"/>
  <c r="L2219" i="2" s="1"/>
  <c r="J2219" i="2"/>
  <c r="I2219" i="2"/>
  <c r="L2218" i="2"/>
  <c r="K2218" i="2"/>
  <c r="J2218" i="2"/>
  <c r="I2218" i="2"/>
  <c r="K2217" i="2"/>
  <c r="L2217" i="2" s="1"/>
  <c r="J2217" i="2"/>
  <c r="I2217" i="2"/>
  <c r="L2216" i="2"/>
  <c r="K2216" i="2"/>
  <c r="J2216" i="2"/>
  <c r="I2216" i="2"/>
  <c r="K2215" i="2"/>
  <c r="L2215" i="2" s="1"/>
  <c r="J2215" i="2"/>
  <c r="I2215" i="2"/>
  <c r="L2214" i="2"/>
  <c r="K2214" i="2"/>
  <c r="J2214" i="2"/>
  <c r="I2214" i="2"/>
  <c r="K2213" i="2"/>
  <c r="L2213" i="2" s="1"/>
  <c r="J2213" i="2"/>
  <c r="I2213" i="2"/>
  <c r="L2212" i="2"/>
  <c r="K2212" i="2"/>
  <c r="J2212" i="2"/>
  <c r="I2212" i="2"/>
  <c r="K2211" i="2"/>
  <c r="L2211" i="2" s="1"/>
  <c r="J2211" i="2"/>
  <c r="I2211" i="2"/>
  <c r="L2210" i="2"/>
  <c r="K2210" i="2"/>
  <c r="J2210" i="2"/>
  <c r="I2210" i="2"/>
  <c r="K2209" i="2"/>
  <c r="L2209" i="2" s="1"/>
  <c r="J2209" i="2"/>
  <c r="I2209" i="2"/>
  <c r="L2208" i="2"/>
  <c r="K2208" i="2"/>
  <c r="J2208" i="2"/>
  <c r="I2208" i="2"/>
  <c r="K2207" i="2"/>
  <c r="L2207" i="2" s="1"/>
  <c r="J2207" i="2"/>
  <c r="I2207" i="2"/>
  <c r="L2206" i="2"/>
  <c r="K2206" i="2"/>
  <c r="J2206" i="2"/>
  <c r="I2206" i="2"/>
  <c r="K2205" i="2"/>
  <c r="L2205" i="2" s="1"/>
  <c r="J2205" i="2"/>
  <c r="I2205" i="2"/>
  <c r="L2204" i="2"/>
  <c r="K2204" i="2"/>
  <c r="J2204" i="2"/>
  <c r="I2204" i="2"/>
  <c r="K2203" i="2"/>
  <c r="L2203" i="2" s="1"/>
  <c r="J2203" i="2"/>
  <c r="I2203" i="2"/>
  <c r="L2202" i="2"/>
  <c r="K2202" i="2"/>
  <c r="J2202" i="2"/>
  <c r="I2202" i="2"/>
  <c r="K2201" i="2"/>
  <c r="L2201" i="2" s="1"/>
  <c r="J2201" i="2"/>
  <c r="I2201" i="2"/>
  <c r="L2200" i="2"/>
  <c r="K2200" i="2"/>
  <c r="J2200" i="2"/>
  <c r="I2200" i="2"/>
  <c r="K2199" i="2"/>
  <c r="L2199" i="2" s="1"/>
  <c r="J2199" i="2"/>
  <c r="I2199" i="2"/>
  <c r="L2198" i="2"/>
  <c r="K2198" i="2"/>
  <c r="J2198" i="2"/>
  <c r="I2198" i="2"/>
  <c r="K2197" i="2"/>
  <c r="L2197" i="2" s="1"/>
  <c r="J2197" i="2"/>
  <c r="I2197" i="2"/>
  <c r="L2196" i="2"/>
  <c r="K2196" i="2"/>
  <c r="J2196" i="2"/>
  <c r="I2196" i="2"/>
  <c r="K2195" i="2"/>
  <c r="L2195" i="2" s="1"/>
  <c r="J2195" i="2"/>
  <c r="I2195" i="2"/>
  <c r="L2194" i="2"/>
  <c r="K2194" i="2"/>
  <c r="J2194" i="2"/>
  <c r="I2194" i="2"/>
  <c r="K2193" i="2"/>
  <c r="L2193" i="2" s="1"/>
  <c r="J2193" i="2"/>
  <c r="I2193" i="2"/>
  <c r="L2192" i="2"/>
  <c r="K2192" i="2"/>
  <c r="J2192" i="2"/>
  <c r="I2192" i="2"/>
  <c r="K2191" i="2"/>
  <c r="L2191" i="2" s="1"/>
  <c r="J2191" i="2"/>
  <c r="I2191" i="2"/>
  <c r="L2190" i="2"/>
  <c r="K2190" i="2"/>
  <c r="J2190" i="2"/>
  <c r="I2190" i="2"/>
  <c r="K2189" i="2"/>
  <c r="L2189" i="2" s="1"/>
  <c r="J2189" i="2"/>
  <c r="I2189" i="2"/>
  <c r="L2188" i="2"/>
  <c r="K2188" i="2"/>
  <c r="J2188" i="2"/>
  <c r="I2188" i="2"/>
  <c r="K2187" i="2"/>
  <c r="L2187" i="2" s="1"/>
  <c r="J2187" i="2"/>
  <c r="I2187" i="2"/>
  <c r="L2186" i="2"/>
  <c r="K2186" i="2"/>
  <c r="J2186" i="2"/>
  <c r="I2186" i="2"/>
  <c r="K2185" i="2"/>
  <c r="L2185" i="2" s="1"/>
  <c r="J2185" i="2"/>
  <c r="I2185" i="2"/>
  <c r="L2184" i="2"/>
  <c r="K2184" i="2"/>
  <c r="J2184" i="2"/>
  <c r="I2184" i="2"/>
  <c r="K2183" i="2"/>
  <c r="L2183" i="2" s="1"/>
  <c r="J2183" i="2"/>
  <c r="I2183" i="2"/>
  <c r="L2182" i="2"/>
  <c r="K2182" i="2"/>
  <c r="J2182" i="2"/>
  <c r="I2182" i="2"/>
  <c r="K2181" i="2"/>
  <c r="L2181" i="2" s="1"/>
  <c r="J2181" i="2"/>
  <c r="I2181" i="2"/>
  <c r="L2180" i="2"/>
  <c r="K2180" i="2"/>
  <c r="J2180" i="2"/>
  <c r="I2180" i="2"/>
  <c r="K2179" i="2"/>
  <c r="L2179" i="2" s="1"/>
  <c r="J2179" i="2"/>
  <c r="I2179" i="2"/>
  <c r="L2178" i="2"/>
  <c r="K2178" i="2"/>
  <c r="J2178" i="2"/>
  <c r="I2178" i="2"/>
  <c r="K2177" i="2"/>
  <c r="L2177" i="2" s="1"/>
  <c r="J2177" i="2"/>
  <c r="I2177" i="2"/>
  <c r="L2176" i="2"/>
  <c r="K2176" i="2"/>
  <c r="J2176" i="2"/>
  <c r="I2176" i="2"/>
  <c r="K2175" i="2"/>
  <c r="L2175" i="2" s="1"/>
  <c r="J2175" i="2"/>
  <c r="I2175" i="2"/>
  <c r="L2174" i="2"/>
  <c r="K2174" i="2"/>
  <c r="J2174" i="2"/>
  <c r="I2174" i="2"/>
  <c r="K2173" i="2"/>
  <c r="L2173" i="2" s="1"/>
  <c r="J2173" i="2"/>
  <c r="I2173" i="2"/>
  <c r="L2172" i="2"/>
  <c r="K2172" i="2"/>
  <c r="J2172" i="2"/>
  <c r="I2172" i="2"/>
  <c r="K2171" i="2"/>
  <c r="L2171" i="2" s="1"/>
  <c r="J2171" i="2"/>
  <c r="I2171" i="2"/>
  <c r="L2170" i="2"/>
  <c r="K2170" i="2"/>
  <c r="J2170" i="2"/>
  <c r="I2170" i="2"/>
  <c r="K2169" i="2"/>
  <c r="L2169" i="2" s="1"/>
  <c r="J2169" i="2"/>
  <c r="I2169" i="2"/>
  <c r="L2168" i="2"/>
  <c r="K2168" i="2"/>
  <c r="J2168" i="2"/>
  <c r="I2168" i="2"/>
  <c r="K2167" i="2"/>
  <c r="L2167" i="2" s="1"/>
  <c r="J2167" i="2"/>
  <c r="I2167" i="2"/>
  <c r="L2166" i="2"/>
  <c r="K2166" i="2"/>
  <c r="J2166" i="2"/>
  <c r="I2166" i="2"/>
  <c r="K2165" i="2"/>
  <c r="L2165" i="2" s="1"/>
  <c r="J2165" i="2"/>
  <c r="I2165" i="2"/>
  <c r="L2164" i="2"/>
  <c r="K2164" i="2"/>
  <c r="J2164" i="2"/>
  <c r="I2164" i="2"/>
  <c r="K2163" i="2"/>
  <c r="L2163" i="2" s="1"/>
  <c r="J2163" i="2"/>
  <c r="I2163" i="2"/>
  <c r="L2162" i="2"/>
  <c r="K2162" i="2"/>
  <c r="J2162" i="2"/>
  <c r="I2162" i="2"/>
  <c r="K2161" i="2"/>
  <c r="L2161" i="2" s="1"/>
  <c r="J2161" i="2"/>
  <c r="I2161" i="2"/>
  <c r="L2160" i="2"/>
  <c r="K2160" i="2"/>
  <c r="J2160" i="2"/>
  <c r="I2160" i="2"/>
  <c r="K2159" i="2"/>
  <c r="L2159" i="2" s="1"/>
  <c r="J2159" i="2"/>
  <c r="I2159" i="2"/>
  <c r="L2158" i="2"/>
  <c r="K2158" i="2"/>
  <c r="J2158" i="2"/>
  <c r="I2158" i="2"/>
  <c r="K2157" i="2"/>
  <c r="L2157" i="2" s="1"/>
  <c r="J2157" i="2"/>
  <c r="I2157" i="2"/>
  <c r="L2156" i="2"/>
  <c r="K2156" i="2"/>
  <c r="J2156" i="2"/>
  <c r="I2156" i="2"/>
  <c r="K2155" i="2"/>
  <c r="L2155" i="2" s="1"/>
  <c r="J2155" i="2"/>
  <c r="I2155" i="2"/>
  <c r="L2154" i="2"/>
  <c r="K2154" i="2"/>
  <c r="J2154" i="2"/>
  <c r="I2154" i="2"/>
  <c r="K2153" i="2"/>
  <c r="L2153" i="2" s="1"/>
  <c r="J2153" i="2"/>
  <c r="I2153" i="2"/>
  <c r="L2152" i="2"/>
  <c r="K2152" i="2"/>
  <c r="J2152" i="2"/>
  <c r="I2152" i="2"/>
  <c r="K2151" i="2"/>
  <c r="L2151" i="2" s="1"/>
  <c r="J2151" i="2"/>
  <c r="I2151" i="2"/>
  <c r="L2150" i="2"/>
  <c r="K2150" i="2"/>
  <c r="J2150" i="2"/>
  <c r="I2150" i="2"/>
  <c r="K2149" i="2"/>
  <c r="L2149" i="2" s="1"/>
  <c r="J2149" i="2"/>
  <c r="I2149" i="2"/>
  <c r="L2148" i="2"/>
  <c r="K2148" i="2"/>
  <c r="J2148" i="2"/>
  <c r="I2148" i="2"/>
  <c r="K2147" i="2"/>
  <c r="L2147" i="2" s="1"/>
  <c r="J2147" i="2"/>
  <c r="I2147" i="2"/>
  <c r="L2146" i="2"/>
  <c r="K2146" i="2"/>
  <c r="J2146" i="2"/>
  <c r="I2146" i="2"/>
  <c r="K2145" i="2"/>
  <c r="L2145" i="2" s="1"/>
  <c r="J2145" i="2"/>
  <c r="I2145" i="2"/>
  <c r="L2144" i="2"/>
  <c r="K2144" i="2"/>
  <c r="J2144" i="2"/>
  <c r="I2144" i="2"/>
  <c r="K2143" i="2"/>
  <c r="L2143" i="2" s="1"/>
  <c r="J2143" i="2"/>
  <c r="I2143" i="2"/>
  <c r="L2142" i="2"/>
  <c r="K2142" i="2"/>
  <c r="J2142" i="2"/>
  <c r="I2142" i="2"/>
  <c r="K2141" i="2"/>
  <c r="L2141" i="2" s="1"/>
  <c r="J2141" i="2"/>
  <c r="I2141" i="2"/>
  <c r="L2140" i="2"/>
  <c r="K2140" i="2"/>
  <c r="J2140" i="2"/>
  <c r="I2140" i="2"/>
  <c r="K2139" i="2"/>
  <c r="L2139" i="2" s="1"/>
  <c r="J2139" i="2"/>
  <c r="I2139" i="2"/>
  <c r="L2138" i="2"/>
  <c r="K2138" i="2"/>
  <c r="J2138" i="2"/>
  <c r="I2138" i="2"/>
  <c r="K2137" i="2"/>
  <c r="L2137" i="2" s="1"/>
  <c r="J2137" i="2"/>
  <c r="I2137" i="2"/>
  <c r="L2136" i="2"/>
  <c r="K2136" i="2"/>
  <c r="J2136" i="2"/>
  <c r="I2136" i="2"/>
  <c r="K2135" i="2"/>
  <c r="L2135" i="2" s="1"/>
  <c r="J2135" i="2"/>
  <c r="I2135" i="2"/>
  <c r="L2134" i="2"/>
  <c r="K2134" i="2"/>
  <c r="J2134" i="2"/>
  <c r="I2134" i="2"/>
  <c r="K2133" i="2"/>
  <c r="L2133" i="2" s="1"/>
  <c r="J2133" i="2"/>
  <c r="I2133" i="2"/>
  <c r="L2132" i="2"/>
  <c r="K2132" i="2"/>
  <c r="J2132" i="2"/>
  <c r="I2132" i="2"/>
  <c r="K2131" i="2"/>
  <c r="L2131" i="2" s="1"/>
  <c r="J2131" i="2"/>
  <c r="I2131" i="2"/>
  <c r="L2130" i="2"/>
  <c r="K2130" i="2"/>
  <c r="J2130" i="2"/>
  <c r="I2130" i="2"/>
  <c r="K2129" i="2"/>
  <c r="L2129" i="2" s="1"/>
  <c r="J2129" i="2"/>
  <c r="I2129" i="2"/>
  <c r="L2128" i="2"/>
  <c r="K2128" i="2"/>
  <c r="J2128" i="2"/>
  <c r="I2128" i="2"/>
  <c r="K2127" i="2"/>
  <c r="L2127" i="2" s="1"/>
  <c r="J2127" i="2"/>
  <c r="I2127" i="2"/>
  <c r="L2126" i="2"/>
  <c r="K2126" i="2"/>
  <c r="J2126" i="2"/>
  <c r="I2126" i="2"/>
  <c r="K2125" i="2"/>
  <c r="L2125" i="2" s="1"/>
  <c r="J2125" i="2"/>
  <c r="I2125" i="2"/>
  <c r="L2124" i="2"/>
  <c r="K2124" i="2"/>
  <c r="J2124" i="2"/>
  <c r="I2124" i="2"/>
  <c r="K2123" i="2"/>
  <c r="L2123" i="2" s="1"/>
  <c r="J2123" i="2"/>
  <c r="I2123" i="2"/>
  <c r="L2122" i="2"/>
  <c r="K2122" i="2"/>
  <c r="J2122" i="2"/>
  <c r="I2122" i="2"/>
  <c r="K2121" i="2"/>
  <c r="L2121" i="2" s="1"/>
  <c r="J2121" i="2"/>
  <c r="I2121" i="2"/>
  <c r="L2120" i="2"/>
  <c r="K2120" i="2"/>
  <c r="J2120" i="2"/>
  <c r="I2120" i="2"/>
  <c r="K2119" i="2"/>
  <c r="L2119" i="2" s="1"/>
  <c r="J2119" i="2"/>
  <c r="I2119" i="2"/>
  <c r="L2118" i="2"/>
  <c r="K2118" i="2"/>
  <c r="J2118" i="2"/>
  <c r="I2118" i="2"/>
  <c r="K2117" i="2"/>
  <c r="L2117" i="2" s="1"/>
  <c r="J2117" i="2"/>
  <c r="I2117" i="2"/>
  <c r="L2116" i="2"/>
  <c r="K2116" i="2"/>
  <c r="J2116" i="2"/>
  <c r="I2116" i="2"/>
  <c r="K2115" i="2"/>
  <c r="L2115" i="2" s="1"/>
  <c r="J2115" i="2"/>
  <c r="I2115" i="2"/>
  <c r="L2114" i="2"/>
  <c r="K2114" i="2"/>
  <c r="J2114" i="2"/>
  <c r="I2114" i="2"/>
  <c r="K2113" i="2"/>
  <c r="L2113" i="2" s="1"/>
  <c r="J2113" i="2"/>
  <c r="I2113" i="2"/>
  <c r="L2112" i="2"/>
  <c r="K2112" i="2"/>
  <c r="J2112" i="2"/>
  <c r="I2112" i="2"/>
  <c r="K2111" i="2"/>
  <c r="L2111" i="2" s="1"/>
  <c r="J2111" i="2"/>
  <c r="I2111" i="2"/>
  <c r="L2110" i="2"/>
  <c r="K2110" i="2"/>
  <c r="J2110" i="2"/>
  <c r="I2110" i="2"/>
  <c r="K2109" i="2"/>
  <c r="L2109" i="2" s="1"/>
  <c r="J2109" i="2"/>
  <c r="I2109" i="2"/>
  <c r="L2108" i="2"/>
  <c r="K2108" i="2"/>
  <c r="J2108" i="2"/>
  <c r="I2108" i="2"/>
  <c r="K2107" i="2"/>
  <c r="L2107" i="2" s="1"/>
  <c r="J2107" i="2"/>
  <c r="I2107" i="2"/>
  <c r="L2106" i="2"/>
  <c r="K2106" i="2"/>
  <c r="J2106" i="2"/>
  <c r="I2106" i="2"/>
  <c r="K2105" i="2"/>
  <c r="L2105" i="2" s="1"/>
  <c r="J2105" i="2"/>
  <c r="I2105" i="2"/>
  <c r="L2104" i="2"/>
  <c r="K2104" i="2"/>
  <c r="J2104" i="2"/>
  <c r="I2104" i="2"/>
  <c r="K2103" i="2"/>
  <c r="L2103" i="2" s="1"/>
  <c r="J2103" i="2"/>
  <c r="I2103" i="2"/>
  <c r="L2102" i="2"/>
  <c r="K2102" i="2"/>
  <c r="J2102" i="2"/>
  <c r="I2102" i="2"/>
  <c r="K2101" i="2"/>
  <c r="L2101" i="2" s="1"/>
  <c r="J2101" i="2"/>
  <c r="I2101" i="2"/>
  <c r="L2100" i="2"/>
  <c r="K2100" i="2"/>
  <c r="J2100" i="2"/>
  <c r="I2100" i="2"/>
  <c r="K2099" i="2"/>
  <c r="L2099" i="2" s="1"/>
  <c r="J2099" i="2"/>
  <c r="I2099" i="2"/>
  <c r="L2098" i="2"/>
  <c r="K2098" i="2"/>
  <c r="J2098" i="2"/>
  <c r="I2098" i="2"/>
  <c r="K2097" i="2"/>
  <c r="L2097" i="2" s="1"/>
  <c r="J2097" i="2"/>
  <c r="I2097" i="2"/>
  <c r="L2096" i="2"/>
  <c r="K2096" i="2"/>
  <c r="J2096" i="2"/>
  <c r="I2096" i="2"/>
  <c r="K2095" i="2"/>
  <c r="L2095" i="2" s="1"/>
  <c r="J2095" i="2"/>
  <c r="I2095" i="2"/>
  <c r="L2094" i="2"/>
  <c r="K2094" i="2"/>
  <c r="J2094" i="2"/>
  <c r="I2094" i="2"/>
  <c r="K2093" i="2"/>
  <c r="L2093" i="2" s="1"/>
  <c r="J2093" i="2"/>
  <c r="I2093" i="2"/>
  <c r="L2092" i="2"/>
  <c r="K2092" i="2"/>
  <c r="J2092" i="2"/>
  <c r="I2092" i="2"/>
  <c r="K2091" i="2"/>
  <c r="L2091" i="2" s="1"/>
  <c r="J2091" i="2"/>
  <c r="I2091" i="2"/>
  <c r="L2090" i="2"/>
  <c r="K2090" i="2"/>
  <c r="J2090" i="2"/>
  <c r="I2090" i="2"/>
  <c r="K2089" i="2"/>
  <c r="L2089" i="2" s="1"/>
  <c r="J2089" i="2"/>
  <c r="I2089" i="2"/>
  <c r="L2088" i="2"/>
  <c r="K2088" i="2"/>
  <c r="J2088" i="2"/>
  <c r="I2088" i="2"/>
  <c r="K2087" i="2"/>
  <c r="L2087" i="2" s="1"/>
  <c r="J2087" i="2"/>
  <c r="I2087" i="2"/>
  <c r="L2086" i="2"/>
  <c r="K2086" i="2"/>
  <c r="J2086" i="2"/>
  <c r="I2086" i="2"/>
  <c r="K2085" i="2"/>
  <c r="L2085" i="2" s="1"/>
  <c r="J2085" i="2"/>
  <c r="I2085" i="2"/>
  <c r="L2084" i="2"/>
  <c r="K2084" i="2"/>
  <c r="J2084" i="2"/>
  <c r="I2084" i="2"/>
  <c r="K2083" i="2"/>
  <c r="L2083" i="2" s="1"/>
  <c r="J2083" i="2"/>
  <c r="I2083" i="2"/>
  <c r="L2082" i="2"/>
  <c r="K2082" i="2"/>
  <c r="J2082" i="2"/>
  <c r="I2082" i="2"/>
  <c r="K2081" i="2"/>
  <c r="L2081" i="2" s="1"/>
  <c r="J2081" i="2"/>
  <c r="I2081" i="2"/>
  <c r="L2080" i="2"/>
  <c r="K2080" i="2"/>
  <c r="J2080" i="2"/>
  <c r="I2080" i="2"/>
  <c r="K2079" i="2"/>
  <c r="L2079" i="2" s="1"/>
  <c r="J2079" i="2"/>
  <c r="I2079" i="2"/>
  <c r="L2078" i="2"/>
  <c r="K2078" i="2"/>
  <c r="J2078" i="2"/>
  <c r="I2078" i="2"/>
  <c r="K2077" i="2"/>
  <c r="L2077" i="2" s="1"/>
  <c r="J2077" i="2"/>
  <c r="I2077" i="2"/>
  <c r="L2076" i="2"/>
  <c r="K2076" i="2"/>
  <c r="J2076" i="2"/>
  <c r="I2076" i="2"/>
  <c r="K2075" i="2"/>
  <c r="L2075" i="2" s="1"/>
  <c r="J2075" i="2"/>
  <c r="I2075" i="2"/>
  <c r="L2074" i="2"/>
  <c r="K2074" i="2"/>
  <c r="J2074" i="2"/>
  <c r="I2074" i="2"/>
  <c r="K2073" i="2"/>
  <c r="L2073" i="2" s="1"/>
  <c r="J2073" i="2"/>
  <c r="I2073" i="2"/>
  <c r="L2072" i="2"/>
  <c r="K2072" i="2"/>
  <c r="J2072" i="2"/>
  <c r="I2072" i="2"/>
  <c r="K2071" i="2"/>
  <c r="L2071" i="2" s="1"/>
  <c r="J2071" i="2"/>
  <c r="I2071" i="2"/>
  <c r="L2070" i="2"/>
  <c r="K2070" i="2"/>
  <c r="J2070" i="2"/>
  <c r="I2070" i="2"/>
  <c r="K2069" i="2"/>
  <c r="L2069" i="2" s="1"/>
  <c r="J2069" i="2"/>
  <c r="I2069" i="2"/>
  <c r="L2068" i="2"/>
  <c r="K2068" i="2"/>
  <c r="J2068" i="2"/>
  <c r="I2068" i="2"/>
  <c r="K2067" i="2"/>
  <c r="L2067" i="2" s="1"/>
  <c r="J2067" i="2"/>
  <c r="I2067" i="2"/>
  <c r="L2066" i="2"/>
  <c r="K2066" i="2"/>
  <c r="J2066" i="2"/>
  <c r="I2066" i="2"/>
  <c r="K2065" i="2"/>
  <c r="L2065" i="2" s="1"/>
  <c r="J2065" i="2"/>
  <c r="I2065" i="2"/>
  <c r="L2064" i="2"/>
  <c r="K2064" i="2"/>
  <c r="J2064" i="2"/>
  <c r="I2064" i="2"/>
  <c r="K2063" i="2"/>
  <c r="L2063" i="2" s="1"/>
  <c r="J2063" i="2"/>
  <c r="I2063" i="2"/>
  <c r="L2062" i="2"/>
  <c r="K2062" i="2"/>
  <c r="J2062" i="2"/>
  <c r="I2062" i="2"/>
  <c r="K2061" i="2"/>
  <c r="L2061" i="2" s="1"/>
  <c r="J2061" i="2"/>
  <c r="I2061" i="2"/>
  <c r="L2060" i="2"/>
  <c r="K2060" i="2"/>
  <c r="J2060" i="2"/>
  <c r="I2060" i="2"/>
  <c r="K2059" i="2"/>
  <c r="L2059" i="2" s="1"/>
  <c r="J2059" i="2"/>
  <c r="I2059" i="2"/>
  <c r="L2058" i="2"/>
  <c r="K2058" i="2"/>
  <c r="J2058" i="2"/>
  <c r="I2058" i="2"/>
  <c r="K2057" i="2"/>
  <c r="L2057" i="2" s="1"/>
  <c r="J2057" i="2"/>
  <c r="I2057" i="2"/>
  <c r="L2056" i="2"/>
  <c r="K2056" i="2"/>
  <c r="J2056" i="2"/>
  <c r="I2056" i="2"/>
  <c r="K2055" i="2"/>
  <c r="L2055" i="2" s="1"/>
  <c r="J2055" i="2"/>
  <c r="I2055" i="2"/>
  <c r="L2054" i="2"/>
  <c r="K2054" i="2"/>
  <c r="J2054" i="2"/>
  <c r="I2054" i="2"/>
  <c r="K2053" i="2"/>
  <c r="L2053" i="2" s="1"/>
  <c r="J2053" i="2"/>
  <c r="I2053" i="2"/>
  <c r="L2052" i="2"/>
  <c r="K2052" i="2"/>
  <c r="J2052" i="2"/>
  <c r="I2052" i="2"/>
  <c r="K2051" i="2"/>
  <c r="L2051" i="2" s="1"/>
  <c r="J2051" i="2"/>
  <c r="I2051" i="2"/>
  <c r="L2050" i="2"/>
  <c r="K2050" i="2"/>
  <c r="J2050" i="2"/>
  <c r="I2050" i="2"/>
  <c r="K2049" i="2"/>
  <c r="L2049" i="2" s="1"/>
  <c r="J2049" i="2"/>
  <c r="I2049" i="2"/>
  <c r="L2048" i="2"/>
  <c r="K2048" i="2"/>
  <c r="J2048" i="2"/>
  <c r="I2048" i="2"/>
  <c r="K2047" i="2"/>
  <c r="L2047" i="2" s="1"/>
  <c r="J2047" i="2"/>
  <c r="I2047" i="2"/>
  <c r="L2046" i="2"/>
  <c r="K2046" i="2"/>
  <c r="J2046" i="2"/>
  <c r="I2046" i="2"/>
  <c r="K2045" i="2"/>
  <c r="L2045" i="2" s="1"/>
  <c r="J2045" i="2"/>
  <c r="I2045" i="2"/>
  <c r="L2044" i="2"/>
  <c r="K2044" i="2"/>
  <c r="J2044" i="2"/>
  <c r="I2044" i="2"/>
  <c r="K2043" i="2"/>
  <c r="L2043" i="2" s="1"/>
  <c r="J2043" i="2"/>
  <c r="I2043" i="2"/>
  <c r="L2042" i="2"/>
  <c r="K2042" i="2"/>
  <c r="J2042" i="2"/>
  <c r="I2042" i="2"/>
  <c r="K2041" i="2"/>
  <c r="L2041" i="2" s="1"/>
  <c r="J2041" i="2"/>
  <c r="I2041" i="2"/>
  <c r="L2040" i="2"/>
  <c r="K2040" i="2"/>
  <c r="J2040" i="2"/>
  <c r="I2040" i="2"/>
  <c r="K2039" i="2"/>
  <c r="L2039" i="2" s="1"/>
  <c r="J2039" i="2"/>
  <c r="I2039" i="2"/>
  <c r="L2038" i="2"/>
  <c r="K2038" i="2"/>
  <c r="J2038" i="2"/>
  <c r="I2038" i="2"/>
  <c r="K2037" i="2"/>
  <c r="L2037" i="2" s="1"/>
  <c r="J2037" i="2"/>
  <c r="I2037" i="2"/>
  <c r="L2036" i="2"/>
  <c r="K2036" i="2"/>
  <c r="J2036" i="2"/>
  <c r="I2036" i="2"/>
  <c r="K2035" i="2"/>
  <c r="L2035" i="2" s="1"/>
  <c r="J2035" i="2"/>
  <c r="I2035" i="2"/>
  <c r="L2034" i="2"/>
  <c r="K2034" i="2"/>
  <c r="J2034" i="2"/>
  <c r="I2034" i="2"/>
  <c r="K2033" i="2"/>
  <c r="L2033" i="2" s="1"/>
  <c r="J2033" i="2"/>
  <c r="I2033" i="2"/>
  <c r="L2032" i="2"/>
  <c r="K2032" i="2"/>
  <c r="J2032" i="2"/>
  <c r="I2032" i="2"/>
  <c r="K2031" i="2"/>
  <c r="L2031" i="2" s="1"/>
  <c r="J2031" i="2"/>
  <c r="I2031" i="2"/>
  <c r="L2030" i="2"/>
  <c r="K2030" i="2"/>
  <c r="J2030" i="2"/>
  <c r="I2030" i="2"/>
  <c r="K2029" i="2"/>
  <c r="L2029" i="2" s="1"/>
  <c r="J2029" i="2"/>
  <c r="I2029" i="2"/>
  <c r="L2028" i="2"/>
  <c r="K2028" i="2"/>
  <c r="J2028" i="2"/>
  <c r="I2028" i="2"/>
  <c r="K2027" i="2"/>
  <c r="L2027" i="2" s="1"/>
  <c r="J2027" i="2"/>
  <c r="I2027" i="2"/>
  <c r="L2026" i="2"/>
  <c r="K2026" i="2"/>
  <c r="J2026" i="2"/>
  <c r="I2026" i="2"/>
  <c r="K2025" i="2"/>
  <c r="L2025" i="2" s="1"/>
  <c r="J2025" i="2"/>
  <c r="I2025" i="2"/>
  <c r="L2024" i="2"/>
  <c r="K2024" i="2"/>
  <c r="J2024" i="2"/>
  <c r="I2024" i="2"/>
  <c r="K2023" i="2"/>
  <c r="L2023" i="2" s="1"/>
  <c r="J2023" i="2"/>
  <c r="I2023" i="2"/>
  <c r="L2022" i="2"/>
  <c r="K2022" i="2"/>
  <c r="J2022" i="2"/>
  <c r="I2022" i="2"/>
  <c r="K2021" i="2"/>
  <c r="L2021" i="2" s="1"/>
  <c r="J2021" i="2"/>
  <c r="I2021" i="2"/>
  <c r="L2020" i="2"/>
  <c r="K2020" i="2"/>
  <c r="J2020" i="2"/>
  <c r="I2020" i="2"/>
  <c r="K2019" i="2"/>
  <c r="L2019" i="2" s="1"/>
  <c r="J2019" i="2"/>
  <c r="I2019" i="2"/>
  <c r="L2018" i="2"/>
  <c r="K2018" i="2"/>
  <c r="J2018" i="2"/>
  <c r="I2018" i="2"/>
  <c r="K2017" i="2"/>
  <c r="L2017" i="2" s="1"/>
  <c r="J2017" i="2"/>
  <c r="I2017" i="2"/>
  <c r="L2016" i="2"/>
  <c r="K2016" i="2"/>
  <c r="J2016" i="2"/>
  <c r="I2016" i="2"/>
  <c r="K2015" i="2"/>
  <c r="L2015" i="2" s="1"/>
  <c r="J2015" i="2"/>
  <c r="I2015" i="2"/>
  <c r="L2014" i="2"/>
  <c r="K2014" i="2"/>
  <c r="J2014" i="2"/>
  <c r="I2014" i="2"/>
  <c r="K2013" i="2"/>
  <c r="L2013" i="2" s="1"/>
  <c r="J2013" i="2"/>
  <c r="I2013" i="2"/>
  <c r="L2012" i="2"/>
  <c r="K2012" i="2"/>
  <c r="J2012" i="2"/>
  <c r="I2012" i="2"/>
  <c r="K2011" i="2"/>
  <c r="L2011" i="2" s="1"/>
  <c r="J2011" i="2"/>
  <c r="I2011" i="2"/>
  <c r="L2010" i="2"/>
  <c r="K2010" i="2"/>
  <c r="J2010" i="2"/>
  <c r="I2010" i="2"/>
  <c r="K2009" i="2"/>
  <c r="L2009" i="2" s="1"/>
  <c r="J2009" i="2"/>
  <c r="I2009" i="2"/>
  <c r="L2008" i="2"/>
  <c r="K2008" i="2"/>
  <c r="J2008" i="2"/>
  <c r="I2008" i="2"/>
  <c r="K2007" i="2"/>
  <c r="L2007" i="2" s="1"/>
  <c r="J2007" i="2"/>
  <c r="I2007" i="2"/>
  <c r="L2006" i="2"/>
  <c r="K2006" i="2"/>
  <c r="J2006" i="2"/>
  <c r="I2006" i="2"/>
  <c r="K2005" i="2"/>
  <c r="L2005" i="2" s="1"/>
  <c r="J2005" i="2"/>
  <c r="I2005" i="2"/>
  <c r="L2004" i="2"/>
  <c r="K2004" i="2"/>
  <c r="J2004" i="2"/>
  <c r="I2004" i="2"/>
  <c r="K2003" i="2"/>
  <c r="L2003" i="2" s="1"/>
  <c r="J2003" i="2"/>
  <c r="I2003" i="2"/>
  <c r="L2002" i="2"/>
  <c r="K2002" i="2"/>
  <c r="J2002" i="2"/>
  <c r="I2002" i="2"/>
  <c r="K2001" i="2"/>
  <c r="L2001" i="2" s="1"/>
  <c r="J2001" i="2"/>
  <c r="I2001" i="2"/>
  <c r="L2000" i="2"/>
  <c r="K2000" i="2"/>
  <c r="J2000" i="2"/>
  <c r="I2000" i="2"/>
  <c r="K1999" i="2"/>
  <c r="L1999" i="2" s="1"/>
  <c r="J1999" i="2"/>
  <c r="I1999" i="2"/>
  <c r="L1998" i="2"/>
  <c r="K1998" i="2"/>
  <c r="J1998" i="2"/>
  <c r="I1998" i="2"/>
  <c r="K1997" i="2"/>
  <c r="L1997" i="2" s="1"/>
  <c r="J1997" i="2"/>
  <c r="I1997" i="2"/>
  <c r="L1996" i="2"/>
  <c r="K1996" i="2"/>
  <c r="J1996" i="2"/>
  <c r="I1996" i="2"/>
  <c r="K1995" i="2"/>
  <c r="L1995" i="2" s="1"/>
  <c r="J1995" i="2"/>
  <c r="I1995" i="2"/>
  <c r="L1994" i="2"/>
  <c r="K1994" i="2"/>
  <c r="J1994" i="2"/>
  <c r="I1994" i="2"/>
  <c r="K1993" i="2"/>
  <c r="L1993" i="2" s="1"/>
  <c r="J1993" i="2"/>
  <c r="I1993" i="2"/>
  <c r="L1992" i="2"/>
  <c r="K1992" i="2"/>
  <c r="J1992" i="2"/>
  <c r="I1992" i="2"/>
  <c r="K1991" i="2"/>
  <c r="L1991" i="2" s="1"/>
  <c r="J1991" i="2"/>
  <c r="I1991" i="2"/>
  <c r="L1990" i="2"/>
  <c r="K1990" i="2"/>
  <c r="J1990" i="2"/>
  <c r="I1990" i="2"/>
  <c r="K1989" i="2"/>
  <c r="L1989" i="2" s="1"/>
  <c r="J1989" i="2"/>
  <c r="I1989" i="2"/>
  <c r="L1988" i="2"/>
  <c r="K1988" i="2"/>
  <c r="J1988" i="2"/>
  <c r="I1988" i="2"/>
  <c r="K1987" i="2"/>
  <c r="L1987" i="2" s="1"/>
  <c r="J1987" i="2"/>
  <c r="I1987" i="2"/>
  <c r="L1986" i="2"/>
  <c r="K1986" i="2"/>
  <c r="J1986" i="2"/>
  <c r="I1986" i="2"/>
  <c r="K1985" i="2"/>
  <c r="L1985" i="2" s="1"/>
  <c r="J1985" i="2"/>
  <c r="I1985" i="2"/>
  <c r="L1984" i="2"/>
  <c r="K1984" i="2"/>
  <c r="J1984" i="2"/>
  <c r="I1984" i="2"/>
  <c r="K1983" i="2"/>
  <c r="L1983" i="2" s="1"/>
  <c r="J1983" i="2"/>
  <c r="I1983" i="2"/>
  <c r="L1982" i="2"/>
  <c r="K1982" i="2"/>
  <c r="J1982" i="2"/>
  <c r="I1982" i="2"/>
  <c r="K1981" i="2"/>
  <c r="L1981" i="2" s="1"/>
  <c r="J1981" i="2"/>
  <c r="I1981" i="2"/>
  <c r="L1980" i="2"/>
  <c r="K1980" i="2"/>
  <c r="J1980" i="2"/>
  <c r="I1980" i="2"/>
  <c r="K1979" i="2"/>
  <c r="L1979" i="2" s="1"/>
  <c r="J1979" i="2"/>
  <c r="I1979" i="2"/>
  <c r="L1978" i="2"/>
  <c r="K1978" i="2"/>
  <c r="J1978" i="2"/>
  <c r="I1978" i="2"/>
  <c r="K1977" i="2"/>
  <c r="L1977" i="2" s="1"/>
  <c r="J1977" i="2"/>
  <c r="I1977" i="2"/>
  <c r="L1976" i="2"/>
  <c r="K1976" i="2"/>
  <c r="J1976" i="2"/>
  <c r="I1976" i="2"/>
  <c r="K1975" i="2"/>
  <c r="L1975" i="2" s="1"/>
  <c r="J1975" i="2"/>
  <c r="I1975" i="2"/>
  <c r="L1974" i="2"/>
  <c r="K1974" i="2"/>
  <c r="J1974" i="2"/>
  <c r="I1974" i="2"/>
  <c r="K1973" i="2"/>
  <c r="L1973" i="2" s="1"/>
  <c r="J1973" i="2"/>
  <c r="I1973" i="2"/>
  <c r="L1972" i="2"/>
  <c r="K1972" i="2"/>
  <c r="J1972" i="2"/>
  <c r="I1972" i="2"/>
  <c r="K1971" i="2"/>
  <c r="L1971" i="2" s="1"/>
  <c r="J1971" i="2"/>
  <c r="I1971" i="2"/>
  <c r="L1970" i="2"/>
  <c r="K1970" i="2"/>
  <c r="J1970" i="2"/>
  <c r="I1970" i="2"/>
  <c r="K1969" i="2"/>
  <c r="L1969" i="2" s="1"/>
  <c r="J1969" i="2"/>
  <c r="I1969" i="2"/>
  <c r="L1968" i="2"/>
  <c r="K1968" i="2"/>
  <c r="J1968" i="2"/>
  <c r="I1968" i="2"/>
  <c r="K1967" i="2"/>
  <c r="L1967" i="2" s="1"/>
  <c r="J1967" i="2"/>
  <c r="I1967" i="2"/>
  <c r="L1966" i="2"/>
  <c r="K1966" i="2"/>
  <c r="J1966" i="2"/>
  <c r="I1966" i="2"/>
  <c r="K1965" i="2"/>
  <c r="L1965" i="2" s="1"/>
  <c r="J1965" i="2"/>
  <c r="I1965" i="2"/>
  <c r="L1964" i="2"/>
  <c r="K1964" i="2"/>
  <c r="J1964" i="2"/>
  <c r="I1964" i="2"/>
  <c r="K1963" i="2"/>
  <c r="L1963" i="2" s="1"/>
  <c r="J1963" i="2"/>
  <c r="I1963" i="2"/>
  <c r="L1962" i="2"/>
  <c r="K1962" i="2"/>
  <c r="J1962" i="2"/>
  <c r="I1962" i="2"/>
  <c r="K1961" i="2"/>
  <c r="L1961" i="2" s="1"/>
  <c r="J1961" i="2"/>
  <c r="I1961" i="2"/>
  <c r="L1960" i="2"/>
  <c r="K1960" i="2"/>
  <c r="J1960" i="2"/>
  <c r="I1960" i="2"/>
  <c r="K1959" i="2"/>
  <c r="L1959" i="2" s="1"/>
  <c r="J1959" i="2"/>
  <c r="I1959" i="2"/>
  <c r="L1958" i="2"/>
  <c r="K1958" i="2"/>
  <c r="J1958" i="2"/>
  <c r="I1958" i="2"/>
  <c r="K1957" i="2"/>
  <c r="L1957" i="2" s="1"/>
  <c r="J1957" i="2"/>
  <c r="I1957" i="2"/>
  <c r="L1956" i="2"/>
  <c r="K1956" i="2"/>
  <c r="J1956" i="2"/>
  <c r="I1956" i="2"/>
  <c r="K1955" i="2"/>
  <c r="L1955" i="2" s="1"/>
  <c r="J1955" i="2"/>
  <c r="I1955" i="2"/>
  <c r="L1954" i="2"/>
  <c r="K1954" i="2"/>
  <c r="J1954" i="2"/>
  <c r="I1954" i="2"/>
  <c r="K1953" i="2"/>
  <c r="L1953" i="2" s="1"/>
  <c r="J1953" i="2"/>
  <c r="I1953" i="2"/>
  <c r="L1952" i="2"/>
  <c r="K1952" i="2"/>
  <c r="J1952" i="2"/>
  <c r="I1952" i="2"/>
  <c r="K1951" i="2"/>
  <c r="L1951" i="2" s="1"/>
  <c r="J1951" i="2"/>
  <c r="I1951" i="2"/>
  <c r="L1950" i="2"/>
  <c r="K1950" i="2"/>
  <c r="J1950" i="2"/>
  <c r="I1950" i="2"/>
  <c r="K1949" i="2"/>
  <c r="L1949" i="2" s="1"/>
  <c r="J1949" i="2"/>
  <c r="I1949" i="2"/>
  <c r="L1948" i="2"/>
  <c r="K1948" i="2"/>
  <c r="J1948" i="2"/>
  <c r="I1948" i="2"/>
  <c r="K1947" i="2"/>
  <c r="L1947" i="2" s="1"/>
  <c r="J1947" i="2"/>
  <c r="I1947" i="2"/>
  <c r="L1946" i="2"/>
  <c r="K1946" i="2"/>
  <c r="J1946" i="2"/>
  <c r="I1946" i="2"/>
  <c r="K1945" i="2"/>
  <c r="L1945" i="2" s="1"/>
  <c r="J1945" i="2"/>
  <c r="I1945" i="2"/>
  <c r="L1944" i="2"/>
  <c r="K1944" i="2"/>
  <c r="J1944" i="2"/>
  <c r="I1944" i="2"/>
  <c r="K1943" i="2"/>
  <c r="L1943" i="2" s="1"/>
  <c r="J1943" i="2"/>
  <c r="I1943" i="2"/>
  <c r="L1942" i="2"/>
  <c r="K1942" i="2"/>
  <c r="J1942" i="2"/>
  <c r="I1942" i="2"/>
  <c r="K1941" i="2"/>
  <c r="L1941" i="2" s="1"/>
  <c r="J1941" i="2"/>
  <c r="I1941" i="2"/>
  <c r="L1940" i="2"/>
  <c r="K1940" i="2"/>
  <c r="J1940" i="2"/>
  <c r="I1940" i="2"/>
  <c r="K1939" i="2"/>
  <c r="L1939" i="2" s="1"/>
  <c r="J1939" i="2"/>
  <c r="I1939" i="2"/>
  <c r="L1938" i="2"/>
  <c r="K1938" i="2"/>
  <c r="J1938" i="2"/>
  <c r="I1938" i="2"/>
  <c r="K1937" i="2"/>
  <c r="L1937" i="2" s="1"/>
  <c r="J1937" i="2"/>
  <c r="I1937" i="2"/>
  <c r="L1936" i="2"/>
  <c r="K1936" i="2"/>
  <c r="J1936" i="2"/>
  <c r="I1936" i="2"/>
  <c r="K1935" i="2"/>
  <c r="L1935" i="2" s="1"/>
  <c r="J1935" i="2"/>
  <c r="I1935" i="2"/>
  <c r="L1934" i="2"/>
  <c r="K1934" i="2"/>
  <c r="J1934" i="2"/>
  <c r="I1934" i="2"/>
  <c r="K1933" i="2"/>
  <c r="L1933" i="2" s="1"/>
  <c r="J1933" i="2"/>
  <c r="I1933" i="2"/>
  <c r="L1932" i="2"/>
  <c r="K1932" i="2"/>
  <c r="J1932" i="2"/>
  <c r="I1932" i="2"/>
  <c r="K1931" i="2"/>
  <c r="L1931" i="2" s="1"/>
  <c r="J1931" i="2"/>
  <c r="I1931" i="2"/>
  <c r="L1930" i="2"/>
  <c r="K1930" i="2"/>
  <c r="J1930" i="2"/>
  <c r="I1930" i="2"/>
  <c r="K1929" i="2"/>
  <c r="L1929" i="2" s="1"/>
  <c r="J1929" i="2"/>
  <c r="I1929" i="2"/>
  <c r="L1928" i="2"/>
  <c r="K1928" i="2"/>
  <c r="J1928" i="2"/>
  <c r="I1928" i="2"/>
  <c r="K1927" i="2"/>
  <c r="L1927" i="2" s="1"/>
  <c r="J1927" i="2"/>
  <c r="I1927" i="2"/>
  <c r="L1926" i="2"/>
  <c r="K1926" i="2"/>
  <c r="J1926" i="2"/>
  <c r="I1926" i="2"/>
  <c r="K1925" i="2"/>
  <c r="L1925" i="2" s="1"/>
  <c r="J1925" i="2"/>
  <c r="I1925" i="2"/>
  <c r="L1924" i="2"/>
  <c r="K1924" i="2"/>
  <c r="J1924" i="2"/>
  <c r="I1924" i="2"/>
  <c r="K1923" i="2"/>
  <c r="L1923" i="2" s="1"/>
  <c r="J1923" i="2"/>
  <c r="I1923" i="2"/>
  <c r="L1922" i="2"/>
  <c r="K1922" i="2"/>
  <c r="J1922" i="2"/>
  <c r="I1922" i="2"/>
  <c r="K1921" i="2"/>
  <c r="L1921" i="2" s="1"/>
  <c r="J1921" i="2"/>
  <c r="I1921" i="2"/>
  <c r="L1920" i="2"/>
  <c r="K1920" i="2"/>
  <c r="J1920" i="2"/>
  <c r="I1920" i="2"/>
  <c r="K1919" i="2"/>
  <c r="L1919" i="2" s="1"/>
  <c r="J1919" i="2"/>
  <c r="I1919" i="2"/>
  <c r="L1918" i="2"/>
  <c r="K1918" i="2"/>
  <c r="J1918" i="2"/>
  <c r="I1918" i="2"/>
  <c r="K1917" i="2"/>
  <c r="L1917" i="2" s="1"/>
  <c r="J1917" i="2"/>
  <c r="I1917" i="2"/>
  <c r="L1916" i="2"/>
  <c r="K1916" i="2"/>
  <c r="J1916" i="2"/>
  <c r="I1916" i="2"/>
  <c r="K1915" i="2"/>
  <c r="L1915" i="2" s="1"/>
  <c r="J1915" i="2"/>
  <c r="I1915" i="2"/>
  <c r="L1914" i="2"/>
  <c r="K1914" i="2"/>
  <c r="J1914" i="2"/>
  <c r="I1914" i="2"/>
  <c r="K1913" i="2"/>
  <c r="L1913" i="2" s="1"/>
  <c r="J1913" i="2"/>
  <c r="I1913" i="2"/>
  <c r="L1912" i="2"/>
  <c r="K1912" i="2"/>
  <c r="J1912" i="2"/>
  <c r="I1912" i="2"/>
  <c r="K1911" i="2"/>
  <c r="L1911" i="2" s="1"/>
  <c r="J1911" i="2"/>
  <c r="I1911" i="2"/>
  <c r="L1910" i="2"/>
  <c r="K1910" i="2"/>
  <c r="J1910" i="2"/>
  <c r="I1910" i="2"/>
  <c r="K1909" i="2"/>
  <c r="L1909" i="2" s="1"/>
  <c r="J1909" i="2"/>
  <c r="I1909" i="2"/>
  <c r="L1908" i="2"/>
  <c r="K1908" i="2"/>
  <c r="J1908" i="2"/>
  <c r="I1908" i="2"/>
  <c r="K1907" i="2"/>
  <c r="L1907" i="2" s="1"/>
  <c r="J1907" i="2"/>
  <c r="I1907" i="2"/>
  <c r="L1906" i="2"/>
  <c r="K1906" i="2"/>
  <c r="J1906" i="2"/>
  <c r="I1906" i="2"/>
  <c r="K1905" i="2"/>
  <c r="L1905" i="2" s="1"/>
  <c r="J1905" i="2"/>
  <c r="I1905" i="2"/>
  <c r="L1904" i="2"/>
  <c r="K1904" i="2"/>
  <c r="J1904" i="2"/>
  <c r="I1904" i="2"/>
  <c r="K1903" i="2"/>
  <c r="L1903" i="2" s="1"/>
  <c r="J1903" i="2"/>
  <c r="I1903" i="2"/>
  <c r="L1902" i="2"/>
  <c r="K1902" i="2"/>
  <c r="J1902" i="2"/>
  <c r="I1902" i="2"/>
  <c r="K1901" i="2"/>
  <c r="L1901" i="2" s="1"/>
  <c r="J1901" i="2"/>
  <c r="I1901" i="2"/>
  <c r="L1900" i="2"/>
  <c r="K1900" i="2"/>
  <c r="J1900" i="2"/>
  <c r="I1900" i="2"/>
  <c r="K1899" i="2"/>
  <c r="L1899" i="2" s="1"/>
  <c r="J1899" i="2"/>
  <c r="I1899" i="2"/>
  <c r="L1898" i="2"/>
  <c r="K1898" i="2"/>
  <c r="J1898" i="2"/>
  <c r="I1898" i="2"/>
  <c r="K1897" i="2"/>
  <c r="L1897" i="2" s="1"/>
  <c r="J1897" i="2"/>
  <c r="I1897" i="2"/>
  <c r="L1896" i="2"/>
  <c r="K1896" i="2"/>
  <c r="J1896" i="2"/>
  <c r="I1896" i="2"/>
  <c r="K1895" i="2"/>
  <c r="L1895" i="2" s="1"/>
  <c r="J1895" i="2"/>
  <c r="I1895" i="2"/>
  <c r="L1894" i="2"/>
  <c r="K1894" i="2"/>
  <c r="J1894" i="2"/>
  <c r="I1894" i="2"/>
  <c r="K1893" i="2"/>
  <c r="L1893" i="2" s="1"/>
  <c r="J1893" i="2"/>
  <c r="I1893" i="2"/>
  <c r="L1892" i="2"/>
  <c r="K1892" i="2"/>
  <c r="J1892" i="2"/>
  <c r="I1892" i="2"/>
  <c r="K1891" i="2"/>
  <c r="L1891" i="2" s="1"/>
  <c r="J1891" i="2"/>
  <c r="I1891" i="2"/>
  <c r="L1890" i="2"/>
  <c r="K1890" i="2"/>
  <c r="J1890" i="2"/>
  <c r="I1890" i="2"/>
  <c r="K1889" i="2"/>
  <c r="L1889" i="2" s="1"/>
  <c r="J1889" i="2"/>
  <c r="I1889" i="2"/>
  <c r="L1888" i="2"/>
  <c r="K1888" i="2"/>
  <c r="J1888" i="2"/>
  <c r="I1888" i="2"/>
  <c r="K1887" i="2"/>
  <c r="L1887" i="2" s="1"/>
  <c r="J1887" i="2"/>
  <c r="I1887" i="2"/>
  <c r="L1886" i="2"/>
  <c r="K1886" i="2"/>
  <c r="J1886" i="2"/>
  <c r="I1886" i="2"/>
  <c r="K1885" i="2"/>
  <c r="L1885" i="2" s="1"/>
  <c r="J1885" i="2"/>
  <c r="I1885" i="2"/>
  <c r="L1884" i="2"/>
  <c r="K1884" i="2"/>
  <c r="J1884" i="2"/>
  <c r="I1884" i="2"/>
  <c r="K1883" i="2"/>
  <c r="L1883" i="2" s="1"/>
  <c r="J1883" i="2"/>
  <c r="I1883" i="2"/>
  <c r="L1882" i="2"/>
  <c r="K1882" i="2"/>
  <c r="J1882" i="2"/>
  <c r="I1882" i="2"/>
  <c r="K1881" i="2"/>
  <c r="L1881" i="2" s="1"/>
  <c r="J1881" i="2"/>
  <c r="I1881" i="2"/>
  <c r="L1880" i="2"/>
  <c r="K1880" i="2"/>
  <c r="J1880" i="2"/>
  <c r="I1880" i="2"/>
  <c r="K1879" i="2"/>
  <c r="L1879" i="2" s="1"/>
  <c r="J1879" i="2"/>
  <c r="I1879" i="2"/>
  <c r="L1878" i="2"/>
  <c r="K1878" i="2"/>
  <c r="J1878" i="2"/>
  <c r="I1878" i="2"/>
  <c r="K1877" i="2"/>
  <c r="L1877" i="2" s="1"/>
  <c r="J1877" i="2"/>
  <c r="I1877" i="2"/>
  <c r="L1876" i="2"/>
  <c r="K1876" i="2"/>
  <c r="J1876" i="2"/>
  <c r="I1876" i="2"/>
  <c r="K1875" i="2"/>
  <c r="L1875" i="2" s="1"/>
  <c r="J1875" i="2"/>
  <c r="I1875" i="2"/>
  <c r="L1874" i="2"/>
  <c r="K1874" i="2"/>
  <c r="J1874" i="2"/>
  <c r="I1874" i="2"/>
  <c r="K1873" i="2"/>
  <c r="L1873" i="2" s="1"/>
  <c r="J1873" i="2"/>
  <c r="I1873" i="2"/>
  <c r="L1872" i="2"/>
  <c r="K1872" i="2"/>
  <c r="J1872" i="2"/>
  <c r="I1872" i="2"/>
  <c r="K1871" i="2"/>
  <c r="L1871" i="2" s="1"/>
  <c r="J1871" i="2"/>
  <c r="I1871" i="2"/>
  <c r="L1870" i="2"/>
  <c r="K1870" i="2"/>
  <c r="J1870" i="2"/>
  <c r="I1870" i="2"/>
  <c r="K1869" i="2"/>
  <c r="L1869" i="2" s="1"/>
  <c r="J1869" i="2"/>
  <c r="I1869" i="2"/>
  <c r="L1868" i="2"/>
  <c r="K1868" i="2"/>
  <c r="J1868" i="2"/>
  <c r="I1868" i="2"/>
  <c r="K1867" i="2"/>
  <c r="L1867" i="2" s="1"/>
  <c r="J1867" i="2"/>
  <c r="I1867" i="2"/>
  <c r="L1866" i="2"/>
  <c r="K1866" i="2"/>
  <c r="J1866" i="2"/>
  <c r="I1866" i="2"/>
  <c r="K1865" i="2"/>
  <c r="L1865" i="2" s="1"/>
  <c r="J1865" i="2"/>
  <c r="I1865" i="2"/>
  <c r="L1864" i="2"/>
  <c r="K1864" i="2"/>
  <c r="J1864" i="2"/>
  <c r="I1864" i="2"/>
  <c r="K1863" i="2"/>
  <c r="L1863" i="2" s="1"/>
  <c r="J1863" i="2"/>
  <c r="I1863" i="2"/>
  <c r="L1862" i="2"/>
  <c r="K1862" i="2"/>
  <c r="J1862" i="2"/>
  <c r="I1862" i="2"/>
  <c r="K1861" i="2"/>
  <c r="L1861" i="2" s="1"/>
  <c r="J1861" i="2"/>
  <c r="I1861" i="2"/>
  <c r="L1860" i="2"/>
  <c r="K1860" i="2"/>
  <c r="J1860" i="2"/>
  <c r="I1860" i="2"/>
  <c r="K1859" i="2"/>
  <c r="L1859" i="2" s="1"/>
  <c r="J1859" i="2"/>
  <c r="I1859" i="2"/>
  <c r="L1858" i="2"/>
  <c r="K1858" i="2"/>
  <c r="J1858" i="2"/>
  <c r="I1858" i="2"/>
  <c r="K1857" i="2"/>
  <c r="L1857" i="2" s="1"/>
  <c r="J1857" i="2"/>
  <c r="I1857" i="2"/>
  <c r="L1856" i="2"/>
  <c r="K1856" i="2"/>
  <c r="J1856" i="2"/>
  <c r="I1856" i="2"/>
  <c r="K1855" i="2"/>
  <c r="L1855" i="2" s="1"/>
  <c r="J1855" i="2"/>
  <c r="I1855" i="2"/>
  <c r="L1854" i="2"/>
  <c r="K1854" i="2"/>
  <c r="J1854" i="2"/>
  <c r="I1854" i="2"/>
  <c r="K1853" i="2"/>
  <c r="L1853" i="2" s="1"/>
  <c r="J1853" i="2"/>
  <c r="I1853" i="2"/>
  <c r="L1852" i="2"/>
  <c r="K1852" i="2"/>
  <c r="J1852" i="2"/>
  <c r="I1852" i="2"/>
  <c r="K1851" i="2"/>
  <c r="L1851" i="2" s="1"/>
  <c r="J1851" i="2"/>
  <c r="I1851" i="2"/>
  <c r="L1850" i="2"/>
  <c r="K1850" i="2"/>
  <c r="J1850" i="2"/>
  <c r="I1850" i="2"/>
  <c r="K1849" i="2"/>
  <c r="L1849" i="2" s="1"/>
  <c r="J1849" i="2"/>
  <c r="I1849" i="2"/>
  <c r="L1848" i="2"/>
  <c r="K1848" i="2"/>
  <c r="J1848" i="2"/>
  <c r="I1848" i="2"/>
  <c r="K1847" i="2"/>
  <c r="L1847" i="2" s="1"/>
  <c r="J1847" i="2"/>
  <c r="I1847" i="2"/>
  <c r="L1846" i="2"/>
  <c r="K1846" i="2"/>
  <c r="J1846" i="2"/>
  <c r="I1846" i="2"/>
  <c r="K1845" i="2"/>
  <c r="L1845" i="2" s="1"/>
  <c r="J1845" i="2"/>
  <c r="I1845" i="2"/>
  <c r="L1844" i="2"/>
  <c r="K1844" i="2"/>
  <c r="J1844" i="2"/>
  <c r="I1844" i="2"/>
  <c r="K1843" i="2"/>
  <c r="L1843" i="2" s="1"/>
  <c r="J1843" i="2"/>
  <c r="I1843" i="2"/>
  <c r="L1842" i="2"/>
  <c r="K1842" i="2"/>
  <c r="J1842" i="2"/>
  <c r="I1842" i="2"/>
  <c r="K1841" i="2"/>
  <c r="L1841" i="2" s="1"/>
  <c r="J1841" i="2"/>
  <c r="I1841" i="2"/>
  <c r="L1840" i="2"/>
  <c r="K1840" i="2"/>
  <c r="J1840" i="2"/>
  <c r="I1840" i="2"/>
  <c r="K1839" i="2"/>
  <c r="L1839" i="2" s="1"/>
  <c r="J1839" i="2"/>
  <c r="I1839" i="2"/>
  <c r="L1838" i="2"/>
  <c r="K1838" i="2"/>
  <c r="J1838" i="2"/>
  <c r="I1838" i="2"/>
  <c r="K1837" i="2"/>
  <c r="L1837" i="2" s="1"/>
  <c r="J1837" i="2"/>
  <c r="I1837" i="2"/>
  <c r="L1836" i="2"/>
  <c r="K1836" i="2"/>
  <c r="J1836" i="2"/>
  <c r="I1836" i="2"/>
  <c r="K1835" i="2"/>
  <c r="L1835" i="2" s="1"/>
  <c r="J1835" i="2"/>
  <c r="I1835" i="2"/>
  <c r="L1834" i="2"/>
  <c r="K1834" i="2"/>
  <c r="J1834" i="2"/>
  <c r="I1834" i="2"/>
  <c r="K1833" i="2"/>
  <c r="L1833" i="2" s="1"/>
  <c r="J1833" i="2"/>
  <c r="I1833" i="2"/>
  <c r="L1832" i="2"/>
  <c r="K1832" i="2"/>
  <c r="J1832" i="2"/>
  <c r="I1832" i="2"/>
  <c r="K1831" i="2"/>
  <c r="L1831" i="2" s="1"/>
  <c r="J1831" i="2"/>
  <c r="I1831" i="2"/>
  <c r="L1830" i="2"/>
  <c r="K1830" i="2"/>
  <c r="J1830" i="2"/>
  <c r="I1830" i="2"/>
  <c r="K1829" i="2"/>
  <c r="L1829" i="2" s="1"/>
  <c r="J1829" i="2"/>
  <c r="I1829" i="2"/>
  <c r="L1828" i="2"/>
  <c r="K1828" i="2"/>
  <c r="J1828" i="2"/>
  <c r="I1828" i="2"/>
  <c r="K1827" i="2"/>
  <c r="L1827" i="2" s="1"/>
  <c r="J1827" i="2"/>
  <c r="I1827" i="2"/>
  <c r="L1826" i="2"/>
  <c r="K1826" i="2"/>
  <c r="J1826" i="2"/>
  <c r="I1826" i="2"/>
  <c r="K1825" i="2"/>
  <c r="L1825" i="2" s="1"/>
  <c r="J1825" i="2"/>
  <c r="I1825" i="2"/>
  <c r="L1824" i="2"/>
  <c r="K1824" i="2"/>
  <c r="J1824" i="2"/>
  <c r="I1824" i="2"/>
  <c r="K1823" i="2"/>
  <c r="L1823" i="2" s="1"/>
  <c r="J1823" i="2"/>
  <c r="I1823" i="2"/>
  <c r="L1822" i="2"/>
  <c r="K1822" i="2"/>
  <c r="J1822" i="2"/>
  <c r="I1822" i="2"/>
  <c r="K1821" i="2"/>
  <c r="L1821" i="2" s="1"/>
  <c r="J1821" i="2"/>
  <c r="I1821" i="2"/>
  <c r="L1820" i="2"/>
  <c r="K1820" i="2"/>
  <c r="J1820" i="2"/>
  <c r="I1820" i="2"/>
  <c r="K1819" i="2"/>
  <c r="L1819" i="2" s="1"/>
  <c r="J1819" i="2"/>
  <c r="I1819" i="2"/>
  <c r="L1818" i="2"/>
  <c r="K1818" i="2"/>
  <c r="J1818" i="2"/>
  <c r="I1818" i="2"/>
  <c r="K1817" i="2"/>
  <c r="L1817" i="2" s="1"/>
  <c r="J1817" i="2"/>
  <c r="I1817" i="2"/>
  <c r="L1816" i="2"/>
  <c r="K1816" i="2"/>
  <c r="J1816" i="2"/>
  <c r="I1816" i="2"/>
  <c r="K1815" i="2"/>
  <c r="L1815" i="2" s="1"/>
  <c r="J1815" i="2"/>
  <c r="I1815" i="2"/>
  <c r="L1814" i="2"/>
  <c r="K1814" i="2"/>
  <c r="J1814" i="2"/>
  <c r="I1814" i="2"/>
  <c r="K1813" i="2"/>
  <c r="L1813" i="2" s="1"/>
  <c r="J1813" i="2"/>
  <c r="I1813" i="2"/>
  <c r="L1812" i="2"/>
  <c r="K1812" i="2"/>
  <c r="J1812" i="2"/>
  <c r="I1812" i="2"/>
  <c r="K1811" i="2"/>
  <c r="L1811" i="2" s="1"/>
  <c r="J1811" i="2"/>
  <c r="I1811" i="2"/>
  <c r="L1810" i="2"/>
  <c r="K1810" i="2"/>
  <c r="J1810" i="2"/>
  <c r="I1810" i="2"/>
  <c r="K1809" i="2"/>
  <c r="L1809" i="2" s="1"/>
  <c r="J1809" i="2"/>
  <c r="I1809" i="2"/>
  <c r="L1808" i="2"/>
  <c r="K1808" i="2"/>
  <c r="J1808" i="2"/>
  <c r="I1808" i="2"/>
  <c r="K1807" i="2"/>
  <c r="L1807" i="2" s="1"/>
  <c r="J1807" i="2"/>
  <c r="I1807" i="2"/>
  <c r="L1806" i="2"/>
  <c r="K1806" i="2"/>
  <c r="J1806" i="2"/>
  <c r="I1806" i="2"/>
  <c r="K1805" i="2"/>
  <c r="L1805" i="2" s="1"/>
  <c r="J1805" i="2"/>
  <c r="I1805" i="2"/>
  <c r="L1804" i="2"/>
  <c r="K1804" i="2"/>
  <c r="J1804" i="2"/>
  <c r="I1804" i="2"/>
  <c r="K1803" i="2"/>
  <c r="L1803" i="2" s="1"/>
  <c r="J1803" i="2"/>
  <c r="I1803" i="2"/>
  <c r="L1802" i="2"/>
  <c r="K1802" i="2"/>
  <c r="J1802" i="2"/>
  <c r="I1802" i="2"/>
  <c r="K1801" i="2"/>
  <c r="L1801" i="2" s="1"/>
  <c r="J1801" i="2"/>
  <c r="I1801" i="2"/>
  <c r="L1800" i="2"/>
  <c r="K1800" i="2"/>
  <c r="J1800" i="2"/>
  <c r="I1800" i="2"/>
  <c r="K1799" i="2"/>
  <c r="L1799" i="2" s="1"/>
  <c r="J1799" i="2"/>
  <c r="I1799" i="2"/>
  <c r="L1798" i="2"/>
  <c r="K1798" i="2"/>
  <c r="J1798" i="2"/>
  <c r="I1798" i="2"/>
  <c r="K1797" i="2"/>
  <c r="L1797" i="2" s="1"/>
  <c r="J1797" i="2"/>
  <c r="I1797" i="2"/>
  <c r="L1796" i="2"/>
  <c r="K1796" i="2"/>
  <c r="J1796" i="2"/>
  <c r="I1796" i="2"/>
  <c r="K1795" i="2"/>
  <c r="L1795" i="2" s="1"/>
  <c r="J1795" i="2"/>
  <c r="I1795" i="2"/>
  <c r="L1794" i="2"/>
  <c r="K1794" i="2"/>
  <c r="J1794" i="2"/>
  <c r="I1794" i="2"/>
  <c r="K1793" i="2"/>
  <c r="L1793" i="2" s="1"/>
  <c r="J1793" i="2"/>
  <c r="I1793" i="2"/>
  <c r="L1792" i="2"/>
  <c r="K1792" i="2"/>
  <c r="J1792" i="2"/>
  <c r="I1792" i="2"/>
  <c r="K1791" i="2"/>
  <c r="L1791" i="2" s="1"/>
  <c r="J1791" i="2"/>
  <c r="I1791" i="2"/>
  <c r="L1790" i="2"/>
  <c r="K1790" i="2"/>
  <c r="J1790" i="2"/>
  <c r="I1790" i="2"/>
  <c r="K1789" i="2"/>
  <c r="L1789" i="2" s="1"/>
  <c r="J1789" i="2"/>
  <c r="I1789" i="2"/>
  <c r="L1788" i="2"/>
  <c r="K1788" i="2"/>
  <c r="J1788" i="2"/>
  <c r="I1788" i="2"/>
  <c r="K1787" i="2"/>
  <c r="L1787" i="2" s="1"/>
  <c r="J1787" i="2"/>
  <c r="I1787" i="2"/>
  <c r="L1786" i="2"/>
  <c r="K1786" i="2"/>
  <c r="J1786" i="2"/>
  <c r="I1786" i="2"/>
  <c r="K1785" i="2"/>
  <c r="L1785" i="2" s="1"/>
  <c r="J1785" i="2"/>
  <c r="I1785" i="2"/>
  <c r="L1784" i="2"/>
  <c r="K1784" i="2"/>
  <c r="J1784" i="2"/>
  <c r="I1784" i="2"/>
  <c r="K1783" i="2"/>
  <c r="L1783" i="2" s="1"/>
  <c r="J1783" i="2"/>
  <c r="I1783" i="2"/>
  <c r="L1782" i="2"/>
  <c r="K1782" i="2"/>
  <c r="J1782" i="2"/>
  <c r="I1782" i="2"/>
  <c r="K1781" i="2"/>
  <c r="L1781" i="2" s="1"/>
  <c r="J1781" i="2"/>
  <c r="I1781" i="2"/>
  <c r="L1780" i="2"/>
  <c r="K1780" i="2"/>
  <c r="J1780" i="2"/>
  <c r="I1780" i="2"/>
  <c r="K1779" i="2"/>
  <c r="L1779" i="2" s="1"/>
  <c r="J1779" i="2"/>
  <c r="I1779" i="2"/>
  <c r="L1778" i="2"/>
  <c r="K1778" i="2"/>
  <c r="J1778" i="2"/>
  <c r="I1778" i="2"/>
  <c r="K1777" i="2"/>
  <c r="L1777" i="2" s="1"/>
  <c r="J1777" i="2"/>
  <c r="I1777" i="2"/>
  <c r="L1776" i="2"/>
  <c r="K1776" i="2"/>
  <c r="J1776" i="2"/>
  <c r="I1776" i="2"/>
  <c r="K1775" i="2"/>
  <c r="L1775" i="2" s="1"/>
  <c r="J1775" i="2"/>
  <c r="I1775" i="2"/>
  <c r="L1774" i="2"/>
  <c r="K1774" i="2"/>
  <c r="J1774" i="2"/>
  <c r="I1774" i="2"/>
  <c r="K1773" i="2"/>
  <c r="L1773" i="2" s="1"/>
  <c r="J1773" i="2"/>
  <c r="I1773" i="2"/>
  <c r="L1772" i="2"/>
  <c r="K1772" i="2"/>
  <c r="J1772" i="2"/>
  <c r="I1772" i="2"/>
  <c r="K1771" i="2"/>
  <c r="L1771" i="2" s="1"/>
  <c r="J1771" i="2"/>
  <c r="I1771" i="2"/>
  <c r="L1770" i="2"/>
  <c r="K1770" i="2"/>
  <c r="J1770" i="2"/>
  <c r="I1770" i="2"/>
  <c r="K1769" i="2"/>
  <c r="L1769" i="2" s="1"/>
  <c r="J1769" i="2"/>
  <c r="I1769" i="2"/>
  <c r="L1768" i="2"/>
  <c r="K1768" i="2"/>
  <c r="J1768" i="2"/>
  <c r="I1768" i="2"/>
  <c r="K1767" i="2"/>
  <c r="L1767" i="2" s="1"/>
  <c r="J1767" i="2"/>
  <c r="I1767" i="2"/>
  <c r="L1766" i="2"/>
  <c r="K1766" i="2"/>
  <c r="J1766" i="2"/>
  <c r="I1766" i="2"/>
  <c r="K1765" i="2"/>
  <c r="L1765" i="2" s="1"/>
  <c r="J1765" i="2"/>
  <c r="I1765" i="2"/>
  <c r="L1764" i="2"/>
  <c r="K1764" i="2"/>
  <c r="J1764" i="2"/>
  <c r="I1764" i="2"/>
  <c r="K1763" i="2"/>
  <c r="L1763" i="2" s="1"/>
  <c r="J1763" i="2"/>
  <c r="I1763" i="2"/>
  <c r="L1762" i="2"/>
  <c r="K1762" i="2"/>
  <c r="J1762" i="2"/>
  <c r="I1762" i="2"/>
  <c r="K1761" i="2"/>
  <c r="L1761" i="2" s="1"/>
  <c r="J1761" i="2"/>
  <c r="I1761" i="2"/>
  <c r="L1760" i="2"/>
  <c r="K1760" i="2"/>
  <c r="J1760" i="2"/>
  <c r="I1760" i="2"/>
  <c r="K1759" i="2"/>
  <c r="L1759" i="2" s="1"/>
  <c r="J1759" i="2"/>
  <c r="I1759" i="2"/>
  <c r="L1758" i="2"/>
  <c r="K1758" i="2"/>
  <c r="J1758" i="2"/>
  <c r="I1758" i="2"/>
  <c r="K1757" i="2"/>
  <c r="L1757" i="2" s="1"/>
  <c r="J1757" i="2"/>
  <c r="I1757" i="2"/>
  <c r="L1756" i="2"/>
  <c r="K1756" i="2"/>
  <c r="J1756" i="2"/>
  <c r="I1756" i="2"/>
  <c r="K1755" i="2"/>
  <c r="L1755" i="2" s="1"/>
  <c r="J1755" i="2"/>
  <c r="I1755" i="2"/>
  <c r="L1754" i="2"/>
  <c r="K1754" i="2"/>
  <c r="J1754" i="2"/>
  <c r="I1754" i="2"/>
  <c r="K1753" i="2"/>
  <c r="L1753" i="2" s="1"/>
  <c r="J1753" i="2"/>
  <c r="I1753" i="2"/>
  <c r="L1752" i="2"/>
  <c r="K1752" i="2"/>
  <c r="J1752" i="2"/>
  <c r="I1752" i="2"/>
  <c r="K1751" i="2"/>
  <c r="L1751" i="2" s="1"/>
  <c r="J1751" i="2"/>
  <c r="I1751" i="2"/>
  <c r="L1750" i="2"/>
  <c r="K1750" i="2"/>
  <c r="J1750" i="2"/>
  <c r="I1750" i="2"/>
  <c r="K1749" i="2"/>
  <c r="L1749" i="2" s="1"/>
  <c r="J1749" i="2"/>
  <c r="I1749" i="2"/>
  <c r="L1748" i="2"/>
  <c r="K1748" i="2"/>
  <c r="J1748" i="2"/>
  <c r="I1748" i="2"/>
  <c r="K1747" i="2"/>
  <c r="L1747" i="2" s="1"/>
  <c r="J1747" i="2"/>
  <c r="I1747" i="2"/>
  <c r="L1746" i="2"/>
  <c r="K1746" i="2"/>
  <c r="J1746" i="2"/>
  <c r="I1746" i="2"/>
  <c r="K1745" i="2"/>
  <c r="L1745" i="2" s="1"/>
  <c r="J1745" i="2"/>
  <c r="I1745" i="2"/>
  <c r="L1744" i="2"/>
  <c r="K1744" i="2"/>
  <c r="J1744" i="2"/>
  <c r="I1744" i="2"/>
  <c r="K1743" i="2"/>
  <c r="L1743" i="2" s="1"/>
  <c r="J1743" i="2"/>
  <c r="I1743" i="2"/>
  <c r="L1742" i="2"/>
  <c r="K1742" i="2"/>
  <c r="J1742" i="2"/>
  <c r="I1742" i="2"/>
  <c r="K1741" i="2"/>
  <c r="L1741" i="2" s="1"/>
  <c r="J1741" i="2"/>
  <c r="I1741" i="2"/>
  <c r="L1740" i="2"/>
  <c r="K1740" i="2"/>
  <c r="J1740" i="2"/>
  <c r="I1740" i="2"/>
  <c r="K1739" i="2"/>
  <c r="L1739" i="2" s="1"/>
  <c r="J1739" i="2"/>
  <c r="I1739" i="2"/>
  <c r="L1738" i="2"/>
  <c r="K1738" i="2"/>
  <c r="J1738" i="2"/>
  <c r="I1738" i="2"/>
  <c r="K1737" i="2"/>
  <c r="L1737" i="2" s="1"/>
  <c r="J1737" i="2"/>
  <c r="I1737" i="2"/>
  <c r="L1736" i="2"/>
  <c r="K1736" i="2"/>
  <c r="J1736" i="2"/>
  <c r="I1736" i="2"/>
  <c r="K1735" i="2"/>
  <c r="L1735" i="2" s="1"/>
  <c r="J1735" i="2"/>
  <c r="I1735" i="2"/>
  <c r="L1734" i="2"/>
  <c r="K1734" i="2"/>
  <c r="J1734" i="2"/>
  <c r="I1734" i="2"/>
  <c r="K1733" i="2"/>
  <c r="L1733" i="2" s="1"/>
  <c r="J1733" i="2"/>
  <c r="I1733" i="2"/>
  <c r="L1732" i="2"/>
  <c r="K1732" i="2"/>
  <c r="J1732" i="2"/>
  <c r="I1732" i="2"/>
  <c r="K1731" i="2"/>
  <c r="L1731" i="2" s="1"/>
  <c r="J1731" i="2"/>
  <c r="I1731" i="2"/>
  <c r="L1730" i="2"/>
  <c r="K1730" i="2"/>
  <c r="J1730" i="2"/>
  <c r="I1730" i="2"/>
  <c r="K1729" i="2"/>
  <c r="L1729" i="2" s="1"/>
  <c r="J1729" i="2"/>
  <c r="I1729" i="2"/>
  <c r="L1728" i="2"/>
  <c r="K1728" i="2"/>
  <c r="J1728" i="2"/>
  <c r="I1728" i="2"/>
  <c r="K1727" i="2"/>
  <c r="L1727" i="2" s="1"/>
  <c r="J1727" i="2"/>
  <c r="I1727" i="2"/>
  <c r="L1726" i="2"/>
  <c r="K1726" i="2"/>
  <c r="J1726" i="2"/>
  <c r="I1726" i="2"/>
  <c r="K1725" i="2"/>
  <c r="L1725" i="2" s="1"/>
  <c r="J1725" i="2"/>
  <c r="I1725" i="2"/>
  <c r="L1724" i="2"/>
  <c r="K1724" i="2"/>
  <c r="J1724" i="2"/>
  <c r="I1724" i="2"/>
  <c r="K1723" i="2"/>
  <c r="L1723" i="2" s="1"/>
  <c r="J1723" i="2"/>
  <c r="I1723" i="2"/>
  <c r="L1722" i="2"/>
  <c r="K1722" i="2"/>
  <c r="J1722" i="2"/>
  <c r="I1722" i="2"/>
  <c r="K1721" i="2"/>
  <c r="L1721" i="2" s="1"/>
  <c r="J1721" i="2"/>
  <c r="I1721" i="2"/>
  <c r="L1720" i="2"/>
  <c r="K1720" i="2"/>
  <c r="J1720" i="2"/>
  <c r="I1720" i="2"/>
  <c r="K1719" i="2"/>
  <c r="L1719" i="2" s="1"/>
  <c r="J1719" i="2"/>
  <c r="I1719" i="2"/>
  <c r="L1718" i="2"/>
  <c r="K1718" i="2"/>
  <c r="J1718" i="2"/>
  <c r="I1718" i="2"/>
  <c r="K1717" i="2"/>
  <c r="L1717" i="2" s="1"/>
  <c r="J1717" i="2"/>
  <c r="I1717" i="2"/>
  <c r="L1716" i="2"/>
  <c r="K1716" i="2"/>
  <c r="J1716" i="2"/>
  <c r="I1716" i="2"/>
  <c r="K1715" i="2"/>
  <c r="L1715" i="2" s="1"/>
  <c r="J1715" i="2"/>
  <c r="I1715" i="2"/>
  <c r="L1714" i="2"/>
  <c r="K1714" i="2"/>
  <c r="J1714" i="2"/>
  <c r="I1714" i="2"/>
  <c r="K1713" i="2"/>
  <c r="L1713" i="2" s="1"/>
  <c r="J1713" i="2"/>
  <c r="I1713" i="2"/>
  <c r="L1712" i="2"/>
  <c r="K1712" i="2"/>
  <c r="J1712" i="2"/>
  <c r="I1712" i="2"/>
  <c r="K1711" i="2"/>
  <c r="L1711" i="2" s="1"/>
  <c r="J1711" i="2"/>
  <c r="I1711" i="2"/>
  <c r="L1710" i="2"/>
  <c r="K1710" i="2"/>
  <c r="J1710" i="2"/>
  <c r="I1710" i="2"/>
  <c r="K1709" i="2"/>
  <c r="L1709" i="2" s="1"/>
  <c r="J1709" i="2"/>
  <c r="I1709" i="2"/>
  <c r="L1708" i="2"/>
  <c r="K1708" i="2"/>
  <c r="J1708" i="2"/>
  <c r="I1708" i="2"/>
  <c r="K1707" i="2"/>
  <c r="L1707" i="2" s="1"/>
  <c r="J1707" i="2"/>
  <c r="I1707" i="2"/>
  <c r="L1706" i="2"/>
  <c r="K1706" i="2"/>
  <c r="J1706" i="2"/>
  <c r="I1706" i="2"/>
  <c r="K1705" i="2"/>
  <c r="L1705" i="2" s="1"/>
  <c r="J1705" i="2"/>
  <c r="I1705" i="2"/>
  <c r="L1704" i="2"/>
  <c r="K1704" i="2"/>
  <c r="J1704" i="2"/>
  <c r="I1704" i="2"/>
  <c r="K1703" i="2"/>
  <c r="L1703" i="2" s="1"/>
  <c r="J1703" i="2"/>
  <c r="I1703" i="2"/>
  <c r="L1702" i="2"/>
  <c r="K1702" i="2"/>
  <c r="J1702" i="2"/>
  <c r="I1702" i="2"/>
  <c r="K1701" i="2"/>
  <c r="L1701" i="2" s="1"/>
  <c r="J1701" i="2"/>
  <c r="I1701" i="2"/>
  <c r="L1700" i="2"/>
  <c r="K1700" i="2"/>
  <c r="J1700" i="2"/>
  <c r="I1700" i="2"/>
  <c r="K1699" i="2"/>
  <c r="L1699" i="2" s="1"/>
  <c r="J1699" i="2"/>
  <c r="I1699" i="2"/>
  <c r="L1698" i="2"/>
  <c r="K1698" i="2"/>
  <c r="J1698" i="2"/>
  <c r="I1698" i="2"/>
  <c r="K1697" i="2"/>
  <c r="L1697" i="2" s="1"/>
  <c r="J1697" i="2"/>
  <c r="I1697" i="2"/>
  <c r="L1696" i="2"/>
  <c r="K1696" i="2"/>
  <c r="J1696" i="2"/>
  <c r="I1696" i="2"/>
  <c r="K1695" i="2"/>
  <c r="L1695" i="2" s="1"/>
  <c r="J1695" i="2"/>
  <c r="I1695" i="2"/>
  <c r="L1694" i="2"/>
  <c r="K1694" i="2"/>
  <c r="J1694" i="2"/>
  <c r="I1694" i="2"/>
  <c r="K1693" i="2"/>
  <c r="L1693" i="2" s="1"/>
  <c r="J1693" i="2"/>
  <c r="I1693" i="2"/>
  <c r="L1692" i="2"/>
  <c r="K1692" i="2"/>
  <c r="J1692" i="2"/>
  <c r="I1692" i="2"/>
  <c r="K1691" i="2"/>
  <c r="L1691" i="2" s="1"/>
  <c r="J1691" i="2"/>
  <c r="I1691" i="2"/>
  <c r="L1690" i="2"/>
  <c r="K1690" i="2"/>
  <c r="J1690" i="2"/>
  <c r="I1690" i="2"/>
  <c r="K1689" i="2"/>
  <c r="L1689" i="2" s="1"/>
  <c r="J1689" i="2"/>
  <c r="I1689" i="2"/>
  <c r="L1688" i="2"/>
  <c r="K1688" i="2"/>
  <c r="J1688" i="2"/>
  <c r="I1688" i="2"/>
  <c r="K1687" i="2"/>
  <c r="L1687" i="2" s="1"/>
  <c r="J1687" i="2"/>
  <c r="I1687" i="2"/>
  <c r="L1686" i="2"/>
  <c r="K1686" i="2"/>
  <c r="J1686" i="2"/>
  <c r="I1686" i="2"/>
  <c r="K1685" i="2"/>
  <c r="L1685" i="2" s="1"/>
  <c r="J1685" i="2"/>
  <c r="I1685" i="2"/>
  <c r="L1684" i="2"/>
  <c r="K1684" i="2"/>
  <c r="J1684" i="2"/>
  <c r="I1684" i="2"/>
  <c r="K1683" i="2"/>
  <c r="L1683" i="2" s="1"/>
  <c r="J1683" i="2"/>
  <c r="I1683" i="2"/>
  <c r="L1682" i="2"/>
  <c r="K1682" i="2"/>
  <c r="J1682" i="2"/>
  <c r="I1682" i="2"/>
  <c r="K1681" i="2"/>
  <c r="L1681" i="2" s="1"/>
  <c r="J1681" i="2"/>
  <c r="I1681" i="2"/>
  <c r="L1680" i="2"/>
  <c r="K1680" i="2"/>
  <c r="J1680" i="2"/>
  <c r="I1680" i="2"/>
  <c r="K1679" i="2"/>
  <c r="L1679" i="2" s="1"/>
  <c r="J1679" i="2"/>
  <c r="I1679" i="2"/>
  <c r="L1678" i="2"/>
  <c r="K1678" i="2"/>
  <c r="J1678" i="2"/>
  <c r="I1678" i="2"/>
  <c r="K1677" i="2"/>
  <c r="L1677" i="2" s="1"/>
  <c r="J1677" i="2"/>
  <c r="I1677" i="2"/>
  <c r="L1676" i="2"/>
  <c r="K1676" i="2"/>
  <c r="J1676" i="2"/>
  <c r="I1676" i="2"/>
  <c r="K1675" i="2"/>
  <c r="L1675" i="2" s="1"/>
  <c r="J1675" i="2"/>
  <c r="I1675" i="2"/>
  <c r="L1674" i="2"/>
  <c r="K1674" i="2"/>
  <c r="J1674" i="2"/>
  <c r="I1674" i="2"/>
  <c r="K1673" i="2"/>
  <c r="L1673" i="2" s="1"/>
  <c r="J1673" i="2"/>
  <c r="I1673" i="2"/>
  <c r="L1672" i="2"/>
  <c r="K1672" i="2"/>
  <c r="J1672" i="2"/>
  <c r="I1672" i="2"/>
  <c r="K1671" i="2"/>
  <c r="L1671" i="2" s="1"/>
  <c r="J1671" i="2"/>
  <c r="I1671" i="2"/>
  <c r="L1670" i="2"/>
  <c r="K1670" i="2"/>
  <c r="J1670" i="2"/>
  <c r="I1670" i="2"/>
  <c r="K1669" i="2"/>
  <c r="L1669" i="2" s="1"/>
  <c r="J1669" i="2"/>
  <c r="I1669" i="2"/>
  <c r="L1668" i="2"/>
  <c r="K1668" i="2"/>
  <c r="J1668" i="2"/>
  <c r="I1668" i="2"/>
  <c r="K1667" i="2"/>
  <c r="L1667" i="2" s="1"/>
  <c r="J1667" i="2"/>
  <c r="I1667" i="2"/>
  <c r="L1666" i="2"/>
  <c r="K1666" i="2"/>
  <c r="J1666" i="2"/>
  <c r="I1666" i="2"/>
  <c r="K1665" i="2"/>
  <c r="L1665" i="2" s="1"/>
  <c r="J1665" i="2"/>
  <c r="I1665" i="2"/>
  <c r="L1664" i="2"/>
  <c r="K1664" i="2"/>
  <c r="J1664" i="2"/>
  <c r="I1664" i="2"/>
  <c r="K1663" i="2"/>
  <c r="L1663" i="2" s="1"/>
  <c r="J1663" i="2"/>
  <c r="I1663" i="2"/>
  <c r="L1662" i="2"/>
  <c r="K1662" i="2"/>
  <c r="J1662" i="2"/>
  <c r="I1662" i="2"/>
  <c r="K1661" i="2"/>
  <c r="L1661" i="2" s="1"/>
  <c r="J1661" i="2"/>
  <c r="I1661" i="2"/>
  <c r="L1660" i="2"/>
  <c r="K1660" i="2"/>
  <c r="J1660" i="2"/>
  <c r="I1660" i="2"/>
  <c r="K1659" i="2"/>
  <c r="L1659" i="2" s="1"/>
  <c r="J1659" i="2"/>
  <c r="I1659" i="2"/>
  <c r="L1658" i="2"/>
  <c r="K1658" i="2"/>
  <c r="J1658" i="2"/>
  <c r="I1658" i="2"/>
  <c r="K1657" i="2"/>
  <c r="L1657" i="2" s="1"/>
  <c r="J1657" i="2"/>
  <c r="I1657" i="2"/>
  <c r="L1656" i="2"/>
  <c r="K1656" i="2"/>
  <c r="J1656" i="2"/>
  <c r="I1656" i="2"/>
  <c r="K1655" i="2"/>
  <c r="L1655" i="2" s="1"/>
  <c r="J1655" i="2"/>
  <c r="I1655" i="2"/>
  <c r="L1654" i="2"/>
  <c r="K1654" i="2"/>
  <c r="J1654" i="2"/>
  <c r="I1654" i="2"/>
  <c r="K1653" i="2"/>
  <c r="L1653" i="2" s="1"/>
  <c r="J1653" i="2"/>
  <c r="I1653" i="2"/>
  <c r="L1652" i="2"/>
  <c r="K1652" i="2"/>
  <c r="J1652" i="2"/>
  <c r="I1652" i="2"/>
  <c r="K1651" i="2"/>
  <c r="L1651" i="2" s="1"/>
  <c r="J1651" i="2"/>
  <c r="I1651" i="2"/>
  <c r="L1650" i="2"/>
  <c r="K1650" i="2"/>
  <c r="J1650" i="2"/>
  <c r="I1650" i="2"/>
  <c r="K1649" i="2"/>
  <c r="L1649" i="2" s="1"/>
  <c r="J1649" i="2"/>
  <c r="I1649" i="2"/>
  <c r="L1648" i="2"/>
  <c r="K1648" i="2"/>
  <c r="J1648" i="2"/>
  <c r="I1648" i="2"/>
  <c r="K1647" i="2"/>
  <c r="L1647" i="2" s="1"/>
  <c r="J1647" i="2"/>
  <c r="I1647" i="2"/>
  <c r="L1646" i="2"/>
  <c r="K1646" i="2"/>
  <c r="J1646" i="2"/>
  <c r="I1646" i="2"/>
  <c r="K1645" i="2"/>
  <c r="L1645" i="2" s="1"/>
  <c r="J1645" i="2"/>
  <c r="I1645" i="2"/>
  <c r="L1644" i="2"/>
  <c r="K1644" i="2"/>
  <c r="J1644" i="2"/>
  <c r="I1644" i="2"/>
  <c r="K1643" i="2"/>
  <c r="L1643" i="2" s="1"/>
  <c r="J1643" i="2"/>
  <c r="I1643" i="2"/>
  <c r="L1642" i="2"/>
  <c r="K1642" i="2"/>
  <c r="J1642" i="2"/>
  <c r="I1642" i="2"/>
  <c r="K1641" i="2"/>
  <c r="L1641" i="2" s="1"/>
  <c r="J1641" i="2"/>
  <c r="I1641" i="2"/>
  <c r="L1640" i="2"/>
  <c r="K1640" i="2"/>
  <c r="J1640" i="2"/>
  <c r="I1640" i="2"/>
  <c r="K1639" i="2"/>
  <c r="L1639" i="2" s="1"/>
  <c r="J1639" i="2"/>
  <c r="I1639" i="2"/>
  <c r="L1638" i="2"/>
  <c r="K1638" i="2"/>
  <c r="J1638" i="2"/>
  <c r="I1638" i="2"/>
  <c r="K1637" i="2"/>
  <c r="L1637" i="2" s="1"/>
  <c r="J1637" i="2"/>
  <c r="I1637" i="2"/>
  <c r="L1636" i="2"/>
  <c r="K1636" i="2"/>
  <c r="J1636" i="2"/>
  <c r="I1636" i="2"/>
  <c r="K1635" i="2"/>
  <c r="L1635" i="2" s="1"/>
  <c r="J1635" i="2"/>
  <c r="I1635" i="2"/>
  <c r="L1634" i="2"/>
  <c r="K1634" i="2"/>
  <c r="J1634" i="2"/>
  <c r="I1634" i="2"/>
  <c r="K1633" i="2"/>
  <c r="L1633" i="2" s="1"/>
  <c r="J1633" i="2"/>
  <c r="I1633" i="2"/>
  <c r="L1632" i="2"/>
  <c r="K1632" i="2"/>
  <c r="J1632" i="2"/>
  <c r="I1632" i="2"/>
  <c r="K1631" i="2"/>
  <c r="L1631" i="2" s="1"/>
  <c r="J1631" i="2"/>
  <c r="I1631" i="2"/>
  <c r="L1630" i="2"/>
  <c r="K1630" i="2"/>
  <c r="J1630" i="2"/>
  <c r="I1630" i="2"/>
  <c r="K1629" i="2"/>
  <c r="L1629" i="2" s="1"/>
  <c r="J1629" i="2"/>
  <c r="I1629" i="2"/>
  <c r="L1628" i="2"/>
  <c r="K1628" i="2"/>
  <c r="J1628" i="2"/>
  <c r="I1628" i="2"/>
  <c r="K1627" i="2"/>
  <c r="L1627" i="2" s="1"/>
  <c r="J1627" i="2"/>
  <c r="I1627" i="2"/>
  <c r="L1626" i="2"/>
  <c r="K1626" i="2"/>
  <c r="J1626" i="2"/>
  <c r="I1626" i="2"/>
  <c r="K1625" i="2"/>
  <c r="L1625" i="2" s="1"/>
  <c r="J1625" i="2"/>
  <c r="I1625" i="2"/>
  <c r="L1624" i="2"/>
  <c r="K1624" i="2"/>
  <c r="J1624" i="2"/>
  <c r="I1624" i="2"/>
  <c r="K1623" i="2"/>
  <c r="L1623" i="2" s="1"/>
  <c r="J1623" i="2"/>
  <c r="I1623" i="2"/>
  <c r="L1622" i="2"/>
  <c r="K1622" i="2"/>
  <c r="J1622" i="2"/>
  <c r="I1622" i="2"/>
  <c r="K1621" i="2"/>
  <c r="L1621" i="2" s="1"/>
  <c r="J1621" i="2"/>
  <c r="I1621" i="2"/>
  <c r="L1620" i="2"/>
  <c r="K1620" i="2"/>
  <c r="J1620" i="2"/>
  <c r="I1620" i="2"/>
  <c r="K1619" i="2"/>
  <c r="L1619" i="2" s="1"/>
  <c r="J1619" i="2"/>
  <c r="I1619" i="2"/>
  <c r="L1618" i="2"/>
  <c r="K1618" i="2"/>
  <c r="J1618" i="2"/>
  <c r="I1618" i="2"/>
  <c r="K1617" i="2"/>
  <c r="L1617" i="2" s="1"/>
  <c r="J1617" i="2"/>
  <c r="I1617" i="2"/>
  <c r="L1616" i="2"/>
  <c r="K1616" i="2"/>
  <c r="J1616" i="2"/>
  <c r="I1616" i="2"/>
  <c r="K1615" i="2"/>
  <c r="L1615" i="2" s="1"/>
  <c r="J1615" i="2"/>
  <c r="I1615" i="2"/>
  <c r="L1614" i="2"/>
  <c r="K1614" i="2"/>
  <c r="J1614" i="2"/>
  <c r="I1614" i="2"/>
  <c r="K1613" i="2"/>
  <c r="L1613" i="2" s="1"/>
  <c r="J1613" i="2"/>
  <c r="I1613" i="2"/>
  <c r="L1612" i="2"/>
  <c r="K1612" i="2"/>
  <c r="J1612" i="2"/>
  <c r="I1612" i="2"/>
  <c r="K1611" i="2"/>
  <c r="L1611" i="2" s="1"/>
  <c r="J1611" i="2"/>
  <c r="I1611" i="2"/>
  <c r="L1610" i="2"/>
  <c r="K1610" i="2"/>
  <c r="J1610" i="2"/>
  <c r="I1610" i="2"/>
  <c r="K1609" i="2"/>
  <c r="L1609" i="2" s="1"/>
  <c r="J1609" i="2"/>
  <c r="I1609" i="2"/>
  <c r="L1608" i="2"/>
  <c r="K1608" i="2"/>
  <c r="J1608" i="2"/>
  <c r="I1608" i="2"/>
  <c r="K1607" i="2"/>
  <c r="L1607" i="2" s="1"/>
  <c r="J1607" i="2"/>
  <c r="I1607" i="2"/>
  <c r="L1606" i="2"/>
  <c r="K1606" i="2"/>
  <c r="J1606" i="2"/>
  <c r="I1606" i="2"/>
  <c r="K1605" i="2"/>
  <c r="L1605" i="2" s="1"/>
  <c r="J1605" i="2"/>
  <c r="I1605" i="2"/>
  <c r="L1604" i="2"/>
  <c r="K1604" i="2"/>
  <c r="J1604" i="2"/>
  <c r="I1604" i="2"/>
  <c r="K1603" i="2"/>
  <c r="L1603" i="2" s="1"/>
  <c r="J1603" i="2"/>
  <c r="I1603" i="2"/>
  <c r="L1602" i="2"/>
  <c r="K1602" i="2"/>
  <c r="J1602" i="2"/>
  <c r="I1602" i="2"/>
  <c r="K1601" i="2"/>
  <c r="L1601" i="2" s="1"/>
  <c r="J1601" i="2"/>
  <c r="I1601" i="2"/>
  <c r="L1600" i="2"/>
  <c r="K1600" i="2"/>
  <c r="J1600" i="2"/>
  <c r="I1600" i="2"/>
  <c r="K1599" i="2"/>
  <c r="L1599" i="2" s="1"/>
  <c r="J1599" i="2"/>
  <c r="I1599" i="2"/>
  <c r="L1598" i="2"/>
  <c r="K1598" i="2"/>
  <c r="J1598" i="2"/>
  <c r="I1598" i="2"/>
  <c r="K1597" i="2"/>
  <c r="L1597" i="2" s="1"/>
  <c r="J1597" i="2"/>
  <c r="I1597" i="2"/>
  <c r="L1596" i="2"/>
  <c r="K1596" i="2"/>
  <c r="J1596" i="2"/>
  <c r="I1596" i="2"/>
  <c r="K1595" i="2"/>
  <c r="L1595" i="2" s="1"/>
  <c r="J1595" i="2"/>
  <c r="I1595" i="2"/>
  <c r="L1594" i="2"/>
  <c r="K1594" i="2"/>
  <c r="J1594" i="2"/>
  <c r="I1594" i="2"/>
  <c r="K1593" i="2"/>
  <c r="L1593" i="2" s="1"/>
  <c r="J1593" i="2"/>
  <c r="I1593" i="2"/>
  <c r="L1592" i="2"/>
  <c r="K1592" i="2"/>
  <c r="J1592" i="2"/>
  <c r="I1592" i="2"/>
  <c r="K1591" i="2"/>
  <c r="L1591" i="2" s="1"/>
  <c r="J1591" i="2"/>
  <c r="I1591" i="2"/>
  <c r="L1590" i="2"/>
  <c r="K1590" i="2"/>
  <c r="J1590" i="2"/>
  <c r="I1590" i="2"/>
  <c r="K1589" i="2"/>
  <c r="L1589" i="2" s="1"/>
  <c r="J1589" i="2"/>
  <c r="I1589" i="2"/>
  <c r="L1588" i="2"/>
  <c r="K1588" i="2"/>
  <c r="J1588" i="2"/>
  <c r="I1588" i="2"/>
  <c r="K1587" i="2"/>
  <c r="L1587" i="2" s="1"/>
  <c r="J1587" i="2"/>
  <c r="I1587" i="2"/>
  <c r="L1586" i="2"/>
  <c r="K1586" i="2"/>
  <c r="J1586" i="2"/>
  <c r="I1586" i="2"/>
  <c r="K1585" i="2"/>
  <c r="L1585" i="2" s="1"/>
  <c r="J1585" i="2"/>
  <c r="I1585" i="2"/>
  <c r="L1584" i="2"/>
  <c r="K1584" i="2"/>
  <c r="J1584" i="2"/>
  <c r="I1584" i="2"/>
  <c r="K1583" i="2"/>
  <c r="L1583" i="2" s="1"/>
  <c r="J1583" i="2"/>
  <c r="I1583" i="2"/>
  <c r="L1582" i="2"/>
  <c r="K1582" i="2"/>
  <c r="J1582" i="2"/>
  <c r="I1582" i="2"/>
  <c r="K1581" i="2"/>
  <c r="L1581" i="2" s="1"/>
  <c r="J1581" i="2"/>
  <c r="I1581" i="2"/>
  <c r="L1580" i="2"/>
  <c r="K1580" i="2"/>
  <c r="J1580" i="2"/>
  <c r="I1580" i="2"/>
  <c r="K1579" i="2"/>
  <c r="L1579" i="2" s="1"/>
  <c r="J1579" i="2"/>
  <c r="I1579" i="2"/>
  <c r="L1578" i="2"/>
  <c r="K1578" i="2"/>
  <c r="J1578" i="2"/>
  <c r="I1578" i="2"/>
  <c r="K1577" i="2"/>
  <c r="L1577" i="2" s="1"/>
  <c r="J1577" i="2"/>
  <c r="I1577" i="2"/>
  <c r="L1576" i="2"/>
  <c r="K1576" i="2"/>
  <c r="J1576" i="2"/>
  <c r="I1576" i="2"/>
  <c r="K1575" i="2"/>
  <c r="L1575" i="2" s="1"/>
  <c r="J1575" i="2"/>
  <c r="I1575" i="2"/>
  <c r="L1574" i="2"/>
  <c r="K1574" i="2"/>
  <c r="J1574" i="2"/>
  <c r="I1574" i="2"/>
  <c r="K1573" i="2"/>
  <c r="L1573" i="2" s="1"/>
  <c r="J1573" i="2"/>
  <c r="I1573" i="2"/>
  <c r="L1572" i="2"/>
  <c r="K1572" i="2"/>
  <c r="J1572" i="2"/>
  <c r="I1572" i="2"/>
  <c r="K1571" i="2"/>
  <c r="L1571" i="2" s="1"/>
  <c r="J1571" i="2"/>
  <c r="I1571" i="2"/>
  <c r="L1570" i="2"/>
  <c r="K1570" i="2"/>
  <c r="J1570" i="2"/>
  <c r="I1570" i="2"/>
  <c r="K1569" i="2"/>
  <c r="L1569" i="2" s="1"/>
  <c r="J1569" i="2"/>
  <c r="I1569" i="2"/>
  <c r="L1568" i="2"/>
  <c r="K1568" i="2"/>
  <c r="J1568" i="2"/>
  <c r="I1568" i="2"/>
  <c r="K1567" i="2"/>
  <c r="L1567" i="2" s="1"/>
  <c r="J1567" i="2"/>
  <c r="I1567" i="2"/>
  <c r="L1566" i="2"/>
  <c r="K1566" i="2"/>
  <c r="J1566" i="2"/>
  <c r="I1566" i="2"/>
  <c r="K1565" i="2"/>
  <c r="L1565" i="2" s="1"/>
  <c r="J1565" i="2"/>
  <c r="I1565" i="2"/>
  <c r="L1564" i="2"/>
  <c r="K1564" i="2"/>
  <c r="J1564" i="2"/>
  <c r="I1564" i="2"/>
  <c r="K1563" i="2"/>
  <c r="L1563" i="2" s="1"/>
  <c r="J1563" i="2"/>
  <c r="I1563" i="2"/>
  <c r="L1562" i="2"/>
  <c r="K1562" i="2"/>
  <c r="J1562" i="2"/>
  <c r="I1562" i="2"/>
  <c r="K1561" i="2"/>
  <c r="L1561" i="2" s="1"/>
  <c r="J1561" i="2"/>
  <c r="I1561" i="2"/>
  <c r="L1560" i="2"/>
  <c r="K1560" i="2"/>
  <c r="J1560" i="2"/>
  <c r="I1560" i="2"/>
  <c r="K1559" i="2"/>
  <c r="L1559" i="2" s="1"/>
  <c r="J1559" i="2"/>
  <c r="I1559" i="2"/>
  <c r="L1558" i="2"/>
  <c r="K1558" i="2"/>
  <c r="J1558" i="2"/>
  <c r="I1558" i="2"/>
  <c r="K1557" i="2"/>
  <c r="L1557" i="2" s="1"/>
  <c r="J1557" i="2"/>
  <c r="I1557" i="2"/>
  <c r="L1556" i="2"/>
  <c r="K1556" i="2"/>
  <c r="J1556" i="2"/>
  <c r="I1556" i="2"/>
  <c r="K1555" i="2"/>
  <c r="L1555" i="2" s="1"/>
  <c r="J1555" i="2"/>
  <c r="I1555" i="2"/>
  <c r="L1554" i="2"/>
  <c r="K1554" i="2"/>
  <c r="J1554" i="2"/>
  <c r="I1554" i="2"/>
  <c r="K1553" i="2"/>
  <c r="L1553" i="2" s="1"/>
  <c r="J1553" i="2"/>
  <c r="I1553" i="2"/>
  <c r="L1552" i="2"/>
  <c r="K1552" i="2"/>
  <c r="J1552" i="2"/>
  <c r="I1552" i="2"/>
  <c r="K1551" i="2"/>
  <c r="L1551" i="2" s="1"/>
  <c r="J1551" i="2"/>
  <c r="I1551" i="2"/>
  <c r="L1550" i="2"/>
  <c r="K1550" i="2"/>
  <c r="J1550" i="2"/>
  <c r="I1550" i="2"/>
  <c r="K1549" i="2"/>
  <c r="L1549" i="2" s="1"/>
  <c r="J1549" i="2"/>
  <c r="I1549" i="2"/>
  <c r="L1548" i="2"/>
  <c r="K1548" i="2"/>
  <c r="J1548" i="2"/>
  <c r="I1548" i="2"/>
  <c r="K1547" i="2"/>
  <c r="L1547" i="2" s="1"/>
  <c r="J1547" i="2"/>
  <c r="I1547" i="2"/>
  <c r="L1546" i="2"/>
  <c r="K1546" i="2"/>
  <c r="J1546" i="2"/>
  <c r="I1546" i="2"/>
  <c r="K1545" i="2"/>
  <c r="L1545" i="2" s="1"/>
  <c r="J1545" i="2"/>
  <c r="I1545" i="2"/>
  <c r="L1544" i="2"/>
  <c r="K1544" i="2"/>
  <c r="J1544" i="2"/>
  <c r="I1544" i="2"/>
  <c r="K1543" i="2"/>
  <c r="L1543" i="2" s="1"/>
  <c r="J1543" i="2"/>
  <c r="I1543" i="2"/>
  <c r="L1542" i="2"/>
  <c r="K1542" i="2"/>
  <c r="J1542" i="2"/>
  <c r="I1542" i="2"/>
  <c r="K1541" i="2"/>
  <c r="L1541" i="2" s="1"/>
  <c r="J1541" i="2"/>
  <c r="I1541" i="2"/>
  <c r="L1540" i="2"/>
  <c r="K1540" i="2"/>
  <c r="J1540" i="2"/>
  <c r="I1540" i="2"/>
  <c r="K1539" i="2"/>
  <c r="L1539" i="2" s="1"/>
  <c r="J1539" i="2"/>
  <c r="I1539" i="2"/>
  <c r="L1538" i="2"/>
  <c r="K1538" i="2"/>
  <c r="J1538" i="2"/>
  <c r="I1538" i="2"/>
  <c r="K1537" i="2"/>
  <c r="L1537" i="2" s="1"/>
  <c r="J1537" i="2"/>
  <c r="I1537" i="2"/>
  <c r="L1536" i="2"/>
  <c r="K1536" i="2"/>
  <c r="J1536" i="2"/>
  <c r="I1536" i="2"/>
  <c r="K1535" i="2"/>
  <c r="L1535" i="2" s="1"/>
  <c r="J1535" i="2"/>
  <c r="I1535" i="2"/>
  <c r="L1534" i="2"/>
  <c r="K1534" i="2"/>
  <c r="J1534" i="2"/>
  <c r="I1534" i="2"/>
  <c r="K1533" i="2"/>
  <c r="L1533" i="2" s="1"/>
  <c r="J1533" i="2"/>
  <c r="I1533" i="2"/>
  <c r="L1532" i="2"/>
  <c r="K1532" i="2"/>
  <c r="J1532" i="2"/>
  <c r="I1532" i="2"/>
  <c r="K1531" i="2"/>
  <c r="L1531" i="2" s="1"/>
  <c r="J1531" i="2"/>
  <c r="I1531" i="2"/>
  <c r="L1530" i="2"/>
  <c r="K1530" i="2"/>
  <c r="J1530" i="2"/>
  <c r="I1530" i="2"/>
  <c r="K1529" i="2"/>
  <c r="L1529" i="2" s="1"/>
  <c r="J1529" i="2"/>
  <c r="I1529" i="2"/>
  <c r="L1528" i="2"/>
  <c r="K1528" i="2"/>
  <c r="J1528" i="2"/>
  <c r="I1528" i="2"/>
  <c r="K1527" i="2"/>
  <c r="L1527" i="2" s="1"/>
  <c r="J1527" i="2"/>
  <c r="I1527" i="2"/>
  <c r="L1526" i="2"/>
  <c r="K1526" i="2"/>
  <c r="J1526" i="2"/>
  <c r="I1526" i="2"/>
  <c r="K1525" i="2"/>
  <c r="L1525" i="2" s="1"/>
  <c r="J1525" i="2"/>
  <c r="I1525" i="2"/>
  <c r="L1524" i="2"/>
  <c r="K1524" i="2"/>
  <c r="J1524" i="2"/>
  <c r="I1524" i="2"/>
  <c r="K1523" i="2"/>
  <c r="L1523" i="2" s="1"/>
  <c r="J1523" i="2"/>
  <c r="I1523" i="2"/>
  <c r="L1522" i="2"/>
  <c r="K1522" i="2"/>
  <c r="J1522" i="2"/>
  <c r="I1522" i="2"/>
  <c r="K1521" i="2"/>
  <c r="L1521" i="2" s="1"/>
  <c r="J1521" i="2"/>
  <c r="I1521" i="2"/>
  <c r="L1520" i="2"/>
  <c r="K1520" i="2"/>
  <c r="J1520" i="2"/>
  <c r="I1520" i="2"/>
  <c r="K1519" i="2"/>
  <c r="L1519" i="2" s="1"/>
  <c r="J1519" i="2"/>
  <c r="I1519" i="2"/>
  <c r="L1518" i="2"/>
  <c r="K1518" i="2"/>
  <c r="J1518" i="2"/>
  <c r="I1518" i="2"/>
  <c r="K1517" i="2"/>
  <c r="L1517" i="2" s="1"/>
  <c r="J1517" i="2"/>
  <c r="I1517" i="2"/>
  <c r="L1516" i="2"/>
  <c r="K1516" i="2"/>
  <c r="J1516" i="2"/>
  <c r="I1516" i="2"/>
  <c r="K1515" i="2"/>
  <c r="L1515" i="2" s="1"/>
  <c r="J1515" i="2"/>
  <c r="I1515" i="2"/>
  <c r="L1514" i="2"/>
  <c r="K1514" i="2"/>
  <c r="J1514" i="2"/>
  <c r="I1514" i="2"/>
  <c r="K1513" i="2"/>
  <c r="L1513" i="2" s="1"/>
  <c r="J1513" i="2"/>
  <c r="I1513" i="2"/>
  <c r="L1512" i="2"/>
  <c r="K1512" i="2"/>
  <c r="J1512" i="2"/>
  <c r="I1512" i="2"/>
  <c r="K1511" i="2"/>
  <c r="L1511" i="2" s="1"/>
  <c r="J1511" i="2"/>
  <c r="I1511" i="2"/>
  <c r="L1510" i="2"/>
  <c r="K1510" i="2"/>
  <c r="J1510" i="2"/>
  <c r="I1510" i="2"/>
  <c r="K1509" i="2"/>
  <c r="L1509" i="2" s="1"/>
  <c r="J1509" i="2"/>
  <c r="I1509" i="2"/>
  <c r="L1508" i="2"/>
  <c r="K1508" i="2"/>
  <c r="J1508" i="2"/>
  <c r="I1508" i="2"/>
  <c r="K1507" i="2"/>
  <c r="L1507" i="2" s="1"/>
  <c r="J1507" i="2"/>
  <c r="I1507" i="2"/>
  <c r="L1506" i="2"/>
  <c r="K1506" i="2"/>
  <c r="J1506" i="2"/>
  <c r="I1506" i="2"/>
  <c r="K1505" i="2"/>
  <c r="L1505" i="2" s="1"/>
  <c r="J1505" i="2"/>
  <c r="I1505" i="2"/>
  <c r="L1504" i="2"/>
  <c r="K1504" i="2"/>
  <c r="J1504" i="2"/>
  <c r="I1504" i="2"/>
  <c r="K1503" i="2"/>
  <c r="L1503" i="2" s="1"/>
  <c r="J1503" i="2"/>
  <c r="I1503" i="2"/>
  <c r="L1502" i="2"/>
  <c r="K1502" i="2"/>
  <c r="J1502" i="2"/>
  <c r="I1502" i="2"/>
  <c r="R1501" i="2"/>
  <c r="R1502" i="2" s="1"/>
  <c r="L1501" i="2"/>
  <c r="K1501" i="2"/>
  <c r="J1501" i="2"/>
  <c r="I1501" i="2"/>
  <c r="R1500" i="2"/>
  <c r="K1500" i="2"/>
  <c r="L1500" i="2" s="1"/>
  <c r="J1500" i="2"/>
  <c r="I1500" i="2"/>
  <c r="R1499" i="2"/>
  <c r="L1499" i="2"/>
  <c r="K1499" i="2"/>
  <c r="J1499" i="2"/>
  <c r="I1499" i="2"/>
  <c r="R1498" i="2"/>
  <c r="K1498" i="2"/>
  <c r="L1498" i="2" s="1"/>
  <c r="J1498" i="2"/>
  <c r="I1498" i="2"/>
  <c r="L1497" i="2"/>
  <c r="K1497" i="2"/>
  <c r="J1497" i="2"/>
  <c r="I1497" i="2"/>
  <c r="K1496" i="2"/>
  <c r="L1496" i="2" s="1"/>
  <c r="J1496" i="2"/>
  <c r="I1496" i="2"/>
  <c r="L1495" i="2"/>
  <c r="K1495" i="2"/>
  <c r="J1495" i="2"/>
  <c r="I1495" i="2"/>
  <c r="K1494" i="2"/>
  <c r="L1494" i="2" s="1"/>
  <c r="J1494" i="2"/>
  <c r="I1494" i="2"/>
  <c r="L1493" i="2"/>
  <c r="K1493" i="2"/>
  <c r="J1493" i="2"/>
  <c r="I1493" i="2"/>
  <c r="K1492" i="2"/>
  <c r="L1492" i="2" s="1"/>
  <c r="J1492" i="2"/>
  <c r="I1492" i="2"/>
  <c r="L1491" i="2"/>
  <c r="K1491" i="2"/>
  <c r="J1491" i="2"/>
  <c r="I1491" i="2"/>
  <c r="K1490" i="2"/>
  <c r="L1490" i="2" s="1"/>
  <c r="J1490" i="2"/>
  <c r="I1490" i="2"/>
  <c r="L1489" i="2"/>
  <c r="K1489" i="2"/>
  <c r="J1489" i="2"/>
  <c r="I1489" i="2"/>
  <c r="K1488" i="2"/>
  <c r="L1488" i="2" s="1"/>
  <c r="J1488" i="2"/>
  <c r="I1488" i="2"/>
  <c r="L1487" i="2"/>
  <c r="K1487" i="2"/>
  <c r="J1487" i="2"/>
  <c r="I1487" i="2"/>
  <c r="K1486" i="2"/>
  <c r="L1486" i="2" s="1"/>
  <c r="J1486" i="2"/>
  <c r="I1486" i="2"/>
  <c r="L1485" i="2"/>
  <c r="K1485" i="2"/>
  <c r="J1485" i="2"/>
  <c r="I1485" i="2"/>
  <c r="K1484" i="2"/>
  <c r="L1484" i="2" s="1"/>
  <c r="J1484" i="2"/>
  <c r="I1484" i="2"/>
  <c r="L1483" i="2"/>
  <c r="K1483" i="2"/>
  <c r="J1483" i="2"/>
  <c r="I1483" i="2"/>
  <c r="K1482" i="2"/>
  <c r="L1482" i="2" s="1"/>
  <c r="J1482" i="2"/>
  <c r="I1482" i="2"/>
  <c r="L1481" i="2"/>
  <c r="K1481" i="2"/>
  <c r="J1481" i="2"/>
  <c r="I1481" i="2"/>
  <c r="K1480" i="2"/>
  <c r="L1480" i="2" s="1"/>
  <c r="J1480" i="2"/>
  <c r="I1480" i="2"/>
  <c r="L1479" i="2"/>
  <c r="K1479" i="2"/>
  <c r="J1479" i="2"/>
  <c r="I1479" i="2"/>
  <c r="K1478" i="2"/>
  <c r="L1478" i="2" s="1"/>
  <c r="J1478" i="2"/>
  <c r="I1478" i="2"/>
  <c r="L1477" i="2"/>
  <c r="K1477" i="2"/>
  <c r="J1477" i="2"/>
  <c r="I1477" i="2"/>
  <c r="K1476" i="2"/>
  <c r="L1476" i="2" s="1"/>
  <c r="J1476" i="2"/>
  <c r="I1476" i="2"/>
  <c r="L1475" i="2"/>
  <c r="K1475" i="2"/>
  <c r="J1475" i="2"/>
  <c r="I1475" i="2"/>
  <c r="K1474" i="2"/>
  <c r="L1474" i="2" s="1"/>
  <c r="J1474" i="2"/>
  <c r="I1474" i="2"/>
  <c r="L1473" i="2"/>
  <c r="K1473" i="2"/>
  <c r="J1473" i="2"/>
  <c r="I1473" i="2"/>
  <c r="K1472" i="2"/>
  <c r="L1472" i="2" s="1"/>
  <c r="J1472" i="2"/>
  <c r="I1472" i="2"/>
  <c r="L1471" i="2"/>
  <c r="K1471" i="2"/>
  <c r="J1471" i="2"/>
  <c r="I1471" i="2"/>
  <c r="K1470" i="2"/>
  <c r="L1470" i="2" s="1"/>
  <c r="J1470" i="2"/>
  <c r="I1470" i="2"/>
  <c r="L1469" i="2"/>
  <c r="K1469" i="2"/>
  <c r="J1469" i="2"/>
  <c r="I1469" i="2"/>
  <c r="K1468" i="2"/>
  <c r="L1468" i="2" s="1"/>
  <c r="J1468" i="2"/>
  <c r="I1468" i="2"/>
  <c r="L1467" i="2"/>
  <c r="K1467" i="2"/>
  <c r="J1467" i="2"/>
  <c r="I1467" i="2"/>
  <c r="K1466" i="2"/>
  <c r="L1466" i="2" s="1"/>
  <c r="J1466" i="2"/>
  <c r="I1466" i="2"/>
  <c r="L1465" i="2"/>
  <c r="K1465" i="2"/>
  <c r="J1465" i="2"/>
  <c r="I1465" i="2"/>
  <c r="K1464" i="2"/>
  <c r="L1464" i="2" s="1"/>
  <c r="J1464" i="2"/>
  <c r="I1464" i="2"/>
  <c r="L1463" i="2"/>
  <c r="K1463" i="2"/>
  <c r="J1463" i="2"/>
  <c r="I1463" i="2"/>
  <c r="K1462" i="2"/>
  <c r="L1462" i="2" s="1"/>
  <c r="J1462" i="2"/>
  <c r="I1462" i="2"/>
  <c r="L1461" i="2"/>
  <c r="K1461" i="2"/>
  <c r="J1461" i="2"/>
  <c r="I1461" i="2"/>
  <c r="K1460" i="2"/>
  <c r="L1460" i="2" s="1"/>
  <c r="J1460" i="2"/>
  <c r="I1460" i="2"/>
  <c r="L1459" i="2"/>
  <c r="K1459" i="2"/>
  <c r="J1459" i="2"/>
  <c r="I1459" i="2"/>
  <c r="K1458" i="2"/>
  <c r="L1458" i="2" s="1"/>
  <c r="J1458" i="2"/>
  <c r="I1458" i="2"/>
  <c r="L1457" i="2"/>
  <c r="K1457" i="2"/>
  <c r="J1457" i="2"/>
  <c r="I1457" i="2"/>
  <c r="K1456" i="2"/>
  <c r="L1456" i="2" s="1"/>
  <c r="J1456" i="2"/>
  <c r="I1456" i="2"/>
  <c r="L1455" i="2"/>
  <c r="K1455" i="2"/>
  <c r="J1455" i="2"/>
  <c r="I1455" i="2"/>
  <c r="K1454" i="2"/>
  <c r="L1454" i="2" s="1"/>
  <c r="J1454" i="2"/>
  <c r="I1454" i="2"/>
  <c r="L1453" i="2"/>
  <c r="K1453" i="2"/>
  <c r="J1453" i="2"/>
  <c r="I1453" i="2"/>
  <c r="K1452" i="2"/>
  <c r="L1452" i="2" s="1"/>
  <c r="J1452" i="2"/>
  <c r="I1452" i="2"/>
  <c r="L1451" i="2"/>
  <c r="K1451" i="2"/>
  <c r="J1451" i="2"/>
  <c r="I1451" i="2"/>
  <c r="K1450" i="2"/>
  <c r="L1450" i="2" s="1"/>
  <c r="J1450" i="2"/>
  <c r="I1450" i="2"/>
  <c r="L1449" i="2"/>
  <c r="K1449" i="2"/>
  <c r="J1449" i="2"/>
  <c r="I1449" i="2"/>
  <c r="K1448" i="2"/>
  <c r="L1448" i="2" s="1"/>
  <c r="J1448" i="2"/>
  <c r="I1448" i="2"/>
  <c r="L1447" i="2"/>
  <c r="K1447" i="2"/>
  <c r="J1447" i="2"/>
  <c r="I1447" i="2"/>
  <c r="K1446" i="2"/>
  <c r="L1446" i="2" s="1"/>
  <c r="J1446" i="2"/>
  <c r="I1446" i="2"/>
  <c r="L1445" i="2"/>
  <c r="K1445" i="2"/>
  <c r="J1445" i="2"/>
  <c r="I1445" i="2"/>
  <c r="K1444" i="2"/>
  <c r="L1444" i="2" s="1"/>
  <c r="J1444" i="2"/>
  <c r="I1444" i="2"/>
  <c r="L1443" i="2"/>
  <c r="K1443" i="2"/>
  <c r="J1443" i="2"/>
  <c r="I1443" i="2"/>
  <c r="K1442" i="2"/>
  <c r="L1442" i="2" s="1"/>
  <c r="J1442" i="2"/>
  <c r="I1442" i="2"/>
  <c r="L1441" i="2"/>
  <c r="K1441" i="2"/>
  <c r="J1441" i="2"/>
  <c r="I1441" i="2"/>
  <c r="K1440" i="2"/>
  <c r="L1440" i="2" s="1"/>
  <c r="J1440" i="2"/>
  <c r="I1440" i="2"/>
  <c r="L1439" i="2"/>
  <c r="K1439" i="2"/>
  <c r="J1439" i="2"/>
  <c r="I1439" i="2"/>
  <c r="K1438" i="2"/>
  <c r="L1438" i="2" s="1"/>
  <c r="J1438" i="2"/>
  <c r="I1438" i="2"/>
  <c r="L1437" i="2"/>
  <c r="K1437" i="2"/>
  <c r="J1437" i="2"/>
  <c r="I1437" i="2"/>
  <c r="K1436" i="2"/>
  <c r="L1436" i="2" s="1"/>
  <c r="J1436" i="2"/>
  <c r="I1436" i="2"/>
  <c r="L1435" i="2"/>
  <c r="K1435" i="2"/>
  <c r="J1435" i="2"/>
  <c r="I1435" i="2"/>
  <c r="K1434" i="2"/>
  <c r="L1434" i="2" s="1"/>
  <c r="J1434" i="2"/>
  <c r="I1434" i="2"/>
  <c r="L1433" i="2"/>
  <c r="K1433" i="2"/>
  <c r="J1433" i="2"/>
  <c r="I1433" i="2"/>
  <c r="K1432" i="2"/>
  <c r="L1432" i="2" s="1"/>
  <c r="J1432" i="2"/>
  <c r="I1432" i="2"/>
  <c r="L1431" i="2"/>
  <c r="K1431" i="2"/>
  <c r="J1431" i="2"/>
  <c r="I1431" i="2"/>
  <c r="K1430" i="2"/>
  <c r="L1430" i="2" s="1"/>
  <c r="J1430" i="2"/>
  <c r="I1430" i="2"/>
  <c r="L1429" i="2"/>
  <c r="K1429" i="2"/>
  <c r="J1429" i="2"/>
  <c r="I1429" i="2"/>
  <c r="K1428" i="2"/>
  <c r="L1428" i="2" s="1"/>
  <c r="J1428" i="2"/>
  <c r="I1428" i="2"/>
  <c r="L1427" i="2"/>
  <c r="K1427" i="2"/>
  <c r="J1427" i="2"/>
  <c r="I1427" i="2"/>
  <c r="K1426" i="2"/>
  <c r="L1426" i="2" s="1"/>
  <c r="J1426" i="2"/>
  <c r="I1426" i="2"/>
  <c r="L1425" i="2"/>
  <c r="K1425" i="2"/>
  <c r="J1425" i="2"/>
  <c r="I1425" i="2"/>
  <c r="K1424" i="2"/>
  <c r="L1424" i="2" s="1"/>
  <c r="J1424" i="2"/>
  <c r="I1424" i="2"/>
  <c r="L1423" i="2"/>
  <c r="K1423" i="2"/>
  <c r="J1423" i="2"/>
  <c r="I1423" i="2"/>
  <c r="K1422" i="2"/>
  <c r="L1422" i="2" s="1"/>
  <c r="J1422" i="2"/>
  <c r="I1422" i="2"/>
  <c r="L1421" i="2"/>
  <c r="K1421" i="2"/>
  <c r="J1421" i="2"/>
  <c r="I1421" i="2"/>
  <c r="K1420" i="2"/>
  <c r="L1420" i="2" s="1"/>
  <c r="J1420" i="2"/>
  <c r="I1420" i="2"/>
  <c r="L1419" i="2"/>
  <c r="K1419" i="2"/>
  <c r="J1419" i="2"/>
  <c r="I1419" i="2"/>
  <c r="K1418" i="2"/>
  <c r="L1418" i="2" s="1"/>
  <c r="J1418" i="2"/>
  <c r="I1418" i="2"/>
  <c r="L1417" i="2"/>
  <c r="K1417" i="2"/>
  <c r="J1417" i="2"/>
  <c r="I1417" i="2"/>
  <c r="K1416" i="2"/>
  <c r="L1416" i="2" s="1"/>
  <c r="J1416" i="2"/>
  <c r="I1416" i="2"/>
  <c r="L1415" i="2"/>
  <c r="K1415" i="2"/>
  <c r="J1415" i="2"/>
  <c r="I1415" i="2"/>
  <c r="K1414" i="2"/>
  <c r="L1414" i="2" s="1"/>
  <c r="J1414" i="2"/>
  <c r="I1414" i="2"/>
  <c r="L1413" i="2"/>
  <c r="K1413" i="2"/>
  <c r="J1413" i="2"/>
  <c r="I1413" i="2"/>
  <c r="K1412" i="2"/>
  <c r="L1412" i="2" s="1"/>
  <c r="J1412" i="2"/>
  <c r="I1412" i="2"/>
  <c r="L1411" i="2"/>
  <c r="K1411" i="2"/>
  <c r="J1411" i="2"/>
  <c r="I1411" i="2"/>
  <c r="K1410" i="2"/>
  <c r="L1410" i="2" s="1"/>
  <c r="J1410" i="2"/>
  <c r="I1410" i="2"/>
  <c r="L1409" i="2"/>
  <c r="K1409" i="2"/>
  <c r="J1409" i="2"/>
  <c r="I1409" i="2"/>
  <c r="K1408" i="2"/>
  <c r="L1408" i="2" s="1"/>
  <c r="J1408" i="2"/>
  <c r="I1408" i="2"/>
  <c r="L1407" i="2"/>
  <c r="K1407" i="2"/>
  <c r="J1407" i="2"/>
  <c r="I1407" i="2"/>
  <c r="K1406" i="2"/>
  <c r="L1406" i="2" s="1"/>
  <c r="J1406" i="2"/>
  <c r="I1406" i="2"/>
  <c r="L1405" i="2"/>
  <c r="K1405" i="2"/>
  <c r="J1405" i="2"/>
  <c r="I1405" i="2"/>
  <c r="K1404" i="2"/>
  <c r="L1404" i="2" s="1"/>
  <c r="J1404" i="2"/>
  <c r="I1404" i="2"/>
  <c r="L1403" i="2"/>
  <c r="K1403" i="2"/>
  <c r="J1403" i="2"/>
  <c r="I1403" i="2"/>
  <c r="K1402" i="2"/>
  <c r="L1402" i="2" s="1"/>
  <c r="J1402" i="2"/>
  <c r="I1402" i="2"/>
  <c r="L1401" i="2"/>
  <c r="K1401" i="2"/>
  <c r="J1401" i="2"/>
  <c r="I1401" i="2"/>
  <c r="K1400" i="2"/>
  <c r="L1400" i="2" s="1"/>
  <c r="J1400" i="2"/>
  <c r="I1400" i="2"/>
  <c r="L1399" i="2"/>
  <c r="K1399" i="2"/>
  <c r="J1399" i="2"/>
  <c r="I1399" i="2"/>
  <c r="K1398" i="2"/>
  <c r="L1398" i="2" s="1"/>
  <c r="J1398" i="2"/>
  <c r="I1398" i="2"/>
  <c r="L1397" i="2"/>
  <c r="K1397" i="2"/>
  <c r="J1397" i="2"/>
  <c r="I1397" i="2"/>
  <c r="K1396" i="2"/>
  <c r="L1396" i="2" s="1"/>
  <c r="J1396" i="2"/>
  <c r="I1396" i="2"/>
  <c r="L1395" i="2"/>
  <c r="K1395" i="2"/>
  <c r="J1395" i="2"/>
  <c r="I1395" i="2"/>
  <c r="K1394" i="2"/>
  <c r="L1394" i="2" s="1"/>
  <c r="J1394" i="2"/>
  <c r="I1394" i="2"/>
  <c r="L1393" i="2"/>
  <c r="K1393" i="2"/>
  <c r="J1393" i="2"/>
  <c r="I1393" i="2"/>
  <c r="K1392" i="2"/>
  <c r="L1392" i="2" s="1"/>
  <c r="J1392" i="2"/>
  <c r="I1392" i="2"/>
  <c r="L1391" i="2"/>
  <c r="K1391" i="2"/>
  <c r="J1391" i="2"/>
  <c r="I1391" i="2"/>
  <c r="K1390" i="2"/>
  <c r="L1390" i="2" s="1"/>
  <c r="J1390" i="2"/>
  <c r="I1390" i="2"/>
  <c r="L1389" i="2"/>
  <c r="K1389" i="2"/>
  <c r="J1389" i="2"/>
  <c r="I1389" i="2"/>
  <c r="K1388" i="2"/>
  <c r="L1388" i="2" s="1"/>
  <c r="J1388" i="2"/>
  <c r="I1388" i="2"/>
  <c r="L1387" i="2"/>
  <c r="K1387" i="2"/>
  <c r="J1387" i="2"/>
  <c r="I1387" i="2"/>
  <c r="K1386" i="2"/>
  <c r="L1386" i="2" s="1"/>
  <c r="J1386" i="2"/>
  <c r="I1386" i="2"/>
  <c r="L1385" i="2"/>
  <c r="K1385" i="2"/>
  <c r="J1385" i="2"/>
  <c r="I1385" i="2"/>
  <c r="K1384" i="2"/>
  <c r="L1384" i="2" s="1"/>
  <c r="J1384" i="2"/>
  <c r="I1384" i="2"/>
  <c r="L1383" i="2"/>
  <c r="K1383" i="2"/>
  <c r="J1383" i="2"/>
  <c r="I1383" i="2"/>
  <c r="K1382" i="2"/>
  <c r="L1382" i="2" s="1"/>
  <c r="J1382" i="2"/>
  <c r="I1382" i="2"/>
  <c r="L1381" i="2"/>
  <c r="K1381" i="2"/>
  <c r="J1381" i="2"/>
  <c r="I1381" i="2"/>
  <c r="K1380" i="2"/>
  <c r="L1380" i="2" s="1"/>
  <c r="J1380" i="2"/>
  <c r="I1380" i="2"/>
  <c r="L1379" i="2"/>
  <c r="K1379" i="2"/>
  <c r="J1379" i="2"/>
  <c r="I1379" i="2"/>
  <c r="K1378" i="2"/>
  <c r="L1378" i="2" s="1"/>
  <c r="J1378" i="2"/>
  <c r="I1378" i="2"/>
  <c r="L1377" i="2"/>
  <c r="K1377" i="2"/>
  <c r="J1377" i="2"/>
  <c r="I1377" i="2"/>
  <c r="K1376" i="2"/>
  <c r="L1376" i="2" s="1"/>
  <c r="J1376" i="2"/>
  <c r="I1376" i="2"/>
  <c r="L1375" i="2"/>
  <c r="K1375" i="2"/>
  <c r="J1375" i="2"/>
  <c r="I1375" i="2"/>
  <c r="K1374" i="2"/>
  <c r="L1374" i="2" s="1"/>
  <c r="J1374" i="2"/>
  <c r="I1374" i="2"/>
  <c r="L1373" i="2"/>
  <c r="K1373" i="2"/>
  <c r="J1373" i="2"/>
  <c r="I1373" i="2"/>
  <c r="K1372" i="2"/>
  <c r="L1372" i="2" s="1"/>
  <c r="J1372" i="2"/>
  <c r="I1372" i="2"/>
  <c r="L1371" i="2"/>
  <c r="K1371" i="2"/>
  <c r="J1371" i="2"/>
  <c r="I1371" i="2"/>
  <c r="K1370" i="2"/>
  <c r="L1370" i="2" s="1"/>
  <c r="J1370" i="2"/>
  <c r="I1370" i="2"/>
  <c r="L1369" i="2"/>
  <c r="K1369" i="2"/>
  <c r="J1369" i="2"/>
  <c r="I1369" i="2"/>
  <c r="K1368" i="2"/>
  <c r="L1368" i="2" s="1"/>
  <c r="J1368" i="2"/>
  <c r="I1368" i="2"/>
  <c r="L1367" i="2"/>
  <c r="K1367" i="2"/>
  <c r="J1367" i="2"/>
  <c r="I1367" i="2"/>
  <c r="K1366" i="2"/>
  <c r="L1366" i="2" s="1"/>
  <c r="J1366" i="2"/>
  <c r="I1366" i="2"/>
  <c r="L1365" i="2"/>
  <c r="K1365" i="2"/>
  <c r="J1365" i="2"/>
  <c r="I1365" i="2"/>
  <c r="K1364" i="2"/>
  <c r="L1364" i="2" s="1"/>
  <c r="J1364" i="2"/>
  <c r="I1364" i="2"/>
  <c r="L1363" i="2"/>
  <c r="K1363" i="2"/>
  <c r="J1363" i="2"/>
  <c r="I1363" i="2"/>
  <c r="K1362" i="2"/>
  <c r="L1362" i="2" s="1"/>
  <c r="J1362" i="2"/>
  <c r="I1362" i="2"/>
  <c r="L1361" i="2"/>
  <c r="K1361" i="2"/>
  <c r="J1361" i="2"/>
  <c r="I1361" i="2"/>
  <c r="K1360" i="2"/>
  <c r="L1360" i="2" s="1"/>
  <c r="J1360" i="2"/>
  <c r="I1360" i="2"/>
  <c r="L1359" i="2"/>
  <c r="K1359" i="2"/>
  <c r="J1359" i="2"/>
  <c r="I1359" i="2"/>
  <c r="K1358" i="2"/>
  <c r="L1358" i="2" s="1"/>
  <c r="J1358" i="2"/>
  <c r="I1358" i="2"/>
  <c r="L1357" i="2"/>
  <c r="K1357" i="2"/>
  <c r="J1357" i="2"/>
  <c r="I1357" i="2"/>
  <c r="K1356" i="2"/>
  <c r="L1356" i="2" s="1"/>
  <c r="J1356" i="2"/>
  <c r="I1356" i="2"/>
  <c r="L1355" i="2"/>
  <c r="K1355" i="2"/>
  <c r="J1355" i="2"/>
  <c r="I1355" i="2"/>
  <c r="K1354" i="2"/>
  <c r="L1354" i="2" s="1"/>
  <c r="J1354" i="2"/>
  <c r="I1354" i="2"/>
  <c r="L1353" i="2"/>
  <c r="K1353" i="2"/>
  <c r="J1353" i="2"/>
  <c r="I1353" i="2"/>
  <c r="K1352" i="2"/>
  <c r="L1352" i="2" s="1"/>
  <c r="J1352" i="2"/>
  <c r="I1352" i="2"/>
  <c r="L1351" i="2"/>
  <c r="K1351" i="2"/>
  <c r="J1351" i="2"/>
  <c r="I1351" i="2"/>
  <c r="K1350" i="2"/>
  <c r="L1350" i="2" s="1"/>
  <c r="J1350" i="2"/>
  <c r="I1350" i="2"/>
  <c r="L1349" i="2"/>
  <c r="K1349" i="2"/>
  <c r="J1349" i="2"/>
  <c r="I1349" i="2"/>
  <c r="K1348" i="2"/>
  <c r="L1348" i="2" s="1"/>
  <c r="J1348" i="2"/>
  <c r="I1348" i="2"/>
  <c r="L1347" i="2"/>
  <c r="K1347" i="2"/>
  <c r="J1347" i="2"/>
  <c r="I1347" i="2"/>
  <c r="K1346" i="2"/>
  <c r="L1346" i="2" s="1"/>
  <c r="J1346" i="2"/>
  <c r="I1346" i="2"/>
  <c r="L1345" i="2"/>
  <c r="K1345" i="2"/>
  <c r="J1345" i="2"/>
  <c r="I1345" i="2"/>
  <c r="K1344" i="2"/>
  <c r="L1344" i="2" s="1"/>
  <c r="J1344" i="2"/>
  <c r="I1344" i="2"/>
  <c r="L1343" i="2"/>
  <c r="K1343" i="2"/>
  <c r="J1343" i="2"/>
  <c r="I1343" i="2"/>
  <c r="K1342" i="2"/>
  <c r="L1342" i="2" s="1"/>
  <c r="J1342" i="2"/>
  <c r="I1342" i="2"/>
  <c r="L1341" i="2"/>
  <c r="K1341" i="2"/>
  <c r="J1341" i="2"/>
  <c r="I1341" i="2"/>
  <c r="K1340" i="2"/>
  <c r="L1340" i="2" s="1"/>
  <c r="J1340" i="2"/>
  <c r="I1340" i="2"/>
  <c r="L1339" i="2"/>
  <c r="K1339" i="2"/>
  <c r="J1339" i="2"/>
  <c r="I1339" i="2"/>
  <c r="K1338" i="2"/>
  <c r="L1338" i="2" s="1"/>
  <c r="J1338" i="2"/>
  <c r="I1338" i="2"/>
  <c r="L1337" i="2"/>
  <c r="K1337" i="2"/>
  <c r="J1337" i="2"/>
  <c r="I1337" i="2"/>
  <c r="K1336" i="2"/>
  <c r="L1336" i="2" s="1"/>
  <c r="J1336" i="2"/>
  <c r="I1336" i="2"/>
  <c r="L1335" i="2"/>
  <c r="K1335" i="2"/>
  <c r="J1335" i="2"/>
  <c r="I1335" i="2"/>
  <c r="K1334" i="2"/>
  <c r="L1334" i="2" s="1"/>
  <c r="J1334" i="2"/>
  <c r="I1334" i="2"/>
  <c r="L1333" i="2"/>
  <c r="K1333" i="2"/>
  <c r="J1333" i="2"/>
  <c r="I1333" i="2"/>
  <c r="K1332" i="2"/>
  <c r="L1332" i="2" s="1"/>
  <c r="J1332" i="2"/>
  <c r="I1332" i="2"/>
  <c r="L1331" i="2"/>
  <c r="K1331" i="2"/>
  <c r="J1331" i="2"/>
  <c r="I1331" i="2"/>
  <c r="K1330" i="2"/>
  <c r="L1330" i="2" s="1"/>
  <c r="J1330" i="2"/>
  <c r="I1330" i="2"/>
  <c r="L1329" i="2"/>
  <c r="K1329" i="2"/>
  <c r="J1329" i="2"/>
  <c r="I1329" i="2"/>
  <c r="K1328" i="2"/>
  <c r="L1328" i="2" s="1"/>
  <c r="J1328" i="2"/>
  <c r="I1328" i="2"/>
  <c r="L1327" i="2"/>
  <c r="K1327" i="2"/>
  <c r="J1327" i="2"/>
  <c r="I1327" i="2"/>
  <c r="K1326" i="2"/>
  <c r="L1326" i="2" s="1"/>
  <c r="J1326" i="2"/>
  <c r="I1326" i="2"/>
  <c r="L1325" i="2"/>
  <c r="K1325" i="2"/>
  <c r="J1325" i="2"/>
  <c r="I1325" i="2"/>
  <c r="K1324" i="2"/>
  <c r="L1324" i="2" s="1"/>
  <c r="J1324" i="2"/>
  <c r="I1324" i="2"/>
  <c r="L1323" i="2"/>
  <c r="K1323" i="2"/>
  <c r="J1323" i="2"/>
  <c r="I1323" i="2"/>
  <c r="K1322" i="2"/>
  <c r="L1322" i="2" s="1"/>
  <c r="J1322" i="2"/>
  <c r="I1322" i="2"/>
  <c r="L1321" i="2"/>
  <c r="K1321" i="2"/>
  <c r="J1321" i="2"/>
  <c r="I1321" i="2"/>
  <c r="K1320" i="2"/>
  <c r="L1320" i="2" s="1"/>
  <c r="J1320" i="2"/>
  <c r="I1320" i="2"/>
  <c r="L1319" i="2"/>
  <c r="K1319" i="2"/>
  <c r="J1319" i="2"/>
  <c r="I1319" i="2"/>
  <c r="K1318" i="2"/>
  <c r="L1318" i="2" s="1"/>
  <c r="J1318" i="2"/>
  <c r="I1318" i="2"/>
  <c r="L1317" i="2"/>
  <c r="K1317" i="2"/>
  <c r="J1317" i="2"/>
  <c r="I1317" i="2"/>
  <c r="K1316" i="2"/>
  <c r="L1316" i="2" s="1"/>
  <c r="J1316" i="2"/>
  <c r="I1316" i="2"/>
  <c r="L1315" i="2"/>
  <c r="K1315" i="2"/>
  <c r="J1315" i="2"/>
  <c r="I1315" i="2"/>
  <c r="K1314" i="2"/>
  <c r="L1314" i="2" s="1"/>
  <c r="J1314" i="2"/>
  <c r="I1314" i="2"/>
  <c r="L1313" i="2"/>
  <c r="K1313" i="2"/>
  <c r="J1313" i="2"/>
  <c r="I1313" i="2"/>
  <c r="K1312" i="2"/>
  <c r="L1312" i="2" s="1"/>
  <c r="J1312" i="2"/>
  <c r="I1312" i="2"/>
  <c r="L1311" i="2"/>
  <c r="K1311" i="2"/>
  <c r="J1311" i="2"/>
  <c r="I1311" i="2"/>
  <c r="K1310" i="2"/>
  <c r="L1310" i="2" s="1"/>
  <c r="J1310" i="2"/>
  <c r="I1310" i="2"/>
  <c r="L1309" i="2"/>
  <c r="K1309" i="2"/>
  <c r="J1309" i="2"/>
  <c r="I1309" i="2"/>
  <c r="K1308" i="2"/>
  <c r="L1308" i="2" s="1"/>
  <c r="J1308" i="2"/>
  <c r="I1308" i="2"/>
  <c r="L1307" i="2"/>
  <c r="K1307" i="2"/>
  <c r="J1307" i="2"/>
  <c r="I1307" i="2"/>
  <c r="K1306" i="2"/>
  <c r="L1306" i="2" s="1"/>
  <c r="J1306" i="2"/>
  <c r="I1306" i="2"/>
  <c r="L1305" i="2"/>
  <c r="K1305" i="2"/>
  <c r="J1305" i="2"/>
  <c r="I1305" i="2"/>
  <c r="K1304" i="2"/>
  <c r="L1304" i="2" s="1"/>
  <c r="J1304" i="2"/>
  <c r="I1304" i="2"/>
  <c r="L1303" i="2"/>
  <c r="K1303" i="2"/>
  <c r="J1303" i="2"/>
  <c r="I1303" i="2"/>
  <c r="K1302" i="2"/>
  <c r="L1302" i="2" s="1"/>
  <c r="J1302" i="2"/>
  <c r="I1302" i="2"/>
  <c r="L1301" i="2"/>
  <c r="K1301" i="2"/>
  <c r="J1301" i="2"/>
  <c r="I1301" i="2"/>
  <c r="K1300" i="2"/>
  <c r="L1300" i="2" s="1"/>
  <c r="J1300" i="2"/>
  <c r="I1300" i="2"/>
  <c r="L1299" i="2"/>
  <c r="K1299" i="2"/>
  <c r="J1299" i="2"/>
  <c r="I1299" i="2"/>
  <c r="K1298" i="2"/>
  <c r="L1298" i="2" s="1"/>
  <c r="J1298" i="2"/>
  <c r="I1298" i="2"/>
  <c r="L1297" i="2"/>
  <c r="K1297" i="2"/>
  <c r="J1297" i="2"/>
  <c r="I1297" i="2"/>
  <c r="K1296" i="2"/>
  <c r="L1296" i="2" s="1"/>
  <c r="J1296" i="2"/>
  <c r="I1296" i="2"/>
  <c r="L1295" i="2"/>
  <c r="K1295" i="2"/>
  <c r="J1295" i="2"/>
  <c r="I1295" i="2"/>
  <c r="K1294" i="2"/>
  <c r="L1294" i="2" s="1"/>
  <c r="J1294" i="2"/>
  <c r="I1294" i="2"/>
  <c r="L1293" i="2"/>
  <c r="K1293" i="2"/>
  <c r="J1293" i="2"/>
  <c r="I1293" i="2"/>
  <c r="K1292" i="2"/>
  <c r="L1292" i="2" s="1"/>
  <c r="J1292" i="2"/>
  <c r="I1292" i="2"/>
  <c r="L1291" i="2"/>
  <c r="K1291" i="2"/>
  <c r="J1291" i="2"/>
  <c r="I1291" i="2"/>
  <c r="K1290" i="2"/>
  <c r="L1290" i="2" s="1"/>
  <c r="J1290" i="2"/>
  <c r="I1290" i="2"/>
  <c r="L1289" i="2"/>
  <c r="K1289" i="2"/>
  <c r="J1289" i="2"/>
  <c r="I1289" i="2"/>
  <c r="K1288" i="2"/>
  <c r="L1288" i="2" s="1"/>
  <c r="J1288" i="2"/>
  <c r="I1288" i="2"/>
  <c r="L1287" i="2"/>
  <c r="K1287" i="2"/>
  <c r="J1287" i="2"/>
  <c r="I1287" i="2"/>
  <c r="K1286" i="2"/>
  <c r="L1286" i="2" s="1"/>
  <c r="J1286" i="2"/>
  <c r="I1286" i="2"/>
  <c r="L1285" i="2"/>
  <c r="K1285" i="2"/>
  <c r="J1285" i="2"/>
  <c r="I1285" i="2"/>
  <c r="K1284" i="2"/>
  <c r="L1284" i="2" s="1"/>
  <c r="J1284" i="2"/>
  <c r="I1284" i="2"/>
  <c r="L1283" i="2"/>
  <c r="K1283" i="2"/>
  <c r="J1283" i="2"/>
  <c r="I1283" i="2"/>
  <c r="K1282" i="2"/>
  <c r="L1282" i="2" s="1"/>
  <c r="J1282" i="2"/>
  <c r="I1282" i="2"/>
  <c r="L1281" i="2"/>
  <c r="K1281" i="2"/>
  <c r="J1281" i="2"/>
  <c r="I1281" i="2"/>
  <c r="K1280" i="2"/>
  <c r="L1280" i="2" s="1"/>
  <c r="J1280" i="2"/>
  <c r="I1280" i="2"/>
  <c r="L1279" i="2"/>
  <c r="K1279" i="2"/>
  <c r="J1279" i="2"/>
  <c r="I1279" i="2"/>
  <c r="K1278" i="2"/>
  <c r="L1278" i="2" s="1"/>
  <c r="J1278" i="2"/>
  <c r="I1278" i="2"/>
  <c r="L1277" i="2"/>
  <c r="K1277" i="2"/>
  <c r="J1277" i="2"/>
  <c r="I1277" i="2"/>
  <c r="K1276" i="2"/>
  <c r="L1276" i="2" s="1"/>
  <c r="J1276" i="2"/>
  <c r="I1276" i="2"/>
  <c r="L1275" i="2"/>
  <c r="K1275" i="2"/>
  <c r="J1275" i="2"/>
  <c r="I1275" i="2"/>
  <c r="K1274" i="2"/>
  <c r="L1274" i="2" s="1"/>
  <c r="J1274" i="2"/>
  <c r="I1274" i="2"/>
  <c r="L1273" i="2"/>
  <c r="K1273" i="2"/>
  <c r="J1273" i="2"/>
  <c r="I1273" i="2"/>
  <c r="K1272" i="2"/>
  <c r="L1272" i="2" s="1"/>
  <c r="J1272" i="2"/>
  <c r="I1272" i="2"/>
  <c r="L1271" i="2"/>
  <c r="K1271" i="2"/>
  <c r="J1271" i="2"/>
  <c r="I1271" i="2"/>
  <c r="K1270" i="2"/>
  <c r="L1270" i="2" s="1"/>
  <c r="J1270" i="2"/>
  <c r="I1270" i="2"/>
  <c r="L1269" i="2"/>
  <c r="K1269" i="2"/>
  <c r="J1269" i="2"/>
  <c r="I1269" i="2"/>
  <c r="K1268" i="2"/>
  <c r="L1268" i="2" s="1"/>
  <c r="J1268" i="2"/>
  <c r="I1268" i="2"/>
  <c r="L1267" i="2"/>
  <c r="K1267" i="2"/>
  <c r="J1267" i="2"/>
  <c r="I1267" i="2"/>
  <c r="K1266" i="2"/>
  <c r="L1266" i="2" s="1"/>
  <c r="J1266" i="2"/>
  <c r="I1266" i="2"/>
  <c r="L1265" i="2"/>
  <c r="K1265" i="2"/>
  <c r="J1265" i="2"/>
  <c r="I1265" i="2"/>
  <c r="K1264" i="2"/>
  <c r="L1264" i="2" s="1"/>
  <c r="J1264" i="2"/>
  <c r="I1264" i="2"/>
  <c r="L1263" i="2"/>
  <c r="K1263" i="2"/>
  <c r="J1263" i="2"/>
  <c r="I1263" i="2"/>
  <c r="K1262" i="2"/>
  <c r="L1262" i="2" s="1"/>
  <c r="J1262" i="2"/>
  <c r="I1262" i="2"/>
  <c r="L1261" i="2"/>
  <c r="K1261" i="2"/>
  <c r="J1261" i="2"/>
  <c r="I1261" i="2"/>
  <c r="K1260" i="2"/>
  <c r="L1260" i="2" s="1"/>
  <c r="J1260" i="2"/>
  <c r="I1260" i="2"/>
  <c r="L1259" i="2"/>
  <c r="K1259" i="2"/>
  <c r="J1259" i="2"/>
  <c r="I1259" i="2"/>
  <c r="K1258" i="2"/>
  <c r="L1258" i="2" s="1"/>
  <c r="J1258" i="2"/>
  <c r="I1258" i="2"/>
  <c r="L1257" i="2"/>
  <c r="K1257" i="2"/>
  <c r="J1257" i="2"/>
  <c r="I1257" i="2"/>
  <c r="K1256" i="2"/>
  <c r="L1256" i="2" s="1"/>
  <c r="J1256" i="2"/>
  <c r="I1256" i="2"/>
  <c r="L1255" i="2"/>
  <c r="K1255" i="2"/>
  <c r="J1255" i="2"/>
  <c r="I1255" i="2"/>
  <c r="K1254" i="2"/>
  <c r="L1254" i="2" s="1"/>
  <c r="J1254" i="2"/>
  <c r="I1254" i="2"/>
  <c r="L1253" i="2"/>
  <c r="K1253" i="2"/>
  <c r="J1253" i="2"/>
  <c r="I1253" i="2"/>
  <c r="K1252" i="2"/>
  <c r="L1252" i="2" s="1"/>
  <c r="J1252" i="2"/>
  <c r="I1252" i="2"/>
  <c r="L1251" i="2"/>
  <c r="K1251" i="2"/>
  <c r="J1251" i="2"/>
  <c r="I1251" i="2"/>
  <c r="K1250" i="2"/>
  <c r="L1250" i="2" s="1"/>
  <c r="J1250" i="2"/>
  <c r="I1250" i="2"/>
  <c r="L1249" i="2"/>
  <c r="K1249" i="2"/>
  <c r="J1249" i="2"/>
  <c r="I1249" i="2"/>
  <c r="K1248" i="2"/>
  <c r="L1248" i="2" s="1"/>
  <c r="J1248" i="2"/>
  <c r="I1248" i="2"/>
  <c r="L1247" i="2"/>
  <c r="K1247" i="2"/>
  <c r="J1247" i="2"/>
  <c r="I1247" i="2"/>
  <c r="K1246" i="2"/>
  <c r="L1246" i="2" s="1"/>
  <c r="J1246" i="2"/>
  <c r="I1246" i="2"/>
  <c r="L1245" i="2"/>
  <c r="K1245" i="2"/>
  <c r="J1245" i="2"/>
  <c r="I1245" i="2"/>
  <c r="K1244" i="2"/>
  <c r="L1244" i="2" s="1"/>
  <c r="J1244" i="2"/>
  <c r="I1244" i="2"/>
  <c r="L1243" i="2"/>
  <c r="K1243" i="2"/>
  <c r="J1243" i="2"/>
  <c r="I1243" i="2"/>
  <c r="K1242" i="2"/>
  <c r="L1242" i="2" s="1"/>
  <c r="J1242" i="2"/>
  <c r="I1242" i="2"/>
  <c r="L1241" i="2"/>
  <c r="K1241" i="2"/>
  <c r="J1241" i="2"/>
  <c r="I1241" i="2"/>
  <c r="K1240" i="2"/>
  <c r="L1240" i="2" s="1"/>
  <c r="J1240" i="2"/>
  <c r="I1240" i="2"/>
  <c r="L1239" i="2"/>
  <c r="K1239" i="2"/>
  <c r="J1239" i="2"/>
  <c r="I1239" i="2"/>
  <c r="K1238" i="2"/>
  <c r="L1238" i="2" s="1"/>
  <c r="J1238" i="2"/>
  <c r="I1238" i="2"/>
  <c r="L1237" i="2"/>
  <c r="K1237" i="2"/>
  <c r="J1237" i="2"/>
  <c r="I1237" i="2"/>
  <c r="K1236" i="2"/>
  <c r="L1236" i="2" s="1"/>
  <c r="J1236" i="2"/>
  <c r="I1236" i="2"/>
  <c r="L1235" i="2"/>
  <c r="K1235" i="2"/>
  <c r="J1235" i="2"/>
  <c r="I1235" i="2"/>
  <c r="K1234" i="2"/>
  <c r="L1234" i="2" s="1"/>
  <c r="J1234" i="2"/>
  <c r="I1234" i="2"/>
  <c r="L1233" i="2"/>
  <c r="K1233" i="2"/>
  <c r="J1233" i="2"/>
  <c r="I1233" i="2"/>
  <c r="K1232" i="2"/>
  <c r="L1232" i="2" s="1"/>
  <c r="J1232" i="2"/>
  <c r="I1232" i="2"/>
  <c r="L1231" i="2"/>
  <c r="K1231" i="2"/>
  <c r="J1231" i="2"/>
  <c r="I1231" i="2"/>
  <c r="K1230" i="2"/>
  <c r="L1230" i="2" s="1"/>
  <c r="J1230" i="2"/>
  <c r="I1230" i="2"/>
  <c r="L1229" i="2"/>
  <c r="K1229" i="2"/>
  <c r="J1229" i="2"/>
  <c r="I1229" i="2"/>
  <c r="K1228" i="2"/>
  <c r="L1228" i="2" s="1"/>
  <c r="J1228" i="2"/>
  <c r="I1228" i="2"/>
  <c r="L1227" i="2"/>
  <c r="K1227" i="2"/>
  <c r="J1227" i="2"/>
  <c r="I1227" i="2"/>
  <c r="K1226" i="2"/>
  <c r="L1226" i="2" s="1"/>
  <c r="J1226" i="2"/>
  <c r="I1226" i="2"/>
  <c r="L1225" i="2"/>
  <c r="K1225" i="2"/>
  <c r="J1225" i="2"/>
  <c r="I1225" i="2"/>
  <c r="K1224" i="2"/>
  <c r="L1224" i="2" s="1"/>
  <c r="J1224" i="2"/>
  <c r="I1224" i="2"/>
  <c r="L1223" i="2"/>
  <c r="K1223" i="2"/>
  <c r="J1223" i="2"/>
  <c r="I1223" i="2"/>
  <c r="K1222" i="2"/>
  <c r="L1222" i="2" s="1"/>
  <c r="J1222" i="2"/>
  <c r="I1222" i="2"/>
  <c r="L1221" i="2"/>
  <c r="K1221" i="2"/>
  <c r="J1221" i="2"/>
  <c r="I1221" i="2"/>
  <c r="K1220" i="2"/>
  <c r="L1220" i="2" s="1"/>
  <c r="J1220" i="2"/>
  <c r="I1220" i="2"/>
  <c r="L1219" i="2"/>
  <c r="K1219" i="2"/>
  <c r="J1219" i="2"/>
  <c r="I1219" i="2"/>
  <c r="K1218" i="2"/>
  <c r="L1218" i="2" s="1"/>
  <c r="J1218" i="2"/>
  <c r="I1218" i="2"/>
  <c r="L1217" i="2"/>
  <c r="K1217" i="2"/>
  <c r="J1217" i="2"/>
  <c r="I1217" i="2"/>
  <c r="K1216" i="2"/>
  <c r="L1216" i="2" s="1"/>
  <c r="J1216" i="2"/>
  <c r="I1216" i="2"/>
  <c r="L1215" i="2"/>
  <c r="K1215" i="2"/>
  <c r="J1215" i="2"/>
  <c r="I1215" i="2"/>
  <c r="K1214" i="2"/>
  <c r="L1214" i="2" s="1"/>
  <c r="J1214" i="2"/>
  <c r="I1214" i="2"/>
  <c r="L1213" i="2"/>
  <c r="K1213" i="2"/>
  <c r="J1213" i="2"/>
  <c r="I1213" i="2"/>
  <c r="K1212" i="2"/>
  <c r="L1212" i="2" s="1"/>
  <c r="J1212" i="2"/>
  <c r="I1212" i="2"/>
  <c r="L1211" i="2"/>
  <c r="K1211" i="2"/>
  <c r="J1211" i="2"/>
  <c r="I1211" i="2"/>
  <c r="K1210" i="2"/>
  <c r="L1210" i="2" s="1"/>
  <c r="J1210" i="2"/>
  <c r="I1210" i="2"/>
  <c r="L1209" i="2"/>
  <c r="K1209" i="2"/>
  <c r="J1209" i="2"/>
  <c r="I1209" i="2"/>
  <c r="K1208" i="2"/>
  <c r="L1208" i="2" s="1"/>
  <c r="J1208" i="2"/>
  <c r="I1208" i="2"/>
  <c r="L1207" i="2"/>
  <c r="K1207" i="2"/>
  <c r="J1207" i="2"/>
  <c r="I1207" i="2"/>
  <c r="K1206" i="2"/>
  <c r="L1206" i="2" s="1"/>
  <c r="J1206" i="2"/>
  <c r="I1206" i="2"/>
  <c r="L1205" i="2"/>
  <c r="K1205" i="2"/>
  <c r="J1205" i="2"/>
  <c r="I1205" i="2"/>
  <c r="K1204" i="2"/>
  <c r="L1204" i="2" s="1"/>
  <c r="J1204" i="2"/>
  <c r="I1204" i="2"/>
  <c r="L1203" i="2"/>
  <c r="K1203" i="2"/>
  <c r="J1203" i="2"/>
  <c r="I1203" i="2"/>
  <c r="K1202" i="2"/>
  <c r="L1202" i="2" s="1"/>
  <c r="J1202" i="2"/>
  <c r="I1202" i="2"/>
  <c r="L1201" i="2"/>
  <c r="K1201" i="2"/>
  <c r="J1201" i="2"/>
  <c r="I1201" i="2"/>
  <c r="K1200" i="2"/>
  <c r="L1200" i="2" s="1"/>
  <c r="J1200" i="2"/>
  <c r="I1200" i="2"/>
  <c r="L1199" i="2"/>
  <c r="K1199" i="2"/>
  <c r="J1199" i="2"/>
  <c r="I1199" i="2"/>
  <c r="K1198" i="2"/>
  <c r="L1198" i="2" s="1"/>
  <c r="J1198" i="2"/>
  <c r="I1198" i="2"/>
  <c r="L1197" i="2"/>
  <c r="K1197" i="2"/>
  <c r="J1197" i="2"/>
  <c r="I1197" i="2"/>
  <c r="K1196" i="2"/>
  <c r="L1196" i="2" s="1"/>
  <c r="J1196" i="2"/>
  <c r="I1196" i="2"/>
  <c r="L1195" i="2"/>
  <c r="K1195" i="2"/>
  <c r="J1195" i="2"/>
  <c r="I1195" i="2"/>
  <c r="K1194" i="2"/>
  <c r="L1194" i="2" s="1"/>
  <c r="J1194" i="2"/>
  <c r="I1194" i="2"/>
  <c r="L1193" i="2"/>
  <c r="K1193" i="2"/>
  <c r="J1193" i="2"/>
  <c r="I1193" i="2"/>
  <c r="K1192" i="2"/>
  <c r="L1192" i="2" s="1"/>
  <c r="J1192" i="2"/>
  <c r="I1192" i="2"/>
  <c r="L1191" i="2"/>
  <c r="K1191" i="2"/>
  <c r="J1191" i="2"/>
  <c r="I1191" i="2"/>
  <c r="K1190" i="2"/>
  <c r="L1190" i="2" s="1"/>
  <c r="J1190" i="2"/>
  <c r="I1190" i="2"/>
  <c r="L1189" i="2"/>
  <c r="K1189" i="2"/>
  <c r="J1189" i="2"/>
  <c r="I1189" i="2"/>
  <c r="K1188" i="2"/>
  <c r="L1188" i="2" s="1"/>
  <c r="J1188" i="2"/>
  <c r="I1188" i="2"/>
  <c r="L1187" i="2"/>
  <c r="K1187" i="2"/>
  <c r="J1187" i="2"/>
  <c r="I1187" i="2"/>
  <c r="K1186" i="2"/>
  <c r="L1186" i="2" s="1"/>
  <c r="J1186" i="2"/>
  <c r="I1186" i="2"/>
  <c r="L1185" i="2"/>
  <c r="K1185" i="2"/>
  <c r="J1185" i="2"/>
  <c r="I1185" i="2"/>
  <c r="K1184" i="2"/>
  <c r="L1184" i="2" s="1"/>
  <c r="J1184" i="2"/>
  <c r="I1184" i="2"/>
  <c r="L1183" i="2"/>
  <c r="K1183" i="2"/>
  <c r="J1183" i="2"/>
  <c r="I1183" i="2"/>
  <c r="K1182" i="2"/>
  <c r="L1182" i="2" s="1"/>
  <c r="J1182" i="2"/>
  <c r="I1182" i="2"/>
  <c r="L1181" i="2"/>
  <c r="K1181" i="2"/>
  <c r="J1181" i="2"/>
  <c r="I1181" i="2"/>
  <c r="K1180" i="2"/>
  <c r="L1180" i="2" s="1"/>
  <c r="J1180" i="2"/>
  <c r="I1180" i="2"/>
  <c r="L1179" i="2"/>
  <c r="K1179" i="2"/>
  <c r="J1179" i="2"/>
  <c r="I1179" i="2"/>
  <c r="K1178" i="2"/>
  <c r="L1178" i="2" s="1"/>
  <c r="J1178" i="2"/>
  <c r="I1178" i="2"/>
  <c r="L1177" i="2"/>
  <c r="K1177" i="2"/>
  <c r="J1177" i="2"/>
  <c r="I1177" i="2"/>
  <c r="K1176" i="2"/>
  <c r="L1176" i="2" s="1"/>
  <c r="J1176" i="2"/>
  <c r="I1176" i="2"/>
  <c r="L1175" i="2"/>
  <c r="K1175" i="2"/>
  <c r="J1175" i="2"/>
  <c r="I1175" i="2"/>
  <c r="K1174" i="2"/>
  <c r="L1174" i="2" s="1"/>
  <c r="J1174" i="2"/>
  <c r="I1174" i="2"/>
  <c r="L1173" i="2"/>
  <c r="K1173" i="2"/>
  <c r="J1173" i="2"/>
  <c r="I1173" i="2"/>
  <c r="K1172" i="2"/>
  <c r="L1172" i="2" s="1"/>
  <c r="J1172" i="2"/>
  <c r="I1172" i="2"/>
  <c r="L1171" i="2"/>
  <c r="K1171" i="2"/>
  <c r="J1171" i="2"/>
  <c r="I1171" i="2"/>
  <c r="K1170" i="2"/>
  <c r="L1170" i="2" s="1"/>
  <c r="J1170" i="2"/>
  <c r="I1170" i="2"/>
  <c r="L1169" i="2"/>
  <c r="K1169" i="2"/>
  <c r="J1169" i="2"/>
  <c r="I1169" i="2"/>
  <c r="K1168" i="2"/>
  <c r="L1168" i="2" s="1"/>
  <c r="J1168" i="2"/>
  <c r="I1168" i="2"/>
  <c r="L1167" i="2"/>
  <c r="K1167" i="2"/>
  <c r="J1167" i="2"/>
  <c r="I1167" i="2"/>
  <c r="K1166" i="2"/>
  <c r="L1166" i="2" s="1"/>
  <c r="J1166" i="2"/>
  <c r="I1166" i="2"/>
  <c r="L1165" i="2"/>
  <c r="K1165" i="2"/>
  <c r="J1165" i="2"/>
  <c r="I1165" i="2"/>
  <c r="K1164" i="2"/>
  <c r="L1164" i="2" s="1"/>
  <c r="J1164" i="2"/>
  <c r="I1164" i="2"/>
  <c r="L1163" i="2"/>
  <c r="K1163" i="2"/>
  <c r="J1163" i="2"/>
  <c r="I1163" i="2"/>
  <c r="K1162" i="2"/>
  <c r="L1162" i="2" s="1"/>
  <c r="J1162" i="2"/>
  <c r="I1162" i="2"/>
  <c r="L1161" i="2"/>
  <c r="K1161" i="2"/>
  <c r="J1161" i="2"/>
  <c r="I1161" i="2"/>
  <c r="K1160" i="2"/>
  <c r="L1160" i="2" s="1"/>
  <c r="J1160" i="2"/>
  <c r="I1160" i="2"/>
  <c r="L1159" i="2"/>
  <c r="K1159" i="2"/>
  <c r="J1159" i="2"/>
  <c r="I1159" i="2"/>
  <c r="K1158" i="2"/>
  <c r="L1158" i="2" s="1"/>
  <c r="J1158" i="2"/>
  <c r="I1158" i="2"/>
  <c r="L1157" i="2"/>
  <c r="K1157" i="2"/>
  <c r="J1157" i="2"/>
  <c r="I1157" i="2"/>
  <c r="K1156" i="2"/>
  <c r="L1156" i="2" s="1"/>
  <c r="J1156" i="2"/>
  <c r="I1156" i="2"/>
  <c r="L1155" i="2"/>
  <c r="K1155" i="2"/>
  <c r="J1155" i="2"/>
  <c r="I1155" i="2"/>
  <c r="K1154" i="2"/>
  <c r="L1154" i="2" s="1"/>
  <c r="J1154" i="2"/>
  <c r="I1154" i="2"/>
  <c r="L1153" i="2"/>
  <c r="K1153" i="2"/>
  <c r="J1153" i="2"/>
  <c r="I1153" i="2"/>
  <c r="K1152" i="2"/>
  <c r="L1152" i="2" s="1"/>
  <c r="J1152" i="2"/>
  <c r="I1152" i="2"/>
  <c r="L1151" i="2"/>
  <c r="K1151" i="2"/>
  <c r="J1151" i="2"/>
  <c r="I1151" i="2"/>
  <c r="K1150" i="2"/>
  <c r="L1150" i="2" s="1"/>
  <c r="J1150" i="2"/>
  <c r="I1150" i="2"/>
  <c r="L1149" i="2"/>
  <c r="K1149" i="2"/>
  <c r="J1149" i="2"/>
  <c r="I1149" i="2"/>
  <c r="K1148" i="2"/>
  <c r="L1148" i="2" s="1"/>
  <c r="J1148" i="2"/>
  <c r="I1148" i="2"/>
  <c r="L1147" i="2"/>
  <c r="K1147" i="2"/>
  <c r="J1147" i="2"/>
  <c r="I1147" i="2"/>
  <c r="K1146" i="2"/>
  <c r="L1146" i="2" s="1"/>
  <c r="J1146" i="2"/>
  <c r="I1146" i="2"/>
  <c r="L1145" i="2"/>
  <c r="K1145" i="2"/>
  <c r="J1145" i="2"/>
  <c r="I1145" i="2"/>
  <c r="K1144" i="2"/>
  <c r="L1144" i="2" s="1"/>
  <c r="J1144" i="2"/>
  <c r="I1144" i="2"/>
  <c r="L1143" i="2"/>
  <c r="K1143" i="2"/>
  <c r="J1143" i="2"/>
  <c r="I1143" i="2"/>
  <c r="K1142" i="2"/>
  <c r="L1142" i="2" s="1"/>
  <c r="J1142" i="2"/>
  <c r="I1142" i="2"/>
  <c r="L1141" i="2"/>
  <c r="K1141" i="2"/>
  <c r="J1141" i="2"/>
  <c r="I1141" i="2"/>
  <c r="K1140" i="2"/>
  <c r="L1140" i="2" s="1"/>
  <c r="J1140" i="2"/>
  <c r="I1140" i="2"/>
  <c r="L1139" i="2"/>
  <c r="K1139" i="2"/>
  <c r="J1139" i="2"/>
  <c r="I1139" i="2"/>
  <c r="K1138" i="2"/>
  <c r="L1138" i="2" s="1"/>
  <c r="J1138" i="2"/>
  <c r="I1138" i="2"/>
  <c r="L1137" i="2"/>
  <c r="K1137" i="2"/>
  <c r="J1137" i="2"/>
  <c r="I1137" i="2"/>
  <c r="K1136" i="2"/>
  <c r="L1136" i="2" s="1"/>
  <c r="J1136" i="2"/>
  <c r="I1136" i="2"/>
  <c r="L1135" i="2"/>
  <c r="K1135" i="2"/>
  <c r="J1135" i="2"/>
  <c r="I1135" i="2"/>
  <c r="K1134" i="2"/>
  <c r="L1134" i="2" s="1"/>
  <c r="J1134" i="2"/>
  <c r="I1134" i="2"/>
  <c r="L1133" i="2"/>
  <c r="K1133" i="2"/>
  <c r="J1133" i="2"/>
  <c r="I1133" i="2"/>
  <c r="K1132" i="2"/>
  <c r="L1132" i="2" s="1"/>
  <c r="J1132" i="2"/>
  <c r="I1132" i="2"/>
  <c r="L1131" i="2"/>
  <c r="K1131" i="2"/>
  <c r="J1131" i="2"/>
  <c r="I1131" i="2"/>
  <c r="K1130" i="2"/>
  <c r="L1130" i="2" s="1"/>
  <c r="J1130" i="2"/>
  <c r="I1130" i="2"/>
  <c r="L1129" i="2"/>
  <c r="K1129" i="2"/>
  <c r="J1129" i="2"/>
  <c r="I1129" i="2"/>
  <c r="K1128" i="2"/>
  <c r="L1128" i="2" s="1"/>
  <c r="J1128" i="2"/>
  <c r="I1128" i="2"/>
  <c r="L1127" i="2"/>
  <c r="K1127" i="2"/>
  <c r="J1127" i="2"/>
  <c r="I1127" i="2"/>
  <c r="K1126" i="2"/>
  <c r="L1126" i="2" s="1"/>
  <c r="J1126" i="2"/>
  <c r="I1126" i="2"/>
  <c r="L1125" i="2"/>
  <c r="K1125" i="2"/>
  <c r="J1125" i="2"/>
  <c r="I1125" i="2"/>
  <c r="K1124" i="2"/>
  <c r="L1124" i="2" s="1"/>
  <c r="J1124" i="2"/>
  <c r="I1124" i="2"/>
  <c r="L1123" i="2"/>
  <c r="K1123" i="2"/>
  <c r="J1123" i="2"/>
  <c r="I1123" i="2"/>
  <c r="K1122" i="2"/>
  <c r="L1122" i="2" s="1"/>
  <c r="J1122" i="2"/>
  <c r="I1122" i="2"/>
  <c r="L1121" i="2"/>
  <c r="K1121" i="2"/>
  <c r="J1121" i="2"/>
  <c r="I1121" i="2"/>
  <c r="K1120" i="2"/>
  <c r="L1120" i="2" s="1"/>
  <c r="J1120" i="2"/>
  <c r="I1120" i="2"/>
  <c r="L1119" i="2"/>
  <c r="K1119" i="2"/>
  <c r="J1119" i="2"/>
  <c r="I1119" i="2"/>
  <c r="K1118" i="2"/>
  <c r="L1118" i="2" s="1"/>
  <c r="J1118" i="2"/>
  <c r="I1118" i="2"/>
  <c r="L1117" i="2"/>
  <c r="K1117" i="2"/>
  <c r="J1117" i="2"/>
  <c r="I1117" i="2"/>
  <c r="K1116" i="2"/>
  <c r="L1116" i="2" s="1"/>
  <c r="J1116" i="2"/>
  <c r="I1116" i="2"/>
  <c r="L1115" i="2"/>
  <c r="K1115" i="2"/>
  <c r="J1115" i="2"/>
  <c r="I1115" i="2"/>
  <c r="K1114" i="2"/>
  <c r="L1114" i="2" s="1"/>
  <c r="J1114" i="2"/>
  <c r="I1114" i="2"/>
  <c r="L1113" i="2"/>
  <c r="K1113" i="2"/>
  <c r="J1113" i="2"/>
  <c r="I1113" i="2"/>
  <c r="K1112" i="2"/>
  <c r="L1112" i="2" s="1"/>
  <c r="J1112" i="2"/>
  <c r="I1112" i="2"/>
  <c r="L1111" i="2"/>
  <c r="K1111" i="2"/>
  <c r="J1111" i="2"/>
  <c r="I1111" i="2"/>
  <c r="K1110" i="2"/>
  <c r="L1110" i="2" s="1"/>
  <c r="J1110" i="2"/>
  <c r="I1110" i="2"/>
  <c r="L1109" i="2"/>
  <c r="K1109" i="2"/>
  <c r="J1109" i="2"/>
  <c r="I1109" i="2"/>
  <c r="K1108" i="2"/>
  <c r="L1108" i="2" s="1"/>
  <c r="J1108" i="2"/>
  <c r="I1108" i="2"/>
  <c r="L1107" i="2"/>
  <c r="K1107" i="2"/>
  <c r="J1107" i="2"/>
  <c r="I1107" i="2"/>
  <c r="K1106" i="2"/>
  <c r="L1106" i="2" s="1"/>
  <c r="J1106" i="2"/>
  <c r="I1106" i="2"/>
  <c r="L1105" i="2"/>
  <c r="K1105" i="2"/>
  <c r="J1105" i="2"/>
  <c r="I1105" i="2"/>
  <c r="K1104" i="2"/>
  <c r="L1104" i="2" s="1"/>
  <c r="J1104" i="2"/>
  <c r="I1104" i="2"/>
  <c r="L1103" i="2"/>
  <c r="K1103" i="2"/>
  <c r="J1103" i="2"/>
  <c r="I1103" i="2"/>
  <c r="K1102" i="2"/>
  <c r="L1102" i="2" s="1"/>
  <c r="J1102" i="2"/>
  <c r="I1102" i="2"/>
  <c r="L1101" i="2"/>
  <c r="K1101" i="2"/>
  <c r="J1101" i="2"/>
  <c r="I1101" i="2"/>
  <c r="K1100" i="2"/>
  <c r="L1100" i="2" s="1"/>
  <c r="J1100" i="2"/>
  <c r="I1100" i="2"/>
  <c r="L1099" i="2"/>
  <c r="K1099" i="2"/>
  <c r="J1099" i="2"/>
  <c r="I1099" i="2"/>
  <c r="K1098" i="2"/>
  <c r="L1098" i="2" s="1"/>
  <c r="J1098" i="2"/>
  <c r="I1098" i="2"/>
  <c r="L1097" i="2"/>
  <c r="K1097" i="2"/>
  <c r="J1097" i="2"/>
  <c r="I1097" i="2"/>
  <c r="K1096" i="2"/>
  <c r="L1096" i="2" s="1"/>
  <c r="J1096" i="2"/>
  <c r="I1096" i="2"/>
  <c r="L1095" i="2"/>
  <c r="K1095" i="2"/>
  <c r="J1095" i="2"/>
  <c r="I1095" i="2"/>
  <c r="K1094" i="2"/>
  <c r="L1094" i="2" s="1"/>
  <c r="J1094" i="2"/>
  <c r="I1094" i="2"/>
  <c r="L1093" i="2"/>
  <c r="K1093" i="2"/>
  <c r="J1093" i="2"/>
  <c r="I1093" i="2"/>
  <c r="K1092" i="2"/>
  <c r="L1092" i="2" s="1"/>
  <c r="J1092" i="2"/>
  <c r="I1092" i="2"/>
  <c r="L1091" i="2"/>
  <c r="K1091" i="2"/>
  <c r="J1091" i="2"/>
  <c r="I1091" i="2"/>
  <c r="K1090" i="2"/>
  <c r="L1090" i="2" s="1"/>
  <c r="J1090" i="2"/>
  <c r="I1090" i="2"/>
  <c r="L1089" i="2"/>
  <c r="K1089" i="2"/>
  <c r="J1089" i="2"/>
  <c r="I1089" i="2"/>
  <c r="K1088" i="2"/>
  <c r="L1088" i="2" s="1"/>
  <c r="J1088" i="2"/>
  <c r="I1088" i="2"/>
  <c r="L1087" i="2"/>
  <c r="K1087" i="2"/>
  <c r="J1087" i="2"/>
  <c r="I1087" i="2"/>
  <c r="K1086" i="2"/>
  <c r="L1086" i="2" s="1"/>
  <c r="J1086" i="2"/>
  <c r="I1086" i="2"/>
  <c r="L1085" i="2"/>
  <c r="K1085" i="2"/>
  <c r="J1085" i="2"/>
  <c r="I1085" i="2"/>
  <c r="K1084" i="2"/>
  <c r="L1084" i="2" s="1"/>
  <c r="J1084" i="2"/>
  <c r="I1084" i="2"/>
  <c r="L1083" i="2"/>
  <c r="K1083" i="2"/>
  <c r="J1083" i="2"/>
  <c r="I1083" i="2"/>
  <c r="K1082" i="2"/>
  <c r="L1082" i="2" s="1"/>
  <c r="J1082" i="2"/>
  <c r="I1082" i="2"/>
  <c r="L1081" i="2"/>
  <c r="K1081" i="2"/>
  <c r="J1081" i="2"/>
  <c r="I1081" i="2"/>
  <c r="K1080" i="2"/>
  <c r="L1080" i="2" s="1"/>
  <c r="J1080" i="2"/>
  <c r="I1080" i="2"/>
  <c r="L1079" i="2"/>
  <c r="K1079" i="2"/>
  <c r="J1079" i="2"/>
  <c r="I1079" i="2"/>
  <c r="K1078" i="2"/>
  <c r="L1078" i="2" s="1"/>
  <c r="J1078" i="2"/>
  <c r="I1078" i="2"/>
  <c r="L1077" i="2"/>
  <c r="K1077" i="2"/>
  <c r="J1077" i="2"/>
  <c r="I1077" i="2"/>
  <c r="K1076" i="2"/>
  <c r="L1076" i="2" s="1"/>
  <c r="J1076" i="2"/>
  <c r="I1076" i="2"/>
  <c r="L1075" i="2"/>
  <c r="K1075" i="2"/>
  <c r="J1075" i="2"/>
  <c r="I1075" i="2"/>
  <c r="K1074" i="2"/>
  <c r="L1074" i="2" s="1"/>
  <c r="J1074" i="2"/>
  <c r="I1074" i="2"/>
  <c r="L1073" i="2"/>
  <c r="K1073" i="2"/>
  <c r="J1073" i="2"/>
  <c r="I1073" i="2"/>
  <c r="K1072" i="2"/>
  <c r="L1072" i="2" s="1"/>
  <c r="J1072" i="2"/>
  <c r="I1072" i="2"/>
  <c r="L1071" i="2"/>
  <c r="K1071" i="2"/>
  <c r="J1071" i="2"/>
  <c r="I1071" i="2"/>
  <c r="K1070" i="2"/>
  <c r="L1070" i="2" s="1"/>
  <c r="J1070" i="2"/>
  <c r="I1070" i="2"/>
  <c r="L1069" i="2"/>
  <c r="K1069" i="2"/>
  <c r="J1069" i="2"/>
  <c r="I1069" i="2"/>
  <c r="K1068" i="2"/>
  <c r="L1068" i="2" s="1"/>
  <c r="J1068" i="2"/>
  <c r="I1068" i="2"/>
  <c r="L1067" i="2"/>
  <c r="K1067" i="2"/>
  <c r="J1067" i="2"/>
  <c r="I1067" i="2"/>
  <c r="K1066" i="2"/>
  <c r="L1066" i="2" s="1"/>
  <c r="J1066" i="2"/>
  <c r="I1066" i="2"/>
  <c r="L1065" i="2"/>
  <c r="K1065" i="2"/>
  <c r="J1065" i="2"/>
  <c r="I1065" i="2"/>
  <c r="K1064" i="2"/>
  <c r="L1064" i="2" s="1"/>
  <c r="J1064" i="2"/>
  <c r="I1064" i="2"/>
  <c r="L1063" i="2"/>
  <c r="K1063" i="2"/>
  <c r="J1063" i="2"/>
  <c r="I1063" i="2"/>
  <c r="K1062" i="2"/>
  <c r="L1062" i="2" s="1"/>
  <c r="J1062" i="2"/>
  <c r="I1062" i="2"/>
  <c r="L1061" i="2"/>
  <c r="K1061" i="2"/>
  <c r="J1061" i="2"/>
  <c r="I1061" i="2"/>
  <c r="K1060" i="2"/>
  <c r="L1060" i="2" s="1"/>
  <c r="J1060" i="2"/>
  <c r="I1060" i="2"/>
  <c r="L1059" i="2"/>
  <c r="K1059" i="2"/>
  <c r="J1059" i="2"/>
  <c r="I1059" i="2"/>
  <c r="K1058" i="2"/>
  <c r="L1058" i="2" s="1"/>
  <c r="J1058" i="2"/>
  <c r="I1058" i="2"/>
  <c r="L1057" i="2"/>
  <c r="K1057" i="2"/>
  <c r="J1057" i="2"/>
  <c r="I1057" i="2"/>
  <c r="K1056" i="2"/>
  <c r="L1056" i="2" s="1"/>
  <c r="J1056" i="2"/>
  <c r="I1056" i="2"/>
  <c r="L1055" i="2"/>
  <c r="K1055" i="2"/>
  <c r="J1055" i="2"/>
  <c r="I1055" i="2"/>
  <c r="K1054" i="2"/>
  <c r="L1054" i="2" s="1"/>
  <c r="J1054" i="2"/>
  <c r="I1054" i="2"/>
  <c r="L1053" i="2"/>
  <c r="K1053" i="2"/>
  <c r="J1053" i="2"/>
  <c r="I1053" i="2"/>
  <c r="K1052" i="2"/>
  <c r="L1052" i="2" s="1"/>
  <c r="J1052" i="2"/>
  <c r="I1052" i="2"/>
  <c r="L1051" i="2"/>
  <c r="K1051" i="2"/>
  <c r="J1051" i="2"/>
  <c r="I1051" i="2"/>
  <c r="K1050" i="2"/>
  <c r="L1050" i="2" s="1"/>
  <c r="J1050" i="2"/>
  <c r="I1050" i="2"/>
  <c r="L1049" i="2"/>
  <c r="K1049" i="2"/>
  <c r="J1049" i="2"/>
  <c r="I1049" i="2"/>
  <c r="K1048" i="2"/>
  <c r="L1048" i="2" s="1"/>
  <c r="J1048" i="2"/>
  <c r="I1048" i="2"/>
  <c r="L1047" i="2"/>
  <c r="K1047" i="2"/>
  <c r="J1047" i="2"/>
  <c r="I1047" i="2"/>
  <c r="K1046" i="2"/>
  <c r="L1046" i="2" s="1"/>
  <c r="J1046" i="2"/>
  <c r="I1046" i="2"/>
  <c r="L1045" i="2"/>
  <c r="K1045" i="2"/>
  <c r="J1045" i="2"/>
  <c r="I1045" i="2"/>
  <c r="K1044" i="2"/>
  <c r="L1044" i="2" s="1"/>
  <c r="J1044" i="2"/>
  <c r="I1044" i="2"/>
  <c r="L1043" i="2"/>
  <c r="K1043" i="2"/>
  <c r="J1043" i="2"/>
  <c r="I1043" i="2"/>
  <c r="K1042" i="2"/>
  <c r="L1042" i="2" s="1"/>
  <c r="J1042" i="2"/>
  <c r="I1042" i="2"/>
  <c r="L1041" i="2"/>
  <c r="K1041" i="2"/>
  <c r="J1041" i="2"/>
  <c r="I1041" i="2"/>
  <c r="K1040" i="2"/>
  <c r="L1040" i="2" s="1"/>
  <c r="J1040" i="2"/>
  <c r="I1040" i="2"/>
  <c r="L1039" i="2"/>
  <c r="K1039" i="2"/>
  <c r="J1039" i="2"/>
  <c r="I1039" i="2"/>
  <c r="K1038" i="2"/>
  <c r="L1038" i="2" s="1"/>
  <c r="J1038" i="2"/>
  <c r="I1038" i="2"/>
  <c r="L1037" i="2"/>
  <c r="K1037" i="2"/>
  <c r="J1037" i="2"/>
  <c r="I1037" i="2"/>
  <c r="K1036" i="2"/>
  <c r="L1036" i="2" s="1"/>
  <c r="J1036" i="2"/>
  <c r="I1036" i="2"/>
  <c r="L1035" i="2"/>
  <c r="K1035" i="2"/>
  <c r="J1035" i="2"/>
  <c r="I1035" i="2"/>
  <c r="K1034" i="2"/>
  <c r="L1034" i="2" s="1"/>
  <c r="J1034" i="2"/>
  <c r="I1034" i="2"/>
  <c r="L1033" i="2"/>
  <c r="K1033" i="2"/>
  <c r="J1033" i="2"/>
  <c r="I1033" i="2"/>
  <c r="K1032" i="2"/>
  <c r="L1032" i="2" s="1"/>
  <c r="J1032" i="2"/>
  <c r="I1032" i="2"/>
  <c r="L1031" i="2"/>
  <c r="K1031" i="2"/>
  <c r="J1031" i="2"/>
  <c r="I1031" i="2"/>
  <c r="K1030" i="2"/>
  <c r="L1030" i="2" s="1"/>
  <c r="J1030" i="2"/>
  <c r="I1030" i="2"/>
  <c r="L1029" i="2"/>
  <c r="K1029" i="2"/>
  <c r="J1029" i="2"/>
  <c r="I1029" i="2"/>
  <c r="K1028" i="2"/>
  <c r="L1028" i="2" s="1"/>
  <c r="J1028" i="2"/>
  <c r="I1028" i="2"/>
  <c r="L1027" i="2"/>
  <c r="K1027" i="2"/>
  <c r="J1027" i="2"/>
  <c r="I1027" i="2"/>
  <c r="K1026" i="2"/>
  <c r="L1026" i="2" s="1"/>
  <c r="J1026" i="2"/>
  <c r="I1026" i="2"/>
  <c r="L1025" i="2"/>
  <c r="K1025" i="2"/>
  <c r="J1025" i="2"/>
  <c r="I1025" i="2"/>
  <c r="K1024" i="2"/>
  <c r="L1024" i="2" s="1"/>
  <c r="J1024" i="2"/>
  <c r="I1024" i="2"/>
  <c r="L1023" i="2"/>
  <c r="K1023" i="2"/>
  <c r="J1023" i="2"/>
  <c r="I1023" i="2"/>
  <c r="K1022" i="2"/>
  <c r="L1022" i="2" s="1"/>
  <c r="J1022" i="2"/>
  <c r="I1022" i="2"/>
  <c r="L1021" i="2"/>
  <c r="K1021" i="2"/>
  <c r="J1021" i="2"/>
  <c r="I1021" i="2"/>
  <c r="K1020" i="2"/>
  <c r="L1020" i="2" s="1"/>
  <c r="J1020" i="2"/>
  <c r="I1020" i="2"/>
  <c r="L1019" i="2"/>
  <c r="K1019" i="2"/>
  <c r="J1019" i="2"/>
  <c r="I1019" i="2"/>
  <c r="K1018" i="2"/>
  <c r="L1018" i="2" s="1"/>
  <c r="J1018" i="2"/>
  <c r="I1018" i="2"/>
  <c r="L1017" i="2"/>
  <c r="K1017" i="2"/>
  <c r="J1017" i="2"/>
  <c r="I1017" i="2"/>
  <c r="K1016" i="2"/>
  <c r="L1016" i="2" s="1"/>
  <c r="J1016" i="2"/>
  <c r="I1016" i="2"/>
  <c r="L1015" i="2"/>
  <c r="K1015" i="2"/>
  <c r="J1015" i="2"/>
  <c r="I1015" i="2"/>
  <c r="K1014" i="2"/>
  <c r="L1014" i="2" s="1"/>
  <c r="J1014" i="2"/>
  <c r="I1014" i="2"/>
  <c r="L1013" i="2"/>
  <c r="K1013" i="2"/>
  <c r="J1013" i="2"/>
  <c r="I1013" i="2"/>
  <c r="K1012" i="2"/>
  <c r="L1012" i="2" s="1"/>
  <c r="J1012" i="2"/>
  <c r="I1012" i="2"/>
  <c r="L1011" i="2"/>
  <c r="K1011" i="2"/>
  <c r="J1011" i="2"/>
  <c r="I1011" i="2"/>
  <c r="K1010" i="2"/>
  <c r="L1010" i="2" s="1"/>
  <c r="J1010" i="2"/>
  <c r="I1010" i="2"/>
  <c r="L1009" i="2"/>
  <c r="K1009" i="2"/>
  <c r="J1009" i="2"/>
  <c r="I1009" i="2"/>
  <c r="K1008" i="2"/>
  <c r="L1008" i="2" s="1"/>
  <c r="J1008" i="2"/>
  <c r="I1008" i="2"/>
  <c r="L1007" i="2"/>
  <c r="K1007" i="2"/>
  <c r="J1007" i="2"/>
  <c r="I1007" i="2"/>
  <c r="K1006" i="2"/>
  <c r="L1006" i="2" s="1"/>
  <c r="J1006" i="2"/>
  <c r="I1006" i="2"/>
  <c r="L1005" i="2"/>
  <c r="K1005" i="2"/>
  <c r="J1005" i="2"/>
  <c r="I1005" i="2"/>
  <c r="K1004" i="2"/>
  <c r="L1004" i="2" s="1"/>
  <c r="J1004" i="2"/>
  <c r="I1004" i="2"/>
  <c r="L1003" i="2"/>
  <c r="K1003" i="2"/>
  <c r="J1003" i="2"/>
  <c r="I1003" i="2"/>
  <c r="K1002" i="2"/>
  <c r="L1002" i="2" s="1"/>
  <c r="J1002" i="2"/>
  <c r="I1002" i="2"/>
  <c r="L1001" i="2"/>
  <c r="K1001" i="2"/>
  <c r="J1001" i="2"/>
  <c r="I1001" i="2"/>
  <c r="K1000" i="2"/>
  <c r="L1000" i="2" s="1"/>
  <c r="J1000" i="2"/>
  <c r="I1000" i="2"/>
  <c r="L999" i="2"/>
  <c r="K999" i="2"/>
  <c r="J999" i="2"/>
  <c r="I999" i="2"/>
  <c r="K998" i="2"/>
  <c r="L998" i="2" s="1"/>
  <c r="J998" i="2"/>
  <c r="I998" i="2"/>
  <c r="L997" i="2"/>
  <c r="K997" i="2"/>
  <c r="J997" i="2"/>
  <c r="I997" i="2"/>
  <c r="K996" i="2"/>
  <c r="L996" i="2" s="1"/>
  <c r="J996" i="2"/>
  <c r="I996" i="2"/>
  <c r="L995" i="2"/>
  <c r="K995" i="2"/>
  <c r="J995" i="2"/>
  <c r="I995" i="2"/>
  <c r="K994" i="2"/>
  <c r="L994" i="2" s="1"/>
  <c r="J994" i="2"/>
  <c r="I994" i="2"/>
  <c r="L993" i="2"/>
  <c r="K993" i="2"/>
  <c r="J993" i="2"/>
  <c r="I993" i="2"/>
  <c r="K992" i="2"/>
  <c r="L992" i="2" s="1"/>
  <c r="J992" i="2"/>
  <c r="I992" i="2"/>
  <c r="L991" i="2"/>
  <c r="K991" i="2"/>
  <c r="J991" i="2"/>
  <c r="I991" i="2"/>
  <c r="K990" i="2"/>
  <c r="L990" i="2" s="1"/>
  <c r="J990" i="2"/>
  <c r="I990" i="2"/>
  <c r="L989" i="2"/>
  <c r="K989" i="2"/>
  <c r="J989" i="2"/>
  <c r="I989" i="2"/>
  <c r="K988" i="2"/>
  <c r="L988" i="2" s="1"/>
  <c r="J988" i="2"/>
  <c r="I988" i="2"/>
  <c r="L987" i="2"/>
  <c r="K987" i="2"/>
  <c r="J987" i="2"/>
  <c r="I987" i="2"/>
  <c r="K986" i="2"/>
  <c r="L986" i="2" s="1"/>
  <c r="J986" i="2"/>
  <c r="I986" i="2"/>
  <c r="L985" i="2"/>
  <c r="K985" i="2"/>
  <c r="J985" i="2"/>
  <c r="I985" i="2"/>
  <c r="K984" i="2"/>
  <c r="L984" i="2" s="1"/>
  <c r="J984" i="2"/>
  <c r="I984" i="2"/>
  <c r="L983" i="2"/>
  <c r="K983" i="2"/>
  <c r="J983" i="2"/>
  <c r="I983" i="2"/>
  <c r="K982" i="2"/>
  <c r="L982" i="2" s="1"/>
  <c r="J982" i="2"/>
  <c r="I982" i="2"/>
  <c r="L981" i="2"/>
  <c r="K981" i="2"/>
  <c r="J981" i="2"/>
  <c r="I981" i="2"/>
  <c r="K980" i="2"/>
  <c r="L980" i="2" s="1"/>
  <c r="J980" i="2"/>
  <c r="I980" i="2"/>
  <c r="L979" i="2"/>
  <c r="K979" i="2"/>
  <c r="J979" i="2"/>
  <c r="I979" i="2"/>
  <c r="K978" i="2"/>
  <c r="L978" i="2" s="1"/>
  <c r="J978" i="2"/>
  <c r="I978" i="2"/>
  <c r="L977" i="2"/>
  <c r="K977" i="2"/>
  <c r="J977" i="2"/>
  <c r="I977" i="2"/>
  <c r="K976" i="2"/>
  <c r="L976" i="2" s="1"/>
  <c r="J976" i="2"/>
  <c r="I976" i="2"/>
  <c r="L975" i="2"/>
  <c r="K975" i="2"/>
  <c r="J975" i="2"/>
  <c r="I975" i="2"/>
  <c r="K974" i="2"/>
  <c r="L974" i="2" s="1"/>
  <c r="J974" i="2"/>
  <c r="I974" i="2"/>
  <c r="L973" i="2"/>
  <c r="K973" i="2"/>
  <c r="J973" i="2"/>
  <c r="I973" i="2"/>
  <c r="K972" i="2"/>
  <c r="L972" i="2" s="1"/>
  <c r="J972" i="2"/>
  <c r="I972" i="2"/>
  <c r="L971" i="2"/>
  <c r="K971" i="2"/>
  <c r="J971" i="2"/>
  <c r="I971" i="2"/>
  <c r="K970" i="2"/>
  <c r="L970" i="2" s="1"/>
  <c r="J970" i="2"/>
  <c r="I970" i="2"/>
  <c r="L969" i="2"/>
  <c r="K969" i="2"/>
  <c r="J969" i="2"/>
  <c r="I969" i="2"/>
  <c r="K968" i="2"/>
  <c r="L968" i="2" s="1"/>
  <c r="J968" i="2"/>
  <c r="I968" i="2"/>
  <c r="L967" i="2"/>
  <c r="K967" i="2"/>
  <c r="J967" i="2"/>
  <c r="I967" i="2"/>
  <c r="K966" i="2"/>
  <c r="L966" i="2" s="1"/>
  <c r="J966" i="2"/>
  <c r="I966" i="2"/>
  <c r="L965" i="2"/>
  <c r="K965" i="2"/>
  <c r="J965" i="2"/>
  <c r="I965" i="2"/>
  <c r="K964" i="2"/>
  <c r="L964" i="2" s="1"/>
  <c r="J964" i="2"/>
  <c r="I964" i="2"/>
  <c r="L963" i="2"/>
  <c r="K963" i="2"/>
  <c r="J963" i="2"/>
  <c r="I963" i="2"/>
  <c r="K962" i="2"/>
  <c r="L962" i="2" s="1"/>
  <c r="J962" i="2"/>
  <c r="I962" i="2"/>
  <c r="L961" i="2"/>
  <c r="K961" i="2"/>
  <c r="J961" i="2"/>
  <c r="I961" i="2"/>
  <c r="K960" i="2"/>
  <c r="L960" i="2" s="1"/>
  <c r="J960" i="2"/>
  <c r="I960" i="2"/>
  <c r="L959" i="2"/>
  <c r="K959" i="2"/>
  <c r="J959" i="2"/>
  <c r="I959" i="2"/>
  <c r="K958" i="2"/>
  <c r="L958" i="2" s="1"/>
  <c r="J958" i="2"/>
  <c r="I958" i="2"/>
  <c r="L957" i="2"/>
  <c r="K957" i="2"/>
  <c r="J957" i="2"/>
  <c r="I957" i="2"/>
  <c r="K956" i="2"/>
  <c r="L956" i="2" s="1"/>
  <c r="J956" i="2"/>
  <c r="I956" i="2"/>
  <c r="L955" i="2"/>
  <c r="K955" i="2"/>
  <c r="J955" i="2"/>
  <c r="I955" i="2"/>
  <c r="K954" i="2"/>
  <c r="L954" i="2" s="1"/>
  <c r="J954" i="2"/>
  <c r="I954" i="2"/>
  <c r="L953" i="2"/>
  <c r="K953" i="2"/>
  <c r="J953" i="2"/>
  <c r="I953" i="2"/>
  <c r="K952" i="2"/>
  <c r="L952" i="2" s="1"/>
  <c r="J952" i="2"/>
  <c r="I952" i="2"/>
  <c r="L951" i="2"/>
  <c r="K951" i="2"/>
  <c r="J951" i="2"/>
  <c r="I951" i="2"/>
  <c r="K950" i="2"/>
  <c r="L950" i="2" s="1"/>
  <c r="J950" i="2"/>
  <c r="I950" i="2"/>
  <c r="L949" i="2"/>
  <c r="K949" i="2"/>
  <c r="J949" i="2"/>
  <c r="I949" i="2"/>
  <c r="K948" i="2"/>
  <c r="L948" i="2" s="1"/>
  <c r="J948" i="2"/>
  <c r="I948" i="2"/>
  <c r="L947" i="2"/>
  <c r="K947" i="2"/>
  <c r="J947" i="2"/>
  <c r="I947" i="2"/>
  <c r="K946" i="2"/>
  <c r="L946" i="2" s="1"/>
  <c r="J946" i="2"/>
  <c r="I946" i="2"/>
  <c r="L945" i="2"/>
  <c r="K945" i="2"/>
  <c r="J945" i="2"/>
  <c r="I945" i="2"/>
  <c r="K944" i="2"/>
  <c r="L944" i="2" s="1"/>
  <c r="J944" i="2"/>
  <c r="I944" i="2"/>
  <c r="L943" i="2"/>
  <c r="K943" i="2"/>
  <c r="J943" i="2"/>
  <c r="I943" i="2"/>
  <c r="K942" i="2"/>
  <c r="L942" i="2" s="1"/>
  <c r="J942" i="2"/>
  <c r="I942" i="2"/>
  <c r="L941" i="2"/>
  <c r="K941" i="2"/>
  <c r="J941" i="2"/>
  <c r="I941" i="2"/>
  <c r="K940" i="2"/>
  <c r="L940" i="2" s="1"/>
  <c r="J940" i="2"/>
  <c r="I940" i="2"/>
  <c r="L939" i="2"/>
  <c r="K939" i="2"/>
  <c r="J939" i="2"/>
  <c r="I939" i="2"/>
  <c r="K938" i="2"/>
  <c r="L938" i="2" s="1"/>
  <c r="J938" i="2"/>
  <c r="I938" i="2"/>
  <c r="L937" i="2"/>
  <c r="K937" i="2"/>
  <c r="J937" i="2"/>
  <c r="I937" i="2"/>
  <c r="K936" i="2"/>
  <c r="L936" i="2" s="1"/>
  <c r="J936" i="2"/>
  <c r="I936" i="2"/>
  <c r="L935" i="2"/>
  <c r="K935" i="2"/>
  <c r="J935" i="2"/>
  <c r="I935" i="2"/>
  <c r="K934" i="2"/>
  <c r="L934" i="2" s="1"/>
  <c r="J934" i="2"/>
  <c r="I934" i="2"/>
  <c r="L933" i="2"/>
  <c r="K933" i="2"/>
  <c r="J933" i="2"/>
  <c r="I933" i="2"/>
  <c r="K932" i="2"/>
  <c r="L932" i="2" s="1"/>
  <c r="J932" i="2"/>
  <c r="I932" i="2"/>
  <c r="L931" i="2"/>
  <c r="K931" i="2"/>
  <c r="J931" i="2"/>
  <c r="I931" i="2"/>
  <c r="K930" i="2"/>
  <c r="L930" i="2" s="1"/>
  <c r="J930" i="2"/>
  <c r="I930" i="2"/>
  <c r="L929" i="2"/>
  <c r="K929" i="2"/>
  <c r="J929" i="2"/>
  <c r="I929" i="2"/>
  <c r="K928" i="2"/>
  <c r="L928" i="2" s="1"/>
  <c r="J928" i="2"/>
  <c r="I928" i="2"/>
  <c r="L927" i="2"/>
  <c r="K927" i="2"/>
  <c r="J927" i="2"/>
  <c r="I927" i="2"/>
  <c r="K926" i="2"/>
  <c r="L926" i="2" s="1"/>
  <c r="J926" i="2"/>
  <c r="I926" i="2"/>
  <c r="L925" i="2"/>
  <c r="K925" i="2"/>
  <c r="J925" i="2"/>
  <c r="I925" i="2"/>
  <c r="K924" i="2"/>
  <c r="L924" i="2" s="1"/>
  <c r="J924" i="2"/>
  <c r="I924" i="2"/>
  <c r="L923" i="2"/>
  <c r="K923" i="2"/>
  <c r="J923" i="2"/>
  <c r="I923" i="2"/>
  <c r="K922" i="2"/>
  <c r="L922" i="2" s="1"/>
  <c r="J922" i="2"/>
  <c r="I922" i="2"/>
  <c r="L921" i="2"/>
  <c r="K921" i="2"/>
  <c r="J921" i="2"/>
  <c r="I921" i="2"/>
  <c r="K920" i="2"/>
  <c r="L920" i="2" s="1"/>
  <c r="J920" i="2"/>
  <c r="I920" i="2"/>
  <c r="L919" i="2"/>
  <c r="K919" i="2"/>
  <c r="J919" i="2"/>
  <c r="I919" i="2"/>
  <c r="K918" i="2"/>
  <c r="L918" i="2" s="1"/>
  <c r="J918" i="2"/>
  <c r="I918" i="2"/>
  <c r="L917" i="2"/>
  <c r="K917" i="2"/>
  <c r="J917" i="2"/>
  <c r="I917" i="2"/>
  <c r="K916" i="2"/>
  <c r="L916" i="2" s="1"/>
  <c r="J916" i="2"/>
  <c r="I916" i="2"/>
  <c r="L915" i="2"/>
  <c r="K915" i="2"/>
  <c r="J915" i="2"/>
  <c r="I915" i="2"/>
  <c r="K914" i="2"/>
  <c r="L914" i="2" s="1"/>
  <c r="J914" i="2"/>
  <c r="I914" i="2"/>
  <c r="L913" i="2"/>
  <c r="K913" i="2"/>
  <c r="J913" i="2"/>
  <c r="I913" i="2"/>
  <c r="K912" i="2"/>
  <c r="L912" i="2" s="1"/>
  <c r="J912" i="2"/>
  <c r="I912" i="2"/>
  <c r="L911" i="2"/>
  <c r="K911" i="2"/>
  <c r="J911" i="2"/>
  <c r="I911" i="2"/>
  <c r="K910" i="2"/>
  <c r="L910" i="2" s="1"/>
  <c r="J910" i="2"/>
  <c r="I910" i="2"/>
  <c r="L909" i="2"/>
  <c r="K909" i="2"/>
  <c r="J909" i="2"/>
  <c r="I909" i="2"/>
  <c r="K908" i="2"/>
  <c r="L908" i="2" s="1"/>
  <c r="J908" i="2"/>
  <c r="I908" i="2"/>
  <c r="L907" i="2"/>
  <c r="K907" i="2"/>
  <c r="J907" i="2"/>
  <c r="I907" i="2"/>
  <c r="K906" i="2"/>
  <c r="L906" i="2" s="1"/>
  <c r="J906" i="2"/>
  <c r="I906" i="2"/>
  <c r="L905" i="2"/>
  <c r="K905" i="2"/>
  <c r="J905" i="2"/>
  <c r="I905" i="2"/>
  <c r="K904" i="2"/>
  <c r="L904" i="2" s="1"/>
  <c r="J904" i="2"/>
  <c r="I904" i="2"/>
  <c r="L903" i="2"/>
  <c r="K903" i="2"/>
  <c r="J903" i="2"/>
  <c r="I903" i="2"/>
  <c r="K902" i="2"/>
  <c r="L902" i="2" s="1"/>
  <c r="J902" i="2"/>
  <c r="I902" i="2"/>
  <c r="L901" i="2"/>
  <c r="K901" i="2"/>
  <c r="J901" i="2"/>
  <c r="I901" i="2"/>
  <c r="K900" i="2"/>
  <c r="L900" i="2" s="1"/>
  <c r="J900" i="2"/>
  <c r="I900" i="2"/>
  <c r="L899" i="2"/>
  <c r="K899" i="2"/>
  <c r="J899" i="2"/>
  <c r="I899" i="2"/>
  <c r="K898" i="2"/>
  <c r="L898" i="2" s="1"/>
  <c r="J898" i="2"/>
  <c r="I898" i="2"/>
  <c r="L897" i="2"/>
  <c r="K897" i="2"/>
  <c r="J897" i="2"/>
  <c r="I897" i="2"/>
  <c r="K896" i="2"/>
  <c r="L896" i="2" s="1"/>
  <c r="J896" i="2"/>
  <c r="I896" i="2"/>
  <c r="L895" i="2"/>
  <c r="K895" i="2"/>
  <c r="J895" i="2"/>
  <c r="I895" i="2"/>
  <c r="K894" i="2"/>
  <c r="L894" i="2" s="1"/>
  <c r="J894" i="2"/>
  <c r="I894" i="2"/>
  <c r="L893" i="2"/>
  <c r="K893" i="2"/>
  <c r="J893" i="2"/>
  <c r="I893" i="2"/>
  <c r="K892" i="2"/>
  <c r="L892" i="2" s="1"/>
  <c r="J892" i="2"/>
  <c r="I892" i="2"/>
  <c r="L891" i="2"/>
  <c r="K891" i="2"/>
  <c r="J891" i="2"/>
  <c r="I891" i="2"/>
  <c r="K890" i="2"/>
  <c r="L890" i="2" s="1"/>
  <c r="J890" i="2"/>
  <c r="I890" i="2"/>
  <c r="L889" i="2"/>
  <c r="K889" i="2"/>
  <c r="J889" i="2"/>
  <c r="I889" i="2"/>
  <c r="K888" i="2"/>
  <c r="L888" i="2" s="1"/>
  <c r="J888" i="2"/>
  <c r="I888" i="2"/>
  <c r="L887" i="2"/>
  <c r="K887" i="2"/>
  <c r="J887" i="2"/>
  <c r="I887" i="2"/>
  <c r="K886" i="2"/>
  <c r="L886" i="2" s="1"/>
  <c r="J886" i="2"/>
  <c r="I886" i="2"/>
  <c r="L885" i="2"/>
  <c r="K885" i="2"/>
  <c r="J885" i="2"/>
  <c r="I885" i="2"/>
  <c r="K884" i="2"/>
  <c r="L884" i="2" s="1"/>
  <c r="J884" i="2"/>
  <c r="I884" i="2"/>
  <c r="L883" i="2"/>
  <c r="K883" i="2"/>
  <c r="J883" i="2"/>
  <c r="I883" i="2"/>
  <c r="K882" i="2"/>
  <c r="L882" i="2" s="1"/>
  <c r="J882" i="2"/>
  <c r="I882" i="2"/>
  <c r="L881" i="2"/>
  <c r="K881" i="2"/>
  <c r="J881" i="2"/>
  <c r="I881" i="2"/>
  <c r="K880" i="2"/>
  <c r="L880" i="2" s="1"/>
  <c r="J880" i="2"/>
  <c r="I880" i="2"/>
  <c r="L879" i="2"/>
  <c r="K879" i="2"/>
  <c r="J879" i="2"/>
  <c r="I879" i="2"/>
  <c r="K878" i="2"/>
  <c r="L878" i="2" s="1"/>
  <c r="J878" i="2"/>
  <c r="I878" i="2"/>
  <c r="L877" i="2"/>
  <c r="K877" i="2"/>
  <c r="J877" i="2"/>
  <c r="I877" i="2"/>
  <c r="K876" i="2"/>
  <c r="L876" i="2" s="1"/>
  <c r="J876" i="2"/>
  <c r="I876" i="2"/>
  <c r="L875" i="2"/>
  <c r="K875" i="2"/>
  <c r="J875" i="2"/>
  <c r="I875" i="2"/>
  <c r="K874" i="2"/>
  <c r="L874" i="2" s="1"/>
  <c r="J874" i="2"/>
  <c r="I874" i="2"/>
  <c r="L873" i="2"/>
  <c r="K873" i="2"/>
  <c r="J873" i="2"/>
  <c r="I873" i="2"/>
  <c r="K872" i="2"/>
  <c r="L872" i="2" s="1"/>
  <c r="J872" i="2"/>
  <c r="I872" i="2"/>
  <c r="L871" i="2"/>
  <c r="K871" i="2"/>
  <c r="J871" i="2"/>
  <c r="I871" i="2"/>
  <c r="K870" i="2"/>
  <c r="L870" i="2" s="1"/>
  <c r="J870" i="2"/>
  <c r="I870" i="2"/>
  <c r="L869" i="2"/>
  <c r="K869" i="2"/>
  <c r="J869" i="2"/>
  <c r="I869" i="2"/>
  <c r="K868" i="2"/>
  <c r="L868" i="2" s="1"/>
  <c r="J868" i="2"/>
  <c r="I868" i="2"/>
  <c r="L867" i="2"/>
  <c r="K867" i="2"/>
  <c r="J867" i="2"/>
  <c r="I867" i="2"/>
  <c r="K866" i="2"/>
  <c r="L866" i="2" s="1"/>
  <c r="J866" i="2"/>
  <c r="I866" i="2"/>
  <c r="L865" i="2"/>
  <c r="K865" i="2"/>
  <c r="J865" i="2"/>
  <c r="I865" i="2"/>
  <c r="K864" i="2"/>
  <c r="L864" i="2" s="1"/>
  <c r="J864" i="2"/>
  <c r="I864" i="2"/>
  <c r="L863" i="2"/>
  <c r="K863" i="2"/>
  <c r="J863" i="2"/>
  <c r="I863" i="2"/>
  <c r="K862" i="2"/>
  <c r="L862" i="2" s="1"/>
  <c r="J862" i="2"/>
  <c r="I862" i="2"/>
  <c r="L861" i="2"/>
  <c r="K861" i="2"/>
  <c r="J861" i="2"/>
  <c r="I861" i="2"/>
  <c r="K860" i="2"/>
  <c r="L860" i="2" s="1"/>
  <c r="J860" i="2"/>
  <c r="I860" i="2"/>
  <c r="L859" i="2"/>
  <c r="K859" i="2"/>
  <c r="J859" i="2"/>
  <c r="I859" i="2"/>
  <c r="K858" i="2"/>
  <c r="L858" i="2" s="1"/>
  <c r="J858" i="2"/>
  <c r="I858" i="2"/>
  <c r="L857" i="2"/>
  <c r="K857" i="2"/>
  <c r="J857" i="2"/>
  <c r="I857" i="2"/>
  <c r="K856" i="2"/>
  <c r="L856" i="2" s="1"/>
  <c r="J856" i="2"/>
  <c r="I856" i="2"/>
  <c r="L855" i="2"/>
  <c r="K855" i="2"/>
  <c r="J855" i="2"/>
  <c r="I855" i="2"/>
  <c r="K854" i="2"/>
  <c r="L854" i="2" s="1"/>
  <c r="J854" i="2"/>
  <c r="I854" i="2"/>
  <c r="L853" i="2"/>
  <c r="K853" i="2"/>
  <c r="J853" i="2"/>
  <c r="I853" i="2"/>
  <c r="K852" i="2"/>
  <c r="L852" i="2" s="1"/>
  <c r="J852" i="2"/>
  <c r="I852" i="2"/>
  <c r="L851" i="2"/>
  <c r="K851" i="2"/>
  <c r="J851" i="2"/>
  <c r="I851" i="2"/>
  <c r="K850" i="2"/>
  <c r="L850" i="2" s="1"/>
  <c r="J850" i="2"/>
  <c r="I850" i="2"/>
  <c r="L849" i="2"/>
  <c r="K849" i="2"/>
  <c r="J849" i="2"/>
  <c r="I849" i="2"/>
  <c r="K848" i="2"/>
  <c r="L848" i="2" s="1"/>
  <c r="J848" i="2"/>
  <c r="I848" i="2"/>
  <c r="L847" i="2"/>
  <c r="K847" i="2"/>
  <c r="J847" i="2"/>
  <c r="I847" i="2"/>
  <c r="K846" i="2"/>
  <c r="L846" i="2" s="1"/>
  <c r="J846" i="2"/>
  <c r="I846" i="2"/>
  <c r="L845" i="2"/>
  <c r="K845" i="2"/>
  <c r="J845" i="2"/>
  <c r="I845" i="2"/>
  <c r="K844" i="2"/>
  <c r="L844" i="2" s="1"/>
  <c r="J844" i="2"/>
  <c r="I844" i="2"/>
  <c r="L843" i="2"/>
  <c r="K843" i="2"/>
  <c r="J843" i="2"/>
  <c r="I843" i="2"/>
  <c r="K842" i="2"/>
  <c r="L842" i="2" s="1"/>
  <c r="J842" i="2"/>
  <c r="I842" i="2"/>
  <c r="L841" i="2"/>
  <c r="K841" i="2"/>
  <c r="J841" i="2"/>
  <c r="I841" i="2"/>
  <c r="K840" i="2"/>
  <c r="L840" i="2" s="1"/>
  <c r="J840" i="2"/>
  <c r="I840" i="2"/>
  <c r="L839" i="2"/>
  <c r="K839" i="2"/>
  <c r="J839" i="2"/>
  <c r="I839" i="2"/>
  <c r="K838" i="2"/>
  <c r="L838" i="2" s="1"/>
  <c r="J838" i="2"/>
  <c r="I838" i="2"/>
  <c r="L837" i="2"/>
  <c r="K837" i="2"/>
  <c r="J837" i="2"/>
  <c r="I837" i="2"/>
  <c r="K836" i="2"/>
  <c r="L836" i="2" s="1"/>
  <c r="J836" i="2"/>
  <c r="I836" i="2"/>
  <c r="L835" i="2"/>
  <c r="K835" i="2"/>
  <c r="J835" i="2"/>
  <c r="I835" i="2"/>
  <c r="K834" i="2"/>
  <c r="L834" i="2" s="1"/>
  <c r="J834" i="2"/>
  <c r="I834" i="2"/>
  <c r="L833" i="2"/>
  <c r="K833" i="2"/>
  <c r="J833" i="2"/>
  <c r="I833" i="2"/>
  <c r="K832" i="2"/>
  <c r="L832" i="2" s="1"/>
  <c r="J832" i="2"/>
  <c r="I832" i="2"/>
  <c r="L831" i="2"/>
  <c r="K831" i="2"/>
  <c r="J831" i="2"/>
  <c r="I831" i="2"/>
  <c r="K830" i="2"/>
  <c r="L830" i="2" s="1"/>
  <c r="J830" i="2"/>
  <c r="I830" i="2"/>
  <c r="L829" i="2"/>
  <c r="K829" i="2"/>
  <c r="J829" i="2"/>
  <c r="I829" i="2"/>
  <c r="K828" i="2"/>
  <c r="L828" i="2" s="1"/>
  <c r="J828" i="2"/>
  <c r="I828" i="2"/>
  <c r="L827" i="2"/>
  <c r="K827" i="2"/>
  <c r="J827" i="2"/>
  <c r="I827" i="2"/>
  <c r="K826" i="2"/>
  <c r="L826" i="2" s="1"/>
  <c r="J826" i="2"/>
  <c r="I826" i="2"/>
  <c r="L825" i="2"/>
  <c r="K825" i="2"/>
  <c r="J825" i="2"/>
  <c r="I825" i="2"/>
  <c r="K824" i="2"/>
  <c r="L824" i="2" s="1"/>
  <c r="J824" i="2"/>
  <c r="I824" i="2"/>
  <c r="L823" i="2"/>
  <c r="K823" i="2"/>
  <c r="J823" i="2"/>
  <c r="I823" i="2"/>
  <c r="K822" i="2"/>
  <c r="L822" i="2" s="1"/>
  <c r="J822" i="2"/>
  <c r="I822" i="2"/>
  <c r="L821" i="2"/>
  <c r="K821" i="2"/>
  <c r="J821" i="2"/>
  <c r="I821" i="2"/>
  <c r="K820" i="2"/>
  <c r="L820" i="2" s="1"/>
  <c r="J820" i="2"/>
  <c r="I820" i="2"/>
  <c r="L819" i="2"/>
  <c r="K819" i="2"/>
  <c r="J819" i="2"/>
  <c r="I819" i="2"/>
  <c r="K818" i="2"/>
  <c r="L818" i="2" s="1"/>
  <c r="J818" i="2"/>
  <c r="I818" i="2"/>
  <c r="L817" i="2"/>
  <c r="K817" i="2"/>
  <c r="J817" i="2"/>
  <c r="I817" i="2"/>
  <c r="K816" i="2"/>
  <c r="L816" i="2" s="1"/>
  <c r="J816" i="2"/>
  <c r="I816" i="2"/>
  <c r="L815" i="2"/>
  <c r="K815" i="2"/>
  <c r="J815" i="2"/>
  <c r="I815" i="2"/>
  <c r="K814" i="2"/>
  <c r="L814" i="2" s="1"/>
  <c r="J814" i="2"/>
  <c r="I814" i="2"/>
  <c r="L813" i="2"/>
  <c r="K813" i="2"/>
  <c r="J813" i="2"/>
  <c r="I813" i="2"/>
  <c r="K812" i="2"/>
  <c r="L812" i="2" s="1"/>
  <c r="J812" i="2"/>
  <c r="I812" i="2"/>
  <c r="L811" i="2"/>
  <c r="K811" i="2"/>
  <c r="J811" i="2"/>
  <c r="I811" i="2"/>
  <c r="K810" i="2"/>
  <c r="L810" i="2" s="1"/>
  <c r="J810" i="2"/>
  <c r="I810" i="2"/>
  <c r="L809" i="2"/>
  <c r="K809" i="2"/>
  <c r="J809" i="2"/>
  <c r="I809" i="2"/>
  <c r="K808" i="2"/>
  <c r="L808" i="2" s="1"/>
  <c r="J808" i="2"/>
  <c r="I808" i="2"/>
  <c r="L807" i="2"/>
  <c r="K807" i="2"/>
  <c r="J807" i="2"/>
  <c r="I807" i="2"/>
  <c r="K806" i="2"/>
  <c r="L806" i="2" s="1"/>
  <c r="J806" i="2"/>
  <c r="I806" i="2"/>
  <c r="L805" i="2"/>
  <c r="K805" i="2"/>
  <c r="J805" i="2"/>
  <c r="I805" i="2"/>
  <c r="K804" i="2"/>
  <c r="L804" i="2" s="1"/>
  <c r="J804" i="2"/>
  <c r="I804" i="2"/>
  <c r="L803" i="2"/>
  <c r="K803" i="2"/>
  <c r="J803" i="2"/>
  <c r="I803" i="2"/>
  <c r="K802" i="2"/>
  <c r="L802" i="2" s="1"/>
  <c r="J802" i="2"/>
  <c r="I802" i="2"/>
  <c r="L801" i="2"/>
  <c r="K801" i="2"/>
  <c r="J801" i="2"/>
  <c r="I801" i="2"/>
  <c r="K800" i="2"/>
  <c r="L800" i="2" s="1"/>
  <c r="J800" i="2"/>
  <c r="I800" i="2"/>
  <c r="L799" i="2"/>
  <c r="K799" i="2"/>
  <c r="J799" i="2"/>
  <c r="I799" i="2"/>
  <c r="K798" i="2"/>
  <c r="L798" i="2" s="1"/>
  <c r="J798" i="2"/>
  <c r="I798" i="2"/>
  <c r="L797" i="2"/>
  <c r="K797" i="2"/>
  <c r="J797" i="2"/>
  <c r="I797" i="2"/>
  <c r="K796" i="2"/>
  <c r="L796" i="2" s="1"/>
  <c r="J796" i="2"/>
  <c r="I796" i="2"/>
  <c r="L795" i="2"/>
  <c r="K795" i="2"/>
  <c r="J795" i="2"/>
  <c r="I795" i="2"/>
  <c r="K794" i="2"/>
  <c r="L794" i="2" s="1"/>
  <c r="J794" i="2"/>
  <c r="I794" i="2"/>
  <c r="L793" i="2"/>
  <c r="K793" i="2"/>
  <c r="J793" i="2"/>
  <c r="I793" i="2"/>
  <c r="K792" i="2"/>
  <c r="L792" i="2" s="1"/>
  <c r="J792" i="2"/>
  <c r="I792" i="2"/>
  <c r="L791" i="2"/>
  <c r="K791" i="2"/>
  <c r="J791" i="2"/>
  <c r="I791" i="2"/>
  <c r="L790" i="2"/>
  <c r="K790" i="2"/>
  <c r="J790" i="2"/>
  <c r="I790" i="2"/>
  <c r="L789" i="2"/>
  <c r="K789" i="2"/>
  <c r="J789" i="2"/>
  <c r="I789" i="2"/>
  <c r="L788" i="2"/>
  <c r="K788" i="2"/>
  <c r="J788" i="2"/>
  <c r="I788" i="2"/>
  <c r="L787" i="2"/>
  <c r="K787" i="2"/>
  <c r="J787" i="2"/>
  <c r="I787" i="2"/>
  <c r="L786" i="2"/>
  <c r="K786" i="2"/>
  <c r="J786" i="2"/>
  <c r="I786" i="2"/>
  <c r="L785" i="2"/>
  <c r="K785" i="2"/>
  <c r="J785" i="2"/>
  <c r="I785" i="2"/>
  <c r="L784" i="2"/>
  <c r="K784" i="2"/>
  <c r="J784" i="2"/>
  <c r="I784" i="2"/>
  <c r="L783" i="2"/>
  <c r="K783" i="2"/>
  <c r="J783" i="2"/>
  <c r="I783" i="2"/>
  <c r="L782" i="2"/>
  <c r="K782" i="2"/>
  <c r="J782" i="2"/>
  <c r="I782" i="2"/>
  <c r="L781" i="2"/>
  <c r="K781" i="2"/>
  <c r="J781" i="2"/>
  <c r="I781" i="2"/>
  <c r="L780" i="2"/>
  <c r="K780" i="2"/>
  <c r="J780" i="2"/>
  <c r="I780" i="2"/>
  <c r="L779" i="2"/>
  <c r="K779" i="2"/>
  <c r="J779" i="2"/>
  <c r="I779" i="2"/>
  <c r="L778" i="2"/>
  <c r="K778" i="2"/>
  <c r="J778" i="2"/>
  <c r="I778" i="2"/>
  <c r="L777" i="2"/>
  <c r="K777" i="2"/>
  <c r="J777" i="2"/>
  <c r="I777" i="2"/>
  <c r="L776" i="2"/>
  <c r="K776" i="2"/>
  <c r="J776" i="2"/>
  <c r="I776" i="2"/>
  <c r="L775" i="2"/>
  <c r="K775" i="2"/>
  <c r="J775" i="2"/>
  <c r="I775" i="2"/>
  <c r="L774" i="2"/>
  <c r="K774" i="2"/>
  <c r="J774" i="2"/>
  <c r="I774" i="2"/>
  <c r="L773" i="2"/>
  <c r="K773" i="2"/>
  <c r="J773" i="2"/>
  <c r="I773" i="2"/>
  <c r="L772" i="2"/>
  <c r="K772" i="2"/>
  <c r="J772" i="2"/>
  <c r="I772" i="2"/>
  <c r="L771" i="2"/>
  <c r="K771" i="2"/>
  <c r="J771" i="2"/>
  <c r="I771" i="2"/>
  <c r="L770" i="2"/>
  <c r="K770" i="2"/>
  <c r="J770" i="2"/>
  <c r="I770" i="2"/>
  <c r="L769" i="2"/>
  <c r="K769" i="2"/>
  <c r="J769" i="2"/>
  <c r="I769" i="2"/>
  <c r="L768" i="2"/>
  <c r="K768" i="2"/>
  <c r="J768" i="2"/>
  <c r="I768" i="2"/>
  <c r="L767" i="2"/>
  <c r="K767" i="2"/>
  <c r="J767" i="2"/>
  <c r="I767" i="2"/>
  <c r="L766" i="2"/>
  <c r="K766" i="2"/>
  <c r="J766" i="2"/>
  <c r="I766" i="2"/>
  <c r="L765" i="2"/>
  <c r="K765" i="2"/>
  <c r="J765" i="2"/>
  <c r="I765" i="2"/>
  <c r="L764" i="2"/>
  <c r="K764" i="2"/>
  <c r="J764" i="2"/>
  <c r="I764" i="2"/>
  <c r="L763" i="2"/>
  <c r="K763" i="2"/>
  <c r="J763" i="2"/>
  <c r="I763" i="2"/>
  <c r="L762" i="2"/>
  <c r="K762" i="2"/>
  <c r="J762" i="2"/>
  <c r="I762" i="2"/>
  <c r="L761" i="2"/>
  <c r="K761" i="2"/>
  <c r="J761" i="2"/>
  <c r="I761" i="2"/>
  <c r="L760" i="2"/>
  <c r="K760" i="2"/>
  <c r="J760" i="2"/>
  <c r="I760" i="2"/>
  <c r="L759" i="2"/>
  <c r="K759" i="2"/>
  <c r="J759" i="2"/>
  <c r="I759" i="2"/>
  <c r="L758" i="2"/>
  <c r="K758" i="2"/>
  <c r="J758" i="2"/>
  <c r="I758" i="2"/>
  <c r="L757" i="2"/>
  <c r="K757" i="2"/>
  <c r="J757" i="2"/>
  <c r="I757" i="2"/>
  <c r="L756" i="2"/>
  <c r="K756" i="2"/>
  <c r="J756" i="2"/>
  <c r="I756" i="2"/>
  <c r="L755" i="2"/>
  <c r="K755" i="2"/>
  <c r="J755" i="2"/>
  <c r="I755" i="2"/>
  <c r="L754" i="2"/>
  <c r="K754" i="2"/>
  <c r="J754" i="2"/>
  <c r="I754" i="2"/>
  <c r="L753" i="2"/>
  <c r="K753" i="2"/>
  <c r="J753" i="2"/>
  <c r="I753" i="2"/>
  <c r="L752" i="2"/>
  <c r="K752" i="2"/>
  <c r="J752" i="2"/>
  <c r="I752" i="2"/>
  <c r="L751" i="2"/>
  <c r="K751" i="2"/>
  <c r="J751" i="2"/>
  <c r="I751" i="2"/>
  <c r="L750" i="2"/>
  <c r="K750" i="2"/>
  <c r="J750" i="2"/>
  <c r="I750" i="2"/>
  <c r="L749" i="2"/>
  <c r="K749" i="2"/>
  <c r="J749" i="2"/>
  <c r="I749" i="2"/>
  <c r="L748" i="2"/>
  <c r="K748" i="2"/>
  <c r="J748" i="2"/>
  <c r="I748" i="2"/>
  <c r="L747" i="2"/>
  <c r="K747" i="2"/>
  <c r="J747" i="2"/>
  <c r="I747" i="2"/>
  <c r="L746" i="2"/>
  <c r="K746" i="2"/>
  <c r="J746" i="2"/>
  <c r="I746" i="2"/>
  <c r="L745" i="2"/>
  <c r="K745" i="2"/>
  <c r="J745" i="2"/>
  <c r="I745" i="2"/>
  <c r="L744" i="2"/>
  <c r="K744" i="2"/>
  <c r="J744" i="2"/>
  <c r="I744" i="2"/>
  <c r="L743" i="2"/>
  <c r="K743" i="2"/>
  <c r="J743" i="2"/>
  <c r="I743" i="2"/>
  <c r="L742" i="2"/>
  <c r="K742" i="2"/>
  <c r="J742" i="2"/>
  <c r="I742" i="2"/>
  <c r="L741" i="2"/>
  <c r="K741" i="2"/>
  <c r="J741" i="2"/>
  <c r="I741" i="2"/>
  <c r="L740" i="2"/>
  <c r="K740" i="2"/>
  <c r="J740" i="2"/>
  <c r="I740" i="2"/>
  <c r="L739" i="2"/>
  <c r="K739" i="2"/>
  <c r="J739" i="2"/>
  <c r="I739" i="2"/>
  <c r="L738" i="2"/>
  <c r="K738" i="2"/>
  <c r="J738" i="2"/>
  <c r="I738" i="2"/>
  <c r="L737" i="2"/>
  <c r="K737" i="2"/>
  <c r="J737" i="2"/>
  <c r="I737" i="2"/>
  <c r="L736" i="2"/>
  <c r="K736" i="2"/>
  <c r="J736" i="2"/>
  <c r="I736" i="2"/>
  <c r="L735" i="2"/>
  <c r="K735" i="2"/>
  <c r="J735" i="2"/>
  <c r="I735" i="2"/>
  <c r="L734" i="2"/>
  <c r="K734" i="2"/>
  <c r="J734" i="2"/>
  <c r="I734" i="2"/>
  <c r="L733" i="2"/>
  <c r="K733" i="2"/>
  <c r="J733" i="2"/>
  <c r="I733" i="2"/>
  <c r="L732" i="2"/>
  <c r="K732" i="2"/>
  <c r="J732" i="2"/>
  <c r="I732" i="2"/>
  <c r="L731" i="2"/>
  <c r="K731" i="2"/>
  <c r="J731" i="2"/>
  <c r="I731" i="2"/>
  <c r="L730" i="2"/>
  <c r="K730" i="2"/>
  <c r="J730" i="2"/>
  <c r="I730" i="2"/>
  <c r="L729" i="2"/>
  <c r="K729" i="2"/>
  <c r="J729" i="2"/>
  <c r="I729" i="2"/>
  <c r="L728" i="2"/>
  <c r="K728" i="2"/>
  <c r="J728" i="2"/>
  <c r="I728" i="2"/>
  <c r="L727" i="2"/>
  <c r="K727" i="2"/>
  <c r="J727" i="2"/>
  <c r="I727" i="2"/>
  <c r="L726" i="2"/>
  <c r="K726" i="2"/>
  <c r="J726" i="2"/>
  <c r="I726" i="2"/>
  <c r="L725" i="2"/>
  <c r="K725" i="2"/>
  <c r="J725" i="2"/>
  <c r="I725" i="2"/>
  <c r="L724" i="2"/>
  <c r="K724" i="2"/>
  <c r="J724" i="2"/>
  <c r="I724" i="2"/>
  <c r="L723" i="2"/>
  <c r="K723" i="2"/>
  <c r="J723" i="2"/>
  <c r="I723" i="2"/>
  <c r="L722" i="2"/>
  <c r="K722" i="2"/>
  <c r="J722" i="2"/>
  <c r="I722" i="2"/>
  <c r="L721" i="2"/>
  <c r="K721" i="2"/>
  <c r="J721" i="2"/>
  <c r="I721" i="2"/>
  <c r="L720" i="2"/>
  <c r="K720" i="2"/>
  <c r="J720" i="2"/>
  <c r="I720" i="2"/>
  <c r="L719" i="2"/>
  <c r="K719" i="2"/>
  <c r="J719" i="2"/>
  <c r="I719" i="2"/>
  <c r="L718" i="2"/>
  <c r="K718" i="2"/>
  <c r="J718" i="2"/>
  <c r="I718" i="2"/>
  <c r="L717" i="2"/>
  <c r="K717" i="2"/>
  <c r="J717" i="2"/>
  <c r="I717" i="2"/>
  <c r="L716" i="2"/>
  <c r="K716" i="2"/>
  <c r="J716" i="2"/>
  <c r="I716" i="2"/>
  <c r="L715" i="2"/>
  <c r="K715" i="2"/>
  <c r="J715" i="2"/>
  <c r="I715" i="2"/>
  <c r="L714" i="2"/>
  <c r="K714" i="2"/>
  <c r="J714" i="2"/>
  <c r="I714" i="2"/>
  <c r="L713" i="2"/>
  <c r="K713" i="2"/>
  <c r="J713" i="2"/>
  <c r="I713" i="2"/>
  <c r="L712" i="2"/>
  <c r="K712" i="2"/>
  <c r="J712" i="2"/>
  <c r="I712" i="2"/>
  <c r="L711" i="2"/>
  <c r="K711" i="2"/>
  <c r="J711" i="2"/>
  <c r="I711" i="2"/>
  <c r="L710" i="2"/>
  <c r="K710" i="2"/>
  <c r="J710" i="2"/>
  <c r="I710" i="2"/>
  <c r="L709" i="2"/>
  <c r="K709" i="2"/>
  <c r="J709" i="2"/>
  <c r="I709" i="2"/>
  <c r="L708" i="2"/>
  <c r="K708" i="2"/>
  <c r="J708" i="2"/>
  <c r="I708" i="2"/>
  <c r="L707" i="2"/>
  <c r="K707" i="2"/>
  <c r="J707" i="2"/>
  <c r="I707" i="2"/>
  <c r="L706" i="2"/>
  <c r="K706" i="2"/>
  <c r="J706" i="2"/>
  <c r="I706" i="2"/>
  <c r="L705" i="2"/>
  <c r="K705" i="2"/>
  <c r="J705" i="2"/>
  <c r="I705" i="2"/>
  <c r="L704" i="2"/>
  <c r="K704" i="2"/>
  <c r="J704" i="2"/>
  <c r="I704" i="2"/>
  <c r="L703" i="2"/>
  <c r="K703" i="2"/>
  <c r="J703" i="2"/>
  <c r="I703" i="2"/>
  <c r="L702" i="2"/>
  <c r="K702" i="2"/>
  <c r="J702" i="2"/>
  <c r="I702" i="2"/>
  <c r="L701" i="2"/>
  <c r="K701" i="2"/>
  <c r="J701" i="2"/>
  <c r="I701" i="2"/>
  <c r="L700" i="2"/>
  <c r="K700" i="2"/>
  <c r="J700" i="2"/>
  <c r="I700" i="2"/>
  <c r="L699" i="2"/>
  <c r="K699" i="2"/>
  <c r="J699" i="2"/>
  <c r="I699" i="2"/>
  <c r="L698" i="2"/>
  <c r="K698" i="2"/>
  <c r="J698" i="2"/>
  <c r="I698" i="2"/>
  <c r="L697" i="2"/>
  <c r="K697" i="2"/>
  <c r="J697" i="2"/>
  <c r="I697" i="2"/>
  <c r="L696" i="2"/>
  <c r="K696" i="2"/>
  <c r="J696" i="2"/>
  <c r="I696" i="2"/>
  <c r="L695" i="2"/>
  <c r="K695" i="2"/>
  <c r="J695" i="2"/>
  <c r="I695" i="2"/>
  <c r="L694" i="2"/>
  <c r="K694" i="2"/>
  <c r="J694" i="2"/>
  <c r="I694" i="2"/>
  <c r="L693" i="2"/>
  <c r="K693" i="2"/>
  <c r="J693" i="2"/>
  <c r="I693" i="2"/>
  <c r="L692" i="2"/>
  <c r="K692" i="2"/>
  <c r="J692" i="2"/>
  <c r="I692" i="2"/>
  <c r="L691" i="2"/>
  <c r="K691" i="2"/>
  <c r="J691" i="2"/>
  <c r="I691" i="2"/>
  <c r="L690" i="2"/>
  <c r="K690" i="2"/>
  <c r="J690" i="2"/>
  <c r="I690" i="2"/>
  <c r="L689" i="2"/>
  <c r="K689" i="2"/>
  <c r="J689" i="2"/>
  <c r="I689" i="2"/>
  <c r="L688" i="2"/>
  <c r="K688" i="2"/>
  <c r="J688" i="2"/>
  <c r="I688" i="2"/>
  <c r="L687" i="2"/>
  <c r="K687" i="2"/>
  <c r="J687" i="2"/>
  <c r="I687" i="2"/>
  <c r="L686" i="2"/>
  <c r="K686" i="2"/>
  <c r="J686" i="2"/>
  <c r="I686" i="2"/>
  <c r="L685" i="2"/>
  <c r="K685" i="2"/>
  <c r="J685" i="2"/>
  <c r="I685" i="2"/>
  <c r="L684" i="2"/>
  <c r="K684" i="2"/>
  <c r="J684" i="2"/>
  <c r="I684" i="2"/>
  <c r="L683" i="2"/>
  <c r="K683" i="2"/>
  <c r="J683" i="2"/>
  <c r="I683" i="2"/>
  <c r="L682" i="2"/>
  <c r="K682" i="2"/>
  <c r="J682" i="2"/>
  <c r="I682" i="2"/>
  <c r="L681" i="2"/>
  <c r="K681" i="2"/>
  <c r="J681" i="2"/>
  <c r="I681" i="2"/>
  <c r="L680" i="2"/>
  <c r="K680" i="2"/>
  <c r="J680" i="2"/>
  <c r="I680" i="2"/>
  <c r="L679" i="2"/>
  <c r="K679" i="2"/>
  <c r="J679" i="2"/>
  <c r="I679" i="2"/>
  <c r="L678" i="2"/>
  <c r="K678" i="2"/>
  <c r="J678" i="2"/>
  <c r="I678" i="2"/>
  <c r="L677" i="2"/>
  <c r="K677" i="2"/>
  <c r="J677" i="2"/>
  <c r="I677" i="2"/>
  <c r="L676" i="2"/>
  <c r="K676" i="2"/>
  <c r="J676" i="2"/>
  <c r="I676" i="2"/>
  <c r="L675" i="2"/>
  <c r="K675" i="2"/>
  <c r="J675" i="2"/>
  <c r="I675" i="2"/>
  <c r="L674" i="2"/>
  <c r="K674" i="2"/>
  <c r="J674" i="2"/>
  <c r="I674" i="2"/>
  <c r="L673" i="2"/>
  <c r="K673" i="2"/>
  <c r="J673" i="2"/>
  <c r="I673" i="2"/>
  <c r="L672" i="2"/>
  <c r="K672" i="2"/>
  <c r="J672" i="2"/>
  <c r="I672" i="2"/>
  <c r="L671" i="2"/>
  <c r="K671" i="2"/>
  <c r="J671" i="2"/>
  <c r="I671" i="2"/>
  <c r="L670" i="2"/>
  <c r="K670" i="2"/>
  <c r="J670" i="2"/>
  <c r="I670" i="2"/>
  <c r="L669" i="2"/>
  <c r="K669" i="2"/>
  <c r="J669" i="2"/>
  <c r="I669" i="2"/>
  <c r="L668" i="2"/>
  <c r="K668" i="2"/>
  <c r="J668" i="2"/>
  <c r="I668" i="2"/>
  <c r="L667" i="2"/>
  <c r="K667" i="2"/>
  <c r="J667" i="2"/>
  <c r="I667" i="2"/>
  <c r="L666" i="2"/>
  <c r="K666" i="2"/>
  <c r="J666" i="2"/>
  <c r="I666" i="2"/>
  <c r="L665" i="2"/>
  <c r="K665" i="2"/>
  <c r="J665" i="2"/>
  <c r="I665" i="2"/>
  <c r="L664" i="2"/>
  <c r="K664" i="2"/>
  <c r="J664" i="2"/>
  <c r="I664" i="2"/>
  <c r="L663" i="2"/>
  <c r="K663" i="2"/>
  <c r="J663" i="2"/>
  <c r="I663" i="2"/>
  <c r="L662" i="2"/>
  <c r="K662" i="2"/>
  <c r="J662" i="2"/>
  <c r="I662" i="2"/>
  <c r="L661" i="2"/>
  <c r="K661" i="2"/>
  <c r="J661" i="2"/>
  <c r="I661" i="2"/>
  <c r="L660" i="2"/>
  <c r="K660" i="2"/>
  <c r="J660" i="2"/>
  <c r="I660" i="2"/>
  <c r="L659" i="2"/>
  <c r="K659" i="2"/>
  <c r="J659" i="2"/>
  <c r="I659" i="2"/>
  <c r="L658" i="2"/>
  <c r="K658" i="2"/>
  <c r="J658" i="2"/>
  <c r="I658" i="2"/>
  <c r="L657" i="2"/>
  <c r="K657" i="2"/>
  <c r="J657" i="2"/>
  <c r="I657" i="2"/>
  <c r="L656" i="2"/>
  <c r="K656" i="2"/>
  <c r="J656" i="2"/>
  <c r="I656" i="2"/>
  <c r="L655" i="2"/>
  <c r="K655" i="2"/>
  <c r="J655" i="2"/>
  <c r="I655" i="2"/>
  <c r="L654" i="2"/>
  <c r="K654" i="2"/>
  <c r="J654" i="2"/>
  <c r="I654" i="2"/>
  <c r="L653" i="2"/>
  <c r="K653" i="2"/>
  <c r="J653" i="2"/>
  <c r="I653" i="2"/>
  <c r="L652" i="2"/>
  <c r="K652" i="2"/>
  <c r="J652" i="2"/>
  <c r="I652" i="2"/>
  <c r="L651" i="2"/>
  <c r="K651" i="2"/>
  <c r="J651" i="2"/>
  <c r="I651" i="2"/>
  <c r="L650" i="2"/>
  <c r="K650" i="2"/>
  <c r="J650" i="2"/>
  <c r="I650" i="2"/>
  <c r="L649" i="2"/>
  <c r="K649" i="2"/>
  <c r="J649" i="2"/>
  <c r="I649" i="2"/>
  <c r="L648" i="2"/>
  <c r="K648" i="2"/>
  <c r="J648" i="2"/>
  <c r="I648" i="2"/>
  <c r="L647" i="2"/>
  <c r="K647" i="2"/>
  <c r="J647" i="2"/>
  <c r="I647" i="2"/>
  <c r="L646" i="2"/>
  <c r="K646" i="2"/>
  <c r="J646" i="2"/>
  <c r="I646" i="2"/>
  <c r="L645" i="2"/>
  <c r="K645" i="2"/>
  <c r="J645" i="2"/>
  <c r="I645" i="2"/>
  <c r="L644" i="2"/>
  <c r="K644" i="2"/>
  <c r="J644" i="2"/>
  <c r="I644" i="2"/>
  <c r="L643" i="2"/>
  <c r="K643" i="2"/>
  <c r="J643" i="2"/>
  <c r="I643" i="2"/>
  <c r="L642" i="2"/>
  <c r="K642" i="2"/>
  <c r="J642" i="2"/>
  <c r="I642" i="2"/>
  <c r="L641" i="2"/>
  <c r="K641" i="2"/>
  <c r="J641" i="2"/>
  <c r="I641" i="2"/>
  <c r="L640" i="2"/>
  <c r="K640" i="2"/>
  <c r="J640" i="2"/>
  <c r="I640" i="2"/>
  <c r="L639" i="2"/>
  <c r="K639" i="2"/>
  <c r="J639" i="2"/>
  <c r="I639" i="2"/>
  <c r="L638" i="2"/>
  <c r="K638" i="2"/>
  <c r="J638" i="2"/>
  <c r="I638" i="2"/>
  <c r="L637" i="2"/>
  <c r="K637" i="2"/>
  <c r="J637" i="2"/>
  <c r="I637" i="2"/>
  <c r="L636" i="2"/>
  <c r="K636" i="2"/>
  <c r="J636" i="2"/>
  <c r="I636" i="2"/>
  <c r="L635" i="2"/>
  <c r="K635" i="2"/>
  <c r="J635" i="2"/>
  <c r="I635" i="2"/>
  <c r="L634" i="2"/>
  <c r="K634" i="2"/>
  <c r="J634" i="2"/>
  <c r="I634" i="2"/>
  <c r="L633" i="2"/>
  <c r="K633" i="2"/>
  <c r="J633" i="2"/>
  <c r="I633" i="2"/>
  <c r="L632" i="2"/>
  <c r="K632" i="2"/>
  <c r="J632" i="2"/>
  <c r="I632" i="2"/>
  <c r="L631" i="2"/>
  <c r="K631" i="2"/>
  <c r="J631" i="2"/>
  <c r="I631" i="2"/>
  <c r="L630" i="2"/>
  <c r="K630" i="2"/>
  <c r="J630" i="2"/>
  <c r="I630" i="2"/>
  <c r="L629" i="2"/>
  <c r="K629" i="2"/>
  <c r="J629" i="2"/>
  <c r="I629" i="2"/>
  <c r="L628" i="2"/>
  <c r="K628" i="2"/>
  <c r="J628" i="2"/>
  <c r="I628" i="2"/>
  <c r="L627" i="2"/>
  <c r="K627" i="2"/>
  <c r="J627" i="2"/>
  <c r="I627" i="2"/>
  <c r="L626" i="2"/>
  <c r="K626" i="2"/>
  <c r="J626" i="2"/>
  <c r="I626" i="2"/>
  <c r="L625" i="2"/>
  <c r="K625" i="2"/>
  <c r="J625" i="2"/>
  <c r="I625" i="2"/>
  <c r="L624" i="2"/>
  <c r="K624" i="2"/>
  <c r="J624" i="2"/>
  <c r="I624" i="2"/>
  <c r="L623" i="2"/>
  <c r="K623" i="2"/>
  <c r="J623" i="2"/>
  <c r="I623" i="2"/>
  <c r="L622" i="2"/>
  <c r="K622" i="2"/>
  <c r="J622" i="2"/>
  <c r="I622" i="2"/>
  <c r="L621" i="2"/>
  <c r="K621" i="2"/>
  <c r="J621" i="2"/>
  <c r="I621" i="2"/>
  <c r="L620" i="2"/>
  <c r="K620" i="2"/>
  <c r="J620" i="2"/>
  <c r="I620" i="2"/>
  <c r="L619" i="2"/>
  <c r="K619" i="2"/>
  <c r="J619" i="2"/>
  <c r="I619" i="2"/>
  <c r="L618" i="2"/>
  <c r="K618" i="2"/>
  <c r="J618" i="2"/>
  <c r="I618" i="2"/>
  <c r="L617" i="2"/>
  <c r="K617" i="2"/>
  <c r="J617" i="2"/>
  <c r="I617" i="2"/>
  <c r="L616" i="2"/>
  <c r="K616" i="2"/>
  <c r="J616" i="2"/>
  <c r="I616" i="2"/>
  <c r="L615" i="2"/>
  <c r="K615" i="2"/>
  <c r="J615" i="2"/>
  <c r="I615" i="2"/>
  <c r="L614" i="2"/>
  <c r="K614" i="2"/>
  <c r="J614" i="2"/>
  <c r="I614" i="2"/>
  <c r="L613" i="2"/>
  <c r="K613" i="2"/>
  <c r="J613" i="2"/>
  <c r="I613" i="2"/>
  <c r="L612" i="2"/>
  <c r="K612" i="2"/>
  <c r="J612" i="2"/>
  <c r="I612" i="2"/>
  <c r="L611" i="2"/>
  <c r="K611" i="2"/>
  <c r="J611" i="2"/>
  <c r="I611" i="2"/>
  <c r="L610" i="2"/>
  <c r="K610" i="2"/>
  <c r="J610" i="2"/>
  <c r="I610" i="2"/>
  <c r="L609" i="2"/>
  <c r="K609" i="2"/>
  <c r="J609" i="2"/>
  <c r="I609" i="2"/>
  <c r="L608" i="2"/>
  <c r="K608" i="2"/>
  <c r="J608" i="2"/>
  <c r="I608" i="2"/>
  <c r="L607" i="2"/>
  <c r="K607" i="2"/>
  <c r="J607" i="2"/>
  <c r="I607" i="2"/>
  <c r="L606" i="2"/>
  <c r="K606" i="2"/>
  <c r="J606" i="2"/>
  <c r="I606" i="2"/>
  <c r="L605" i="2"/>
  <c r="K605" i="2"/>
  <c r="J605" i="2"/>
  <c r="I605" i="2"/>
  <c r="L604" i="2"/>
  <c r="K604" i="2"/>
  <c r="J604" i="2"/>
  <c r="I604" i="2"/>
  <c r="L603" i="2"/>
  <c r="K603" i="2"/>
  <c r="J603" i="2"/>
  <c r="I603" i="2"/>
  <c r="L602" i="2"/>
  <c r="K602" i="2"/>
  <c r="J602" i="2"/>
  <c r="I602" i="2"/>
  <c r="L601" i="2"/>
  <c r="K601" i="2"/>
  <c r="J601" i="2"/>
  <c r="I601" i="2"/>
  <c r="L600" i="2"/>
  <c r="K600" i="2"/>
  <c r="J600" i="2"/>
  <c r="I600" i="2"/>
  <c r="L599" i="2"/>
  <c r="K599" i="2"/>
  <c r="J599" i="2"/>
  <c r="I599" i="2"/>
  <c r="L598" i="2"/>
  <c r="K598" i="2"/>
  <c r="J598" i="2"/>
  <c r="I598" i="2"/>
  <c r="L597" i="2"/>
  <c r="K597" i="2"/>
  <c r="J597" i="2"/>
  <c r="I597" i="2"/>
  <c r="L596" i="2"/>
  <c r="K596" i="2"/>
  <c r="J596" i="2"/>
  <c r="I596" i="2"/>
  <c r="L595" i="2"/>
  <c r="K595" i="2"/>
  <c r="J595" i="2"/>
  <c r="I595" i="2"/>
  <c r="L594" i="2"/>
  <c r="K594" i="2"/>
  <c r="J594" i="2"/>
  <c r="I594" i="2"/>
  <c r="L593" i="2"/>
  <c r="K593" i="2"/>
  <c r="J593" i="2"/>
  <c r="I593" i="2"/>
  <c r="L592" i="2"/>
  <c r="K592" i="2"/>
  <c r="J592" i="2"/>
  <c r="I592" i="2"/>
  <c r="L591" i="2"/>
  <c r="K591" i="2"/>
  <c r="J591" i="2"/>
  <c r="I591" i="2"/>
  <c r="L590" i="2"/>
  <c r="K590" i="2"/>
  <c r="J590" i="2"/>
  <c r="I590" i="2"/>
  <c r="L589" i="2"/>
  <c r="K589" i="2"/>
  <c r="J589" i="2"/>
  <c r="I589" i="2"/>
  <c r="L588" i="2"/>
  <c r="K588" i="2"/>
  <c r="J588" i="2"/>
  <c r="I588" i="2"/>
  <c r="L587" i="2"/>
  <c r="K587" i="2"/>
  <c r="J587" i="2"/>
  <c r="I587" i="2"/>
  <c r="L586" i="2"/>
  <c r="K586" i="2"/>
  <c r="J586" i="2"/>
  <c r="I586" i="2"/>
  <c r="L585" i="2"/>
  <c r="K585" i="2"/>
  <c r="J585" i="2"/>
  <c r="I585" i="2"/>
  <c r="L584" i="2"/>
  <c r="K584" i="2"/>
  <c r="J584" i="2"/>
  <c r="I584" i="2"/>
  <c r="L583" i="2"/>
  <c r="K583" i="2"/>
  <c r="J583" i="2"/>
  <c r="I583" i="2"/>
  <c r="L582" i="2"/>
  <c r="K582" i="2"/>
  <c r="J582" i="2"/>
  <c r="I582" i="2"/>
  <c r="L581" i="2"/>
  <c r="K581" i="2"/>
  <c r="J581" i="2"/>
  <c r="I581" i="2"/>
  <c r="L580" i="2"/>
  <c r="K580" i="2"/>
  <c r="J580" i="2"/>
  <c r="I580" i="2"/>
  <c r="L579" i="2"/>
  <c r="K579" i="2"/>
  <c r="J579" i="2"/>
  <c r="I579" i="2"/>
  <c r="L578" i="2"/>
  <c r="K578" i="2"/>
  <c r="J578" i="2"/>
  <c r="I578" i="2"/>
  <c r="L577" i="2"/>
  <c r="K577" i="2"/>
  <c r="J577" i="2"/>
  <c r="I577" i="2"/>
  <c r="L576" i="2"/>
  <c r="K576" i="2"/>
  <c r="J576" i="2"/>
  <c r="I576" i="2"/>
  <c r="L575" i="2"/>
  <c r="K575" i="2"/>
  <c r="J575" i="2"/>
  <c r="I575" i="2"/>
  <c r="L574" i="2"/>
  <c r="K574" i="2"/>
  <c r="J574" i="2"/>
  <c r="I574" i="2"/>
  <c r="L573" i="2"/>
  <c r="K573" i="2"/>
  <c r="J573" i="2"/>
  <c r="I573" i="2"/>
  <c r="L572" i="2"/>
  <c r="K572" i="2"/>
  <c r="J572" i="2"/>
  <c r="I572" i="2"/>
  <c r="L571" i="2"/>
  <c r="K571" i="2"/>
  <c r="J571" i="2"/>
  <c r="I571" i="2"/>
  <c r="L570" i="2"/>
  <c r="K570" i="2"/>
  <c r="J570" i="2"/>
  <c r="I570" i="2"/>
  <c r="L569" i="2"/>
  <c r="K569" i="2"/>
  <c r="J569" i="2"/>
  <c r="I569" i="2"/>
  <c r="L568" i="2"/>
  <c r="K568" i="2"/>
  <c r="J568" i="2"/>
  <c r="I568" i="2"/>
  <c r="L567" i="2"/>
  <c r="K567" i="2"/>
  <c r="J567" i="2"/>
  <c r="I567" i="2"/>
  <c r="L566" i="2"/>
  <c r="K566" i="2"/>
  <c r="J566" i="2"/>
  <c r="I566" i="2"/>
  <c r="L565" i="2"/>
  <c r="K565" i="2"/>
  <c r="J565" i="2"/>
  <c r="I565" i="2"/>
  <c r="L564" i="2"/>
  <c r="K564" i="2"/>
  <c r="J564" i="2"/>
  <c r="I564" i="2"/>
  <c r="L563" i="2"/>
  <c r="K563" i="2"/>
  <c r="J563" i="2"/>
  <c r="I563" i="2"/>
  <c r="L562" i="2"/>
  <c r="K562" i="2"/>
  <c r="J562" i="2"/>
  <c r="I562" i="2"/>
  <c r="L561" i="2"/>
  <c r="K561" i="2"/>
  <c r="J561" i="2"/>
  <c r="I561" i="2"/>
  <c r="L560" i="2"/>
  <c r="K560" i="2"/>
  <c r="J560" i="2"/>
  <c r="I560" i="2"/>
  <c r="L559" i="2"/>
  <c r="K559" i="2"/>
  <c r="J559" i="2"/>
  <c r="I559" i="2"/>
  <c r="L558" i="2"/>
  <c r="K558" i="2"/>
  <c r="J558" i="2"/>
  <c r="I558" i="2"/>
  <c r="L557" i="2"/>
  <c r="K557" i="2"/>
  <c r="J557" i="2"/>
  <c r="I557" i="2"/>
  <c r="L556" i="2"/>
  <c r="K556" i="2"/>
  <c r="J556" i="2"/>
  <c r="I556" i="2"/>
  <c r="L555" i="2"/>
  <c r="K555" i="2"/>
  <c r="J555" i="2"/>
  <c r="I555" i="2"/>
  <c r="L554" i="2"/>
  <c r="K554" i="2"/>
  <c r="J554" i="2"/>
  <c r="I554" i="2"/>
  <c r="L553" i="2"/>
  <c r="K553" i="2"/>
  <c r="J553" i="2"/>
  <c r="I553" i="2"/>
  <c r="L552" i="2"/>
  <c r="K552" i="2"/>
  <c r="J552" i="2"/>
  <c r="I552" i="2"/>
  <c r="L551" i="2"/>
  <c r="K551" i="2"/>
  <c r="J551" i="2"/>
  <c r="I551" i="2"/>
  <c r="L550" i="2"/>
  <c r="K550" i="2"/>
  <c r="J550" i="2"/>
  <c r="I550" i="2"/>
  <c r="L549" i="2"/>
  <c r="K549" i="2"/>
  <c r="J549" i="2"/>
  <c r="I549" i="2"/>
  <c r="L548" i="2"/>
  <c r="K548" i="2"/>
  <c r="J548" i="2"/>
  <c r="I548" i="2"/>
  <c r="L547" i="2"/>
  <c r="K547" i="2"/>
  <c r="J547" i="2"/>
  <c r="I547" i="2"/>
  <c r="L546" i="2"/>
  <c r="K546" i="2"/>
  <c r="J546" i="2"/>
  <c r="I546" i="2"/>
  <c r="L545" i="2"/>
  <c r="K545" i="2"/>
  <c r="J545" i="2"/>
  <c r="I545" i="2"/>
  <c r="L544" i="2"/>
  <c r="K544" i="2"/>
  <c r="J544" i="2"/>
  <c r="I544" i="2"/>
  <c r="L543" i="2"/>
  <c r="K543" i="2"/>
  <c r="J543" i="2"/>
  <c r="I543" i="2"/>
  <c r="L542" i="2"/>
  <c r="K542" i="2"/>
  <c r="J542" i="2"/>
  <c r="I542" i="2"/>
  <c r="L541" i="2"/>
  <c r="K541" i="2"/>
  <c r="J541" i="2"/>
  <c r="I541" i="2"/>
  <c r="L540" i="2"/>
  <c r="K540" i="2"/>
  <c r="J540" i="2"/>
  <c r="I540" i="2"/>
  <c r="L539" i="2"/>
  <c r="K539" i="2"/>
  <c r="J539" i="2"/>
  <c r="I539" i="2"/>
  <c r="L538" i="2"/>
  <c r="K538" i="2"/>
  <c r="J538" i="2"/>
  <c r="I538" i="2"/>
  <c r="L537" i="2"/>
  <c r="K537" i="2"/>
  <c r="J537" i="2"/>
  <c r="I537" i="2"/>
  <c r="L536" i="2"/>
  <c r="K536" i="2"/>
  <c r="J536" i="2"/>
  <c r="I536" i="2"/>
  <c r="L535" i="2"/>
  <c r="K535" i="2"/>
  <c r="J535" i="2"/>
  <c r="I535" i="2"/>
  <c r="L534" i="2"/>
  <c r="K534" i="2"/>
  <c r="J534" i="2"/>
  <c r="I534" i="2"/>
  <c r="L533" i="2"/>
  <c r="K533" i="2"/>
  <c r="J533" i="2"/>
  <c r="I533" i="2"/>
  <c r="L532" i="2"/>
  <c r="K532" i="2"/>
  <c r="J532" i="2"/>
  <c r="I532" i="2"/>
  <c r="L531" i="2"/>
  <c r="K531" i="2"/>
  <c r="J531" i="2"/>
  <c r="I531" i="2"/>
  <c r="L530" i="2"/>
  <c r="K530" i="2"/>
  <c r="J530" i="2"/>
  <c r="I530" i="2"/>
  <c r="L529" i="2"/>
  <c r="K529" i="2"/>
  <c r="J529" i="2"/>
  <c r="I529" i="2"/>
  <c r="L528" i="2"/>
  <c r="K528" i="2"/>
  <c r="J528" i="2"/>
  <c r="I528" i="2"/>
  <c r="L527" i="2"/>
  <c r="K527" i="2"/>
  <c r="J527" i="2"/>
  <c r="I527" i="2"/>
  <c r="L526" i="2"/>
  <c r="K526" i="2"/>
  <c r="J526" i="2"/>
  <c r="I526" i="2"/>
  <c r="L525" i="2"/>
  <c r="K525" i="2"/>
  <c r="J525" i="2"/>
  <c r="I525" i="2"/>
  <c r="L524" i="2"/>
  <c r="K524" i="2"/>
  <c r="J524" i="2"/>
  <c r="I524" i="2"/>
  <c r="L523" i="2"/>
  <c r="K523" i="2"/>
  <c r="J523" i="2"/>
  <c r="I523" i="2"/>
  <c r="L522" i="2"/>
  <c r="K522" i="2"/>
  <c r="J522" i="2"/>
  <c r="I522" i="2"/>
  <c r="L521" i="2"/>
  <c r="K521" i="2"/>
  <c r="J521" i="2"/>
  <c r="I521" i="2"/>
  <c r="L520" i="2"/>
  <c r="K520" i="2"/>
  <c r="J520" i="2"/>
  <c r="I520" i="2"/>
  <c r="L519" i="2"/>
  <c r="K519" i="2"/>
  <c r="J519" i="2"/>
  <c r="I519" i="2"/>
  <c r="L518" i="2"/>
  <c r="K518" i="2"/>
  <c r="J518" i="2"/>
  <c r="I518" i="2"/>
  <c r="L517" i="2"/>
  <c r="K517" i="2"/>
  <c r="J517" i="2"/>
  <c r="I517" i="2"/>
  <c r="L516" i="2"/>
  <c r="K516" i="2"/>
  <c r="J516" i="2"/>
  <c r="I516" i="2"/>
  <c r="L515" i="2"/>
  <c r="K515" i="2"/>
  <c r="J515" i="2"/>
  <c r="I515" i="2"/>
  <c r="L514" i="2"/>
  <c r="K514" i="2"/>
  <c r="J514" i="2"/>
  <c r="I514" i="2"/>
  <c r="L513" i="2"/>
  <c r="K513" i="2"/>
  <c r="J513" i="2"/>
  <c r="I513" i="2"/>
  <c r="L512" i="2"/>
  <c r="K512" i="2"/>
  <c r="J512" i="2"/>
  <c r="I512" i="2"/>
  <c r="L511" i="2"/>
  <c r="K511" i="2"/>
  <c r="J511" i="2"/>
  <c r="I511" i="2"/>
  <c r="L510" i="2"/>
  <c r="K510" i="2"/>
  <c r="J510" i="2"/>
  <c r="I510" i="2"/>
  <c r="L509" i="2"/>
  <c r="K509" i="2"/>
  <c r="J509" i="2"/>
  <c r="I509" i="2"/>
  <c r="L508" i="2"/>
  <c r="K508" i="2"/>
  <c r="J508" i="2"/>
  <c r="I508" i="2"/>
  <c r="L507" i="2"/>
  <c r="K507" i="2"/>
  <c r="J507" i="2"/>
  <c r="I507" i="2"/>
  <c r="L506" i="2"/>
  <c r="K506" i="2"/>
  <c r="J506" i="2"/>
  <c r="I506" i="2"/>
  <c r="L505" i="2"/>
  <c r="K505" i="2"/>
  <c r="J505" i="2"/>
  <c r="I505" i="2"/>
  <c r="L504" i="2"/>
  <c r="K504" i="2"/>
  <c r="J504" i="2"/>
  <c r="I504" i="2"/>
  <c r="L503" i="2"/>
  <c r="K503" i="2"/>
  <c r="J503" i="2"/>
  <c r="I503" i="2"/>
  <c r="L502" i="2"/>
  <c r="K502" i="2"/>
  <c r="J502" i="2"/>
  <c r="I502" i="2"/>
  <c r="L501" i="2"/>
  <c r="K501" i="2"/>
  <c r="J501" i="2"/>
  <c r="I501" i="2"/>
  <c r="L500" i="2"/>
  <c r="K500" i="2"/>
  <c r="J500" i="2"/>
  <c r="I500" i="2"/>
  <c r="L499" i="2"/>
  <c r="K499" i="2"/>
  <c r="J499" i="2"/>
  <c r="I499" i="2"/>
  <c r="L498" i="2"/>
  <c r="K498" i="2"/>
  <c r="J498" i="2"/>
  <c r="I498" i="2"/>
  <c r="L497" i="2"/>
  <c r="K497" i="2"/>
  <c r="J497" i="2"/>
  <c r="I497" i="2"/>
  <c r="L496" i="2"/>
  <c r="K496" i="2"/>
  <c r="J496" i="2"/>
  <c r="I496" i="2"/>
  <c r="L495" i="2"/>
  <c r="K495" i="2"/>
  <c r="J495" i="2"/>
  <c r="I495" i="2"/>
  <c r="L494" i="2"/>
  <c r="K494" i="2"/>
  <c r="J494" i="2"/>
  <c r="I494" i="2"/>
  <c r="L493" i="2"/>
  <c r="K493" i="2"/>
  <c r="J493" i="2"/>
  <c r="I493" i="2"/>
  <c r="L492" i="2"/>
  <c r="K492" i="2"/>
  <c r="J492" i="2"/>
  <c r="I492" i="2"/>
  <c r="L491" i="2"/>
  <c r="K491" i="2"/>
  <c r="J491" i="2"/>
  <c r="I491" i="2"/>
  <c r="L490" i="2"/>
  <c r="K490" i="2"/>
  <c r="J490" i="2"/>
  <c r="I490" i="2"/>
  <c r="L489" i="2"/>
  <c r="K489" i="2"/>
  <c r="J489" i="2"/>
  <c r="I489" i="2"/>
  <c r="L488" i="2"/>
  <c r="K488" i="2"/>
  <c r="J488" i="2"/>
  <c r="I488" i="2"/>
  <c r="L487" i="2"/>
  <c r="K487" i="2"/>
  <c r="J487" i="2"/>
  <c r="I487" i="2"/>
  <c r="L486" i="2"/>
  <c r="K486" i="2"/>
  <c r="J486" i="2"/>
  <c r="I486" i="2"/>
  <c r="L485" i="2"/>
  <c r="K485" i="2"/>
  <c r="J485" i="2"/>
  <c r="I485" i="2"/>
  <c r="L484" i="2"/>
  <c r="K484" i="2"/>
  <c r="J484" i="2"/>
  <c r="I484" i="2"/>
  <c r="L483" i="2"/>
  <c r="K483" i="2"/>
  <c r="J483" i="2"/>
  <c r="I483" i="2"/>
  <c r="L482" i="2"/>
  <c r="K482" i="2"/>
  <c r="J482" i="2"/>
  <c r="I482" i="2"/>
  <c r="L481" i="2"/>
  <c r="K481" i="2"/>
  <c r="J481" i="2"/>
  <c r="I481" i="2"/>
  <c r="L480" i="2"/>
  <c r="K480" i="2"/>
  <c r="J480" i="2"/>
  <c r="I480" i="2"/>
  <c r="L479" i="2"/>
  <c r="K479" i="2"/>
  <c r="J479" i="2"/>
  <c r="I479" i="2"/>
  <c r="L478" i="2"/>
  <c r="K478" i="2"/>
  <c r="J478" i="2"/>
  <c r="I478" i="2"/>
  <c r="L477" i="2"/>
  <c r="K477" i="2"/>
  <c r="J477" i="2"/>
  <c r="I477" i="2"/>
  <c r="L476" i="2"/>
  <c r="K476" i="2"/>
  <c r="J476" i="2"/>
  <c r="I476" i="2"/>
  <c r="L475" i="2"/>
  <c r="K475" i="2"/>
  <c r="J475" i="2"/>
  <c r="I475" i="2"/>
  <c r="L474" i="2"/>
  <c r="K474" i="2"/>
  <c r="J474" i="2"/>
  <c r="I474" i="2"/>
  <c r="L473" i="2"/>
  <c r="K473" i="2"/>
  <c r="J473" i="2"/>
  <c r="I473" i="2"/>
  <c r="L472" i="2"/>
  <c r="K472" i="2"/>
  <c r="J472" i="2"/>
  <c r="I472" i="2"/>
  <c r="L471" i="2"/>
  <c r="K471" i="2"/>
  <c r="J471" i="2"/>
  <c r="I471" i="2"/>
  <c r="L470" i="2"/>
  <c r="K470" i="2"/>
  <c r="J470" i="2"/>
  <c r="I470" i="2"/>
  <c r="L469" i="2"/>
  <c r="K469" i="2"/>
  <c r="J469" i="2"/>
  <c r="I469" i="2"/>
  <c r="L468" i="2"/>
  <c r="K468" i="2"/>
  <c r="J468" i="2"/>
  <c r="I468" i="2"/>
  <c r="L467" i="2"/>
  <c r="K467" i="2"/>
  <c r="J467" i="2"/>
  <c r="I467" i="2"/>
  <c r="L466" i="2"/>
  <c r="K466" i="2"/>
  <c r="J466" i="2"/>
  <c r="I466" i="2"/>
  <c r="L465" i="2"/>
  <c r="K465" i="2"/>
  <c r="J465" i="2"/>
  <c r="I465" i="2"/>
  <c r="L464" i="2"/>
  <c r="K464" i="2"/>
  <c r="J464" i="2"/>
  <c r="I464" i="2"/>
  <c r="L463" i="2"/>
  <c r="K463" i="2"/>
  <c r="J463" i="2"/>
  <c r="I463" i="2"/>
  <c r="L462" i="2"/>
  <c r="K462" i="2"/>
  <c r="J462" i="2"/>
  <c r="I462" i="2"/>
  <c r="L461" i="2"/>
  <c r="K461" i="2"/>
  <c r="J461" i="2"/>
  <c r="I461" i="2"/>
  <c r="L460" i="2"/>
  <c r="K460" i="2"/>
  <c r="J460" i="2"/>
  <c r="I460" i="2"/>
  <c r="L459" i="2"/>
  <c r="K459" i="2"/>
  <c r="J459" i="2"/>
  <c r="I459" i="2"/>
  <c r="L458" i="2"/>
  <c r="K458" i="2"/>
  <c r="J458" i="2"/>
  <c r="I458" i="2"/>
  <c r="L457" i="2"/>
  <c r="K457" i="2"/>
  <c r="J457" i="2"/>
  <c r="I457" i="2"/>
  <c r="L456" i="2"/>
  <c r="K456" i="2"/>
  <c r="J456" i="2"/>
  <c r="I456" i="2"/>
  <c r="L455" i="2"/>
  <c r="K455" i="2"/>
  <c r="J455" i="2"/>
  <c r="I455" i="2"/>
  <c r="L454" i="2"/>
  <c r="K454" i="2"/>
  <c r="J454" i="2"/>
  <c r="I454" i="2"/>
  <c r="L453" i="2"/>
  <c r="K453" i="2"/>
  <c r="J453" i="2"/>
  <c r="I453" i="2"/>
  <c r="L452" i="2"/>
  <c r="K452" i="2"/>
  <c r="J452" i="2"/>
  <c r="I452" i="2"/>
  <c r="L451" i="2"/>
  <c r="K451" i="2"/>
  <c r="J451" i="2"/>
  <c r="I451" i="2"/>
  <c r="L450" i="2"/>
  <c r="K450" i="2"/>
  <c r="J450" i="2"/>
  <c r="I450" i="2"/>
  <c r="L449" i="2"/>
  <c r="K449" i="2"/>
  <c r="J449" i="2"/>
  <c r="I449" i="2"/>
  <c r="L448" i="2"/>
  <c r="K448" i="2"/>
  <c r="J448" i="2"/>
  <c r="I448" i="2"/>
  <c r="L447" i="2"/>
  <c r="K447" i="2"/>
  <c r="J447" i="2"/>
  <c r="I447" i="2"/>
  <c r="L446" i="2"/>
  <c r="K446" i="2"/>
  <c r="J446" i="2"/>
  <c r="I446" i="2"/>
  <c r="L445" i="2"/>
  <c r="K445" i="2"/>
  <c r="J445" i="2"/>
  <c r="I445" i="2"/>
  <c r="L444" i="2"/>
  <c r="K444" i="2"/>
  <c r="J444" i="2"/>
  <c r="I444" i="2"/>
  <c r="L443" i="2"/>
  <c r="K443" i="2"/>
  <c r="J443" i="2"/>
  <c r="I443" i="2"/>
  <c r="L442" i="2"/>
  <c r="K442" i="2"/>
  <c r="J442" i="2"/>
  <c r="I442" i="2"/>
  <c r="L441" i="2"/>
  <c r="K441" i="2"/>
  <c r="J441" i="2"/>
  <c r="I441" i="2"/>
  <c r="L440" i="2"/>
  <c r="K440" i="2"/>
  <c r="J440" i="2"/>
  <c r="I440" i="2"/>
  <c r="L439" i="2"/>
  <c r="K439" i="2"/>
  <c r="J439" i="2"/>
  <c r="I439" i="2"/>
  <c r="L438" i="2"/>
  <c r="K438" i="2"/>
  <c r="J438" i="2"/>
  <c r="I438" i="2"/>
  <c r="L437" i="2"/>
  <c r="K437" i="2"/>
  <c r="J437" i="2"/>
  <c r="I437" i="2"/>
  <c r="L436" i="2"/>
  <c r="K436" i="2"/>
  <c r="J436" i="2"/>
  <c r="I436" i="2"/>
  <c r="H436" i="2"/>
  <c r="K435" i="2"/>
  <c r="L435" i="2" s="1"/>
  <c r="J435" i="2"/>
  <c r="I435" i="2"/>
  <c r="L434" i="2"/>
  <c r="K434" i="2"/>
  <c r="J434" i="2"/>
  <c r="I434" i="2"/>
  <c r="K433" i="2"/>
  <c r="L433" i="2" s="1"/>
  <c r="J433" i="2"/>
  <c r="I433" i="2"/>
  <c r="K432" i="2"/>
  <c r="L432" i="2" s="1"/>
  <c r="J432" i="2"/>
  <c r="I432" i="2"/>
  <c r="K431" i="2"/>
  <c r="L431" i="2" s="1"/>
  <c r="J431" i="2"/>
  <c r="I431" i="2"/>
  <c r="K430" i="2"/>
  <c r="L430" i="2" s="1"/>
  <c r="J430" i="2"/>
  <c r="I430" i="2"/>
  <c r="K429" i="2"/>
  <c r="L429" i="2" s="1"/>
  <c r="J429" i="2"/>
  <c r="I429" i="2"/>
  <c r="K428" i="2"/>
  <c r="L428" i="2" s="1"/>
  <c r="J428" i="2"/>
  <c r="I428" i="2"/>
  <c r="K427" i="2"/>
  <c r="L427" i="2" s="1"/>
  <c r="J427" i="2"/>
  <c r="I427" i="2"/>
  <c r="K426" i="2"/>
  <c r="L426" i="2" s="1"/>
  <c r="J426" i="2"/>
  <c r="I426" i="2"/>
  <c r="K425" i="2"/>
  <c r="L425" i="2" s="1"/>
  <c r="J425" i="2"/>
  <c r="I425" i="2"/>
  <c r="L424" i="2"/>
  <c r="K424" i="2"/>
  <c r="J424" i="2"/>
  <c r="I424" i="2"/>
  <c r="K423" i="2"/>
  <c r="L423" i="2" s="1"/>
  <c r="J423" i="2"/>
  <c r="I423" i="2"/>
  <c r="K422" i="2"/>
  <c r="L422" i="2" s="1"/>
  <c r="J422" i="2"/>
  <c r="I422" i="2"/>
  <c r="K421" i="2"/>
  <c r="L421" i="2" s="1"/>
  <c r="J421" i="2"/>
  <c r="I421" i="2"/>
  <c r="L420" i="2"/>
  <c r="K420" i="2"/>
  <c r="J420" i="2"/>
  <c r="I420" i="2"/>
  <c r="K419" i="2"/>
  <c r="L419" i="2" s="1"/>
  <c r="J419" i="2"/>
  <c r="I419" i="2"/>
  <c r="K418" i="2"/>
  <c r="L418" i="2" s="1"/>
  <c r="J418" i="2"/>
  <c r="I418" i="2"/>
  <c r="K417" i="2"/>
  <c r="L417" i="2" s="1"/>
  <c r="J417" i="2"/>
  <c r="I417" i="2"/>
  <c r="L416" i="2"/>
  <c r="K416" i="2"/>
  <c r="J416" i="2"/>
  <c r="I416" i="2"/>
  <c r="K415" i="2"/>
  <c r="L415" i="2" s="1"/>
  <c r="J415" i="2"/>
  <c r="I415" i="2"/>
  <c r="K414" i="2"/>
  <c r="L414" i="2" s="1"/>
  <c r="J414" i="2"/>
  <c r="I414" i="2"/>
  <c r="K413" i="2"/>
  <c r="L413" i="2" s="1"/>
  <c r="J413" i="2"/>
  <c r="I413" i="2"/>
  <c r="K412" i="2"/>
  <c r="L412" i="2" s="1"/>
  <c r="J412" i="2"/>
  <c r="I412" i="2"/>
  <c r="K411" i="2"/>
  <c r="L411" i="2" s="1"/>
  <c r="J411" i="2"/>
  <c r="I411" i="2"/>
  <c r="K410" i="2"/>
  <c r="L410" i="2" s="1"/>
  <c r="J410" i="2"/>
  <c r="I410" i="2"/>
  <c r="K409" i="2"/>
  <c r="L409" i="2" s="1"/>
  <c r="J409" i="2"/>
  <c r="I409" i="2"/>
  <c r="L408" i="2"/>
  <c r="K408" i="2"/>
  <c r="J408" i="2"/>
  <c r="I408" i="2"/>
  <c r="K407" i="2"/>
  <c r="L407" i="2" s="1"/>
  <c r="J407" i="2"/>
  <c r="I407" i="2"/>
  <c r="K406" i="2"/>
  <c r="L406" i="2" s="1"/>
  <c r="J406" i="2"/>
  <c r="I406" i="2"/>
  <c r="K405" i="2"/>
  <c r="L405" i="2" s="1"/>
  <c r="J405" i="2"/>
  <c r="I405" i="2"/>
  <c r="L404" i="2"/>
  <c r="K404" i="2"/>
  <c r="J404" i="2"/>
  <c r="I404" i="2"/>
  <c r="K403" i="2"/>
  <c r="L403" i="2" s="1"/>
  <c r="J403" i="2"/>
  <c r="I403" i="2"/>
  <c r="L402" i="2"/>
  <c r="K402" i="2"/>
  <c r="J402" i="2"/>
  <c r="I402" i="2"/>
  <c r="K401" i="2"/>
  <c r="L401" i="2" s="1"/>
  <c r="J401" i="2"/>
  <c r="I401" i="2"/>
  <c r="K400" i="2"/>
  <c r="L400" i="2" s="1"/>
  <c r="J400" i="2"/>
  <c r="I400" i="2"/>
  <c r="K399" i="2"/>
  <c r="L399" i="2" s="1"/>
  <c r="J399" i="2"/>
  <c r="I399" i="2"/>
  <c r="K398" i="2"/>
  <c r="L398" i="2" s="1"/>
  <c r="J398" i="2"/>
  <c r="I398" i="2"/>
  <c r="K397" i="2"/>
  <c r="L397" i="2" s="1"/>
  <c r="J397" i="2"/>
  <c r="I397" i="2"/>
  <c r="K396" i="2"/>
  <c r="L396" i="2" s="1"/>
  <c r="J396" i="2"/>
  <c r="I396" i="2"/>
  <c r="K395" i="2"/>
  <c r="L395" i="2" s="1"/>
  <c r="J395" i="2"/>
  <c r="I395" i="2"/>
  <c r="K394" i="2"/>
  <c r="L394" i="2" s="1"/>
  <c r="J394" i="2"/>
  <c r="I394" i="2"/>
  <c r="K393" i="2"/>
  <c r="L393" i="2" s="1"/>
  <c r="J393" i="2"/>
  <c r="I393" i="2"/>
  <c r="L392" i="2"/>
  <c r="K392" i="2"/>
  <c r="J392" i="2"/>
  <c r="I392" i="2"/>
  <c r="K391" i="2"/>
  <c r="L391" i="2" s="1"/>
  <c r="J391" i="2"/>
  <c r="I391" i="2"/>
  <c r="K390" i="2"/>
  <c r="L390" i="2" s="1"/>
  <c r="J390" i="2"/>
  <c r="I390" i="2"/>
  <c r="K389" i="2"/>
  <c r="L389" i="2" s="1"/>
  <c r="J389" i="2"/>
  <c r="I389" i="2"/>
  <c r="L388" i="2"/>
  <c r="K388" i="2"/>
  <c r="J388" i="2"/>
  <c r="I388" i="2"/>
  <c r="K387" i="2"/>
  <c r="L387" i="2" s="1"/>
  <c r="J387" i="2"/>
  <c r="I387" i="2"/>
  <c r="K386" i="2"/>
  <c r="L386" i="2" s="1"/>
  <c r="J386" i="2"/>
  <c r="I386" i="2"/>
  <c r="K385" i="2"/>
  <c r="L385" i="2" s="1"/>
  <c r="J385" i="2"/>
  <c r="I385" i="2"/>
  <c r="L384" i="2"/>
  <c r="K384" i="2"/>
  <c r="J384" i="2"/>
  <c r="I384" i="2"/>
  <c r="K383" i="2"/>
  <c r="L383" i="2" s="1"/>
  <c r="J383" i="2"/>
  <c r="I383" i="2"/>
  <c r="K382" i="2"/>
  <c r="L382" i="2" s="1"/>
  <c r="J382" i="2"/>
  <c r="I382" i="2"/>
  <c r="K381" i="2"/>
  <c r="L381" i="2" s="1"/>
  <c r="J381" i="2"/>
  <c r="I381" i="2"/>
  <c r="K380" i="2"/>
  <c r="L380" i="2" s="1"/>
  <c r="J380" i="2"/>
  <c r="I380" i="2"/>
  <c r="K379" i="2"/>
  <c r="L379" i="2" s="1"/>
  <c r="J379" i="2"/>
  <c r="I379" i="2"/>
  <c r="K378" i="2"/>
  <c r="L378" i="2" s="1"/>
  <c r="J378" i="2"/>
  <c r="I378" i="2"/>
  <c r="K377" i="2"/>
  <c r="L377" i="2" s="1"/>
  <c r="J377" i="2"/>
  <c r="I377" i="2"/>
  <c r="L376" i="2"/>
  <c r="K376" i="2"/>
  <c r="J376" i="2"/>
  <c r="I376" i="2"/>
  <c r="K375" i="2"/>
  <c r="L375" i="2" s="1"/>
  <c r="J375" i="2"/>
  <c r="I375" i="2"/>
  <c r="K374" i="2"/>
  <c r="L374" i="2" s="1"/>
  <c r="J374" i="2"/>
  <c r="I374" i="2"/>
  <c r="K373" i="2"/>
  <c r="L373" i="2" s="1"/>
  <c r="J373" i="2"/>
  <c r="I373" i="2"/>
  <c r="L372" i="2"/>
  <c r="K372" i="2"/>
  <c r="J372" i="2"/>
  <c r="I372" i="2"/>
  <c r="K371" i="2"/>
  <c r="L371" i="2" s="1"/>
  <c r="J371" i="2"/>
  <c r="I371" i="2"/>
  <c r="L370" i="2"/>
  <c r="K370" i="2"/>
  <c r="J370" i="2"/>
  <c r="I370" i="2"/>
  <c r="K369" i="2"/>
  <c r="L369" i="2" s="1"/>
  <c r="J369" i="2"/>
  <c r="I369" i="2"/>
  <c r="K368" i="2"/>
  <c r="L368" i="2" s="1"/>
  <c r="J368" i="2"/>
  <c r="I368" i="2"/>
  <c r="K367" i="2"/>
  <c r="L367" i="2" s="1"/>
  <c r="J367" i="2"/>
  <c r="I367" i="2"/>
  <c r="K366" i="2"/>
  <c r="L366" i="2" s="1"/>
  <c r="J366" i="2"/>
  <c r="I366" i="2"/>
  <c r="K365" i="2"/>
  <c r="L365" i="2" s="1"/>
  <c r="J365" i="2"/>
  <c r="I365" i="2"/>
  <c r="K364" i="2"/>
  <c r="L364" i="2" s="1"/>
  <c r="J364" i="2"/>
  <c r="I364" i="2"/>
  <c r="K363" i="2"/>
  <c r="L363" i="2" s="1"/>
  <c r="J363" i="2"/>
  <c r="I363" i="2"/>
  <c r="K362" i="2"/>
  <c r="L362" i="2" s="1"/>
  <c r="J362" i="2"/>
  <c r="I362" i="2"/>
  <c r="K361" i="2"/>
  <c r="L361" i="2" s="1"/>
  <c r="J361" i="2"/>
  <c r="I361" i="2"/>
  <c r="L360" i="2"/>
  <c r="K360" i="2"/>
  <c r="J360" i="2"/>
  <c r="I360" i="2"/>
  <c r="K359" i="2"/>
  <c r="L359" i="2" s="1"/>
  <c r="J359" i="2"/>
  <c r="I359" i="2"/>
  <c r="K358" i="2"/>
  <c r="L358" i="2" s="1"/>
  <c r="J358" i="2"/>
  <c r="I358" i="2"/>
  <c r="K357" i="2"/>
  <c r="L357" i="2" s="1"/>
  <c r="J357" i="2"/>
  <c r="I357" i="2"/>
  <c r="L356" i="2"/>
  <c r="K356" i="2"/>
  <c r="J356" i="2"/>
  <c r="I356" i="2"/>
  <c r="K355" i="2"/>
  <c r="L355" i="2" s="1"/>
  <c r="J355" i="2"/>
  <c r="I355" i="2"/>
  <c r="K354" i="2"/>
  <c r="L354" i="2" s="1"/>
  <c r="J354" i="2"/>
  <c r="I354" i="2"/>
  <c r="K353" i="2"/>
  <c r="L353" i="2" s="1"/>
  <c r="J353" i="2"/>
  <c r="I353" i="2"/>
  <c r="L352" i="2"/>
  <c r="K352" i="2"/>
  <c r="J352" i="2"/>
  <c r="I352" i="2"/>
  <c r="K351" i="2"/>
  <c r="L351" i="2" s="1"/>
  <c r="J351" i="2"/>
  <c r="I351" i="2"/>
  <c r="K350" i="2"/>
  <c r="L350" i="2" s="1"/>
  <c r="J350" i="2"/>
  <c r="I350" i="2"/>
  <c r="K349" i="2"/>
  <c r="L349" i="2" s="1"/>
  <c r="J349" i="2"/>
  <c r="I349" i="2"/>
  <c r="K348" i="2"/>
  <c r="L348" i="2" s="1"/>
  <c r="J348" i="2"/>
  <c r="I348" i="2"/>
  <c r="K347" i="2"/>
  <c r="L347" i="2" s="1"/>
  <c r="J347" i="2"/>
  <c r="I347" i="2"/>
  <c r="K346" i="2"/>
  <c r="L346" i="2" s="1"/>
  <c r="J346" i="2"/>
  <c r="I346" i="2"/>
  <c r="K345" i="2"/>
  <c r="L345" i="2" s="1"/>
  <c r="J345" i="2"/>
  <c r="I345" i="2"/>
  <c r="L344" i="2"/>
  <c r="K344" i="2"/>
  <c r="J344" i="2"/>
  <c r="I344" i="2"/>
  <c r="K343" i="2"/>
  <c r="L343" i="2" s="1"/>
  <c r="J343" i="2"/>
  <c r="I343" i="2"/>
  <c r="K342" i="2"/>
  <c r="L342" i="2" s="1"/>
  <c r="J342" i="2"/>
  <c r="I342" i="2"/>
  <c r="K341" i="2"/>
  <c r="L341" i="2" s="1"/>
  <c r="J341" i="2"/>
  <c r="I341" i="2"/>
  <c r="L340" i="2"/>
  <c r="K340" i="2"/>
  <c r="J340" i="2"/>
  <c r="I340" i="2"/>
  <c r="K339" i="2"/>
  <c r="L339" i="2" s="1"/>
  <c r="J339" i="2"/>
  <c r="I339" i="2"/>
  <c r="K338" i="2"/>
  <c r="L338" i="2" s="1"/>
  <c r="J338" i="2"/>
  <c r="I338" i="2"/>
  <c r="K337" i="2"/>
  <c r="L337" i="2" s="1"/>
  <c r="J337" i="2"/>
  <c r="I337" i="2"/>
  <c r="K336" i="2"/>
  <c r="L336" i="2" s="1"/>
  <c r="J336" i="2"/>
  <c r="I336" i="2"/>
  <c r="K335" i="2"/>
  <c r="L335" i="2" s="1"/>
  <c r="J335" i="2"/>
  <c r="I335" i="2"/>
  <c r="K334" i="2"/>
  <c r="L334" i="2" s="1"/>
  <c r="J334" i="2"/>
  <c r="I334" i="2"/>
  <c r="K333" i="2"/>
  <c r="L333" i="2" s="1"/>
  <c r="J333" i="2"/>
  <c r="I333" i="2"/>
  <c r="K332" i="2"/>
  <c r="L332" i="2" s="1"/>
  <c r="J332" i="2"/>
  <c r="I332" i="2"/>
  <c r="K331" i="2"/>
  <c r="L331" i="2" s="1"/>
  <c r="J331" i="2"/>
  <c r="I331" i="2"/>
  <c r="K330" i="2"/>
  <c r="L330" i="2" s="1"/>
  <c r="J330" i="2"/>
  <c r="I330" i="2"/>
  <c r="K329" i="2"/>
  <c r="L329" i="2" s="1"/>
  <c r="J329" i="2"/>
  <c r="I329" i="2"/>
  <c r="L328" i="2"/>
  <c r="K328" i="2"/>
  <c r="J328" i="2"/>
  <c r="I328" i="2"/>
  <c r="K327" i="2"/>
  <c r="L327" i="2" s="1"/>
  <c r="J327" i="2"/>
  <c r="I327" i="2"/>
  <c r="K326" i="2"/>
  <c r="L326" i="2" s="1"/>
  <c r="J326" i="2"/>
  <c r="I326" i="2"/>
  <c r="K325" i="2"/>
  <c r="L325" i="2" s="1"/>
  <c r="J325" i="2"/>
  <c r="I325" i="2"/>
  <c r="L324" i="2"/>
  <c r="K324" i="2"/>
  <c r="J324" i="2"/>
  <c r="I324" i="2"/>
  <c r="K323" i="2"/>
  <c r="L323" i="2" s="1"/>
  <c r="J323" i="2"/>
  <c r="I323" i="2"/>
  <c r="K322" i="2"/>
  <c r="L322" i="2" s="1"/>
  <c r="J322" i="2"/>
  <c r="I322" i="2"/>
  <c r="K321" i="2"/>
  <c r="L321" i="2" s="1"/>
  <c r="J321" i="2"/>
  <c r="I321" i="2"/>
  <c r="L320" i="2"/>
  <c r="K320" i="2"/>
  <c r="J320" i="2"/>
  <c r="I320" i="2"/>
  <c r="K319" i="2"/>
  <c r="L319" i="2" s="1"/>
  <c r="J319" i="2"/>
  <c r="I319" i="2"/>
  <c r="K318" i="2"/>
  <c r="L318" i="2" s="1"/>
  <c r="J318" i="2"/>
  <c r="I318" i="2"/>
  <c r="K317" i="2"/>
  <c r="L317" i="2" s="1"/>
  <c r="J317" i="2"/>
  <c r="I317" i="2"/>
  <c r="K316" i="2"/>
  <c r="L316" i="2" s="1"/>
  <c r="J316" i="2"/>
  <c r="I316" i="2"/>
  <c r="K315" i="2"/>
  <c r="L315" i="2" s="1"/>
  <c r="J315" i="2"/>
  <c r="I315" i="2"/>
  <c r="K314" i="2"/>
  <c r="L314" i="2" s="1"/>
  <c r="J314" i="2"/>
  <c r="I314" i="2"/>
  <c r="K313" i="2"/>
  <c r="L313" i="2" s="1"/>
  <c r="J313" i="2"/>
  <c r="I313" i="2"/>
  <c r="L312" i="2"/>
  <c r="K312" i="2"/>
  <c r="J312" i="2"/>
  <c r="I312" i="2"/>
  <c r="K311" i="2"/>
  <c r="L311" i="2" s="1"/>
  <c r="J311" i="2"/>
  <c r="I311" i="2"/>
  <c r="K310" i="2"/>
  <c r="L310" i="2" s="1"/>
  <c r="J310" i="2"/>
  <c r="I310" i="2"/>
  <c r="K309" i="2"/>
  <c r="L309" i="2" s="1"/>
  <c r="J309" i="2"/>
  <c r="I309" i="2"/>
  <c r="L308" i="2"/>
  <c r="K308" i="2"/>
  <c r="J308" i="2"/>
  <c r="I308" i="2"/>
  <c r="K307" i="2"/>
  <c r="L307" i="2" s="1"/>
  <c r="J307" i="2"/>
  <c r="I307" i="2"/>
  <c r="K306" i="2"/>
  <c r="L306" i="2" s="1"/>
  <c r="J306" i="2"/>
  <c r="I306" i="2"/>
  <c r="K305" i="2"/>
  <c r="L305" i="2" s="1"/>
  <c r="J305" i="2"/>
  <c r="I305" i="2"/>
  <c r="K304" i="2"/>
  <c r="L304" i="2" s="1"/>
  <c r="J304" i="2"/>
  <c r="I304" i="2"/>
  <c r="K303" i="2"/>
  <c r="L303" i="2" s="1"/>
  <c r="J303" i="2"/>
  <c r="I303" i="2"/>
  <c r="K302" i="2"/>
  <c r="L302" i="2" s="1"/>
  <c r="J302" i="2"/>
  <c r="I302" i="2"/>
  <c r="K301" i="2"/>
  <c r="L301" i="2" s="1"/>
  <c r="J301" i="2"/>
  <c r="I301" i="2"/>
  <c r="K300" i="2"/>
  <c r="L300" i="2" s="1"/>
  <c r="J300" i="2"/>
  <c r="I300" i="2"/>
  <c r="K299" i="2"/>
  <c r="L299" i="2" s="1"/>
  <c r="J299" i="2"/>
  <c r="I299" i="2"/>
  <c r="K298" i="2"/>
  <c r="L298" i="2" s="1"/>
  <c r="J298" i="2"/>
  <c r="I298" i="2"/>
  <c r="K297" i="2"/>
  <c r="L297" i="2" s="1"/>
  <c r="J297" i="2"/>
  <c r="I297" i="2"/>
  <c r="L296" i="2"/>
  <c r="K296" i="2"/>
  <c r="J296" i="2"/>
  <c r="I296" i="2"/>
  <c r="K295" i="2"/>
  <c r="L295" i="2" s="1"/>
  <c r="J295" i="2"/>
  <c r="I295" i="2"/>
  <c r="K294" i="2"/>
  <c r="L294" i="2" s="1"/>
  <c r="J294" i="2"/>
  <c r="I294" i="2"/>
  <c r="K293" i="2"/>
  <c r="L293" i="2" s="1"/>
  <c r="J293" i="2"/>
  <c r="I293" i="2"/>
  <c r="L292" i="2"/>
  <c r="K292" i="2"/>
  <c r="J292" i="2"/>
  <c r="I292" i="2"/>
  <c r="K291" i="2"/>
  <c r="L291" i="2" s="1"/>
  <c r="J291" i="2"/>
  <c r="I291" i="2"/>
  <c r="K290" i="2"/>
  <c r="L290" i="2" s="1"/>
  <c r="J290" i="2"/>
  <c r="I290" i="2"/>
  <c r="K289" i="2"/>
  <c r="L289" i="2" s="1"/>
  <c r="J289" i="2"/>
  <c r="I289" i="2"/>
  <c r="L288" i="2"/>
  <c r="K288" i="2"/>
  <c r="J288" i="2"/>
  <c r="I288" i="2"/>
  <c r="L287" i="2"/>
  <c r="K287" i="2"/>
  <c r="J287" i="2"/>
  <c r="I287" i="2"/>
  <c r="L286" i="2"/>
  <c r="K286" i="2"/>
  <c r="J286" i="2"/>
  <c r="I286" i="2"/>
  <c r="L285" i="2"/>
  <c r="K285" i="2"/>
  <c r="J285" i="2"/>
  <c r="I285" i="2"/>
  <c r="L284" i="2"/>
  <c r="K284" i="2"/>
  <c r="J284" i="2"/>
  <c r="I284" i="2"/>
  <c r="L283" i="2"/>
  <c r="K283" i="2"/>
  <c r="J283" i="2"/>
  <c r="I283" i="2"/>
  <c r="L282" i="2"/>
  <c r="K282" i="2"/>
  <c r="J282" i="2"/>
  <c r="I282" i="2"/>
  <c r="L281" i="2"/>
  <c r="K281" i="2"/>
  <c r="J281" i="2"/>
  <c r="I281" i="2"/>
  <c r="L280" i="2"/>
  <c r="K280" i="2"/>
  <c r="J280" i="2"/>
  <c r="I280" i="2"/>
  <c r="L279" i="2"/>
  <c r="K279" i="2"/>
  <c r="J279" i="2"/>
  <c r="I279" i="2"/>
  <c r="L278" i="2"/>
  <c r="K278" i="2"/>
  <c r="J278" i="2"/>
  <c r="I278" i="2"/>
  <c r="L277" i="2"/>
  <c r="K277" i="2"/>
  <c r="J277" i="2"/>
  <c r="I277" i="2"/>
  <c r="L276" i="2"/>
  <c r="K276" i="2"/>
  <c r="J276" i="2"/>
  <c r="I276" i="2"/>
  <c r="L275" i="2"/>
  <c r="K275" i="2"/>
  <c r="J275" i="2"/>
  <c r="I275" i="2"/>
  <c r="L274" i="2"/>
  <c r="K274" i="2"/>
  <c r="J274" i="2"/>
  <c r="I274" i="2"/>
  <c r="L273" i="2"/>
  <c r="K273" i="2"/>
  <c r="J273" i="2"/>
  <c r="I273" i="2"/>
  <c r="L272" i="2"/>
  <c r="K272" i="2"/>
  <c r="J272" i="2"/>
  <c r="I272" i="2"/>
  <c r="L271" i="2"/>
  <c r="K271" i="2"/>
  <c r="J271" i="2"/>
  <c r="I271" i="2"/>
  <c r="L270" i="2"/>
  <c r="K270" i="2"/>
  <c r="J270" i="2"/>
  <c r="I270" i="2"/>
  <c r="L269" i="2"/>
  <c r="K269" i="2"/>
  <c r="J269" i="2"/>
  <c r="I269" i="2"/>
  <c r="L268" i="2"/>
  <c r="K268" i="2"/>
  <c r="J268" i="2"/>
  <c r="I268" i="2"/>
  <c r="L267" i="2"/>
  <c r="K267" i="2"/>
  <c r="J267" i="2"/>
  <c r="I267" i="2"/>
  <c r="L266" i="2"/>
  <c r="K266" i="2"/>
  <c r="J266" i="2"/>
  <c r="I266" i="2"/>
  <c r="L265" i="2"/>
  <c r="K265" i="2"/>
  <c r="J265" i="2"/>
  <c r="I265" i="2"/>
  <c r="L264" i="2"/>
  <c r="K264" i="2"/>
  <c r="J264" i="2"/>
  <c r="I264" i="2"/>
  <c r="L263" i="2"/>
  <c r="K263" i="2"/>
  <c r="J263" i="2"/>
  <c r="I263" i="2"/>
  <c r="L262" i="2"/>
  <c r="K262" i="2"/>
  <c r="J262" i="2"/>
  <c r="I262" i="2"/>
  <c r="L261" i="2"/>
  <c r="K261" i="2"/>
  <c r="J261" i="2"/>
  <c r="I261" i="2"/>
  <c r="L260" i="2"/>
  <c r="K260" i="2"/>
  <c r="J260" i="2"/>
  <c r="I260" i="2"/>
  <c r="L259" i="2"/>
  <c r="K259" i="2"/>
  <c r="J259" i="2"/>
  <c r="I259" i="2"/>
  <c r="L258" i="2"/>
  <c r="K258" i="2"/>
  <c r="J258" i="2"/>
  <c r="I258" i="2"/>
  <c r="L257" i="2"/>
  <c r="K257" i="2"/>
  <c r="J257" i="2"/>
  <c r="I257" i="2"/>
  <c r="L256" i="2"/>
  <c r="K256" i="2"/>
  <c r="J256" i="2"/>
  <c r="I256" i="2"/>
  <c r="L255" i="2"/>
  <c r="K255" i="2"/>
  <c r="J255" i="2"/>
  <c r="I255" i="2"/>
  <c r="L254" i="2"/>
  <c r="K254" i="2"/>
  <c r="J254" i="2"/>
  <c r="I254" i="2"/>
  <c r="L253" i="2"/>
  <c r="K253" i="2"/>
  <c r="J253" i="2"/>
  <c r="I253" i="2"/>
  <c r="L252" i="2"/>
  <c r="K252" i="2"/>
  <c r="J252" i="2"/>
  <c r="I252" i="2"/>
  <c r="L251" i="2"/>
  <c r="K251" i="2"/>
  <c r="J251" i="2"/>
  <c r="I251" i="2"/>
  <c r="L250" i="2"/>
  <c r="K250" i="2"/>
  <c r="J250" i="2"/>
  <c r="I250" i="2"/>
  <c r="L249" i="2"/>
  <c r="K249" i="2"/>
  <c r="J249" i="2"/>
  <c r="I249" i="2"/>
  <c r="L248" i="2"/>
  <c r="K248" i="2"/>
  <c r="J248" i="2"/>
  <c r="I248" i="2"/>
  <c r="L247" i="2"/>
  <c r="K247" i="2"/>
  <c r="J247" i="2"/>
  <c r="I247" i="2"/>
  <c r="L246" i="2"/>
  <c r="K246" i="2"/>
  <c r="J246" i="2"/>
  <c r="I246" i="2"/>
  <c r="L245" i="2"/>
  <c r="K245" i="2"/>
  <c r="J245" i="2"/>
  <c r="I245" i="2"/>
  <c r="L244" i="2"/>
  <c r="K244" i="2"/>
  <c r="J244" i="2"/>
  <c r="I244" i="2"/>
  <c r="L243" i="2"/>
  <c r="K243" i="2"/>
  <c r="J243" i="2"/>
  <c r="I243" i="2"/>
  <c r="L242" i="2"/>
  <c r="K242" i="2"/>
  <c r="J242" i="2"/>
  <c r="I242" i="2"/>
  <c r="L241" i="2"/>
  <c r="K241" i="2"/>
  <c r="J241" i="2"/>
  <c r="I241" i="2"/>
  <c r="L240" i="2"/>
  <c r="K240" i="2"/>
  <c r="J240" i="2"/>
  <c r="I240" i="2"/>
  <c r="L239" i="2"/>
  <c r="K239" i="2"/>
  <c r="J239" i="2"/>
  <c r="I239" i="2"/>
  <c r="L238" i="2"/>
  <c r="K238" i="2"/>
  <c r="J238" i="2"/>
  <c r="I238" i="2"/>
  <c r="L237" i="2"/>
  <c r="K237" i="2"/>
  <c r="J237" i="2"/>
  <c r="I237" i="2"/>
  <c r="L236" i="2"/>
  <c r="K236" i="2"/>
  <c r="J236" i="2"/>
  <c r="I236" i="2"/>
  <c r="L235" i="2"/>
  <c r="K235" i="2"/>
  <c r="J235" i="2"/>
  <c r="I235" i="2"/>
  <c r="L234" i="2"/>
  <c r="K234" i="2"/>
  <c r="J234" i="2"/>
  <c r="I234" i="2"/>
  <c r="L233" i="2"/>
  <c r="K233" i="2"/>
  <c r="J233" i="2"/>
  <c r="I233" i="2"/>
  <c r="L232" i="2"/>
  <c r="K232" i="2"/>
  <c r="J232" i="2"/>
  <c r="I232" i="2"/>
  <c r="L231" i="2"/>
  <c r="K231" i="2"/>
  <c r="J231" i="2"/>
  <c r="I231" i="2"/>
  <c r="L230" i="2"/>
  <c r="K230" i="2"/>
  <c r="J230" i="2"/>
  <c r="I230" i="2"/>
  <c r="L229" i="2"/>
  <c r="K229" i="2"/>
  <c r="J229" i="2"/>
  <c r="I229" i="2"/>
  <c r="L228" i="2"/>
  <c r="K228" i="2"/>
  <c r="J228" i="2"/>
  <c r="I228" i="2"/>
  <c r="L227" i="2"/>
  <c r="K227" i="2"/>
  <c r="J227" i="2"/>
  <c r="I227" i="2"/>
  <c r="L226" i="2"/>
  <c r="K226" i="2"/>
  <c r="J226" i="2"/>
  <c r="I226" i="2"/>
  <c r="L225" i="2"/>
  <c r="K225" i="2"/>
  <c r="J225" i="2"/>
  <c r="I225" i="2"/>
  <c r="L224" i="2"/>
  <c r="K224" i="2"/>
  <c r="J224" i="2"/>
  <c r="I224" i="2"/>
  <c r="L223" i="2"/>
  <c r="K223" i="2"/>
  <c r="J223" i="2"/>
  <c r="I223" i="2"/>
  <c r="L222" i="2"/>
  <c r="K222" i="2"/>
  <c r="J222" i="2"/>
  <c r="I222" i="2"/>
  <c r="L221" i="2"/>
  <c r="K221" i="2"/>
  <c r="J221" i="2"/>
  <c r="I221" i="2"/>
  <c r="L220" i="2"/>
  <c r="K220" i="2"/>
  <c r="J220" i="2"/>
  <c r="I220" i="2"/>
  <c r="L219" i="2"/>
  <c r="K219" i="2"/>
  <c r="J219" i="2"/>
  <c r="I219" i="2"/>
  <c r="L218" i="2"/>
  <c r="K218" i="2"/>
  <c r="J218" i="2"/>
  <c r="I218" i="2"/>
  <c r="L217" i="2"/>
  <c r="K217" i="2"/>
  <c r="J217" i="2"/>
  <c r="I217" i="2"/>
  <c r="L216" i="2"/>
  <c r="K216" i="2"/>
  <c r="J216" i="2"/>
  <c r="I216" i="2"/>
  <c r="L215" i="2"/>
  <c r="K215" i="2"/>
  <c r="J215" i="2"/>
  <c r="I215" i="2"/>
  <c r="L214" i="2"/>
  <c r="K214" i="2"/>
  <c r="J214" i="2"/>
  <c r="I214" i="2"/>
  <c r="L213" i="2"/>
  <c r="K213" i="2"/>
  <c r="J213" i="2"/>
  <c r="I213" i="2"/>
  <c r="L212" i="2"/>
  <c r="K212" i="2"/>
  <c r="J212" i="2"/>
  <c r="I212" i="2"/>
  <c r="L211" i="2"/>
  <c r="K211" i="2"/>
  <c r="J211" i="2"/>
  <c r="I211" i="2"/>
  <c r="L210" i="2"/>
  <c r="K210" i="2"/>
  <c r="J210" i="2"/>
  <c r="I210" i="2"/>
  <c r="L209" i="2"/>
  <c r="K209" i="2"/>
  <c r="J209" i="2"/>
  <c r="I209" i="2"/>
  <c r="L208" i="2"/>
  <c r="K208" i="2"/>
  <c r="J208" i="2"/>
  <c r="I208" i="2"/>
  <c r="L207" i="2"/>
  <c r="K207" i="2"/>
  <c r="J207" i="2"/>
  <c r="I207" i="2"/>
  <c r="L206" i="2"/>
  <c r="K206" i="2"/>
  <c r="J206" i="2"/>
  <c r="I206" i="2"/>
  <c r="L205" i="2"/>
  <c r="K205" i="2"/>
  <c r="J205" i="2"/>
  <c r="I205" i="2"/>
  <c r="L204" i="2"/>
  <c r="K204" i="2"/>
  <c r="J204" i="2"/>
  <c r="I204" i="2"/>
  <c r="L203" i="2"/>
  <c r="K203" i="2"/>
  <c r="J203" i="2"/>
  <c r="I203" i="2"/>
  <c r="L202" i="2"/>
  <c r="K202" i="2"/>
  <c r="J202" i="2"/>
  <c r="I202" i="2"/>
  <c r="L201" i="2"/>
  <c r="K201" i="2"/>
  <c r="J201" i="2"/>
  <c r="I201" i="2"/>
  <c r="L200" i="2"/>
  <c r="K200" i="2"/>
  <c r="J200" i="2"/>
  <c r="I200" i="2"/>
  <c r="L199" i="2"/>
  <c r="K199" i="2"/>
  <c r="J199" i="2"/>
  <c r="I199" i="2"/>
  <c r="L198" i="2"/>
  <c r="K198" i="2"/>
  <c r="J198" i="2"/>
  <c r="I198" i="2"/>
  <c r="L197" i="2"/>
  <c r="K197" i="2"/>
  <c r="J197" i="2"/>
  <c r="I197" i="2"/>
  <c r="L196" i="2"/>
  <c r="K196" i="2"/>
  <c r="J196" i="2"/>
  <c r="I196" i="2"/>
  <c r="L195" i="2"/>
  <c r="K195" i="2"/>
  <c r="J195" i="2"/>
  <c r="I195" i="2"/>
  <c r="L194" i="2"/>
  <c r="K194" i="2"/>
  <c r="J194" i="2"/>
  <c r="I194" i="2"/>
  <c r="L193" i="2"/>
  <c r="K193" i="2"/>
  <c r="J193" i="2"/>
  <c r="I193" i="2"/>
  <c r="L192" i="2"/>
  <c r="K192" i="2"/>
  <c r="J192" i="2"/>
  <c r="I192" i="2"/>
  <c r="L191" i="2"/>
  <c r="K191" i="2"/>
  <c r="J191" i="2"/>
  <c r="I191" i="2"/>
  <c r="L190" i="2"/>
  <c r="K190" i="2"/>
  <c r="J190" i="2"/>
  <c r="I190" i="2"/>
  <c r="L189" i="2"/>
  <c r="K189" i="2"/>
  <c r="J189" i="2"/>
  <c r="I189" i="2"/>
  <c r="L188" i="2"/>
  <c r="K188" i="2"/>
  <c r="J188" i="2"/>
  <c r="I188" i="2"/>
  <c r="L187" i="2"/>
  <c r="K187" i="2"/>
  <c r="J187" i="2"/>
  <c r="I187" i="2"/>
  <c r="L186" i="2"/>
  <c r="K186" i="2"/>
  <c r="J186" i="2"/>
  <c r="I186" i="2"/>
  <c r="L185" i="2"/>
  <c r="K185" i="2"/>
  <c r="J185" i="2"/>
  <c r="I185" i="2"/>
  <c r="L184" i="2"/>
  <c r="K184" i="2"/>
  <c r="J184" i="2"/>
  <c r="I184" i="2"/>
  <c r="L183" i="2"/>
  <c r="K183" i="2"/>
  <c r="J183" i="2"/>
  <c r="I183" i="2"/>
  <c r="L182" i="2"/>
  <c r="K182" i="2"/>
  <c r="J182" i="2"/>
  <c r="I182" i="2"/>
  <c r="L181" i="2"/>
  <c r="K181" i="2"/>
  <c r="J181" i="2"/>
  <c r="I181" i="2"/>
  <c r="L180" i="2"/>
  <c r="K180" i="2"/>
  <c r="J180" i="2"/>
  <c r="I180" i="2"/>
  <c r="L179" i="2"/>
  <c r="K179" i="2"/>
  <c r="J179" i="2"/>
  <c r="I179" i="2"/>
  <c r="L178" i="2"/>
  <c r="K178" i="2"/>
  <c r="J178" i="2"/>
  <c r="I178" i="2"/>
  <c r="L177" i="2"/>
  <c r="K177" i="2"/>
  <c r="J177" i="2"/>
  <c r="I177" i="2"/>
  <c r="L176" i="2"/>
  <c r="K176" i="2"/>
  <c r="J176" i="2"/>
  <c r="I176" i="2"/>
  <c r="L175" i="2"/>
  <c r="K175" i="2"/>
  <c r="J175" i="2"/>
  <c r="I175" i="2"/>
  <c r="L174" i="2"/>
  <c r="K174" i="2"/>
  <c r="J174" i="2"/>
  <c r="I174" i="2"/>
  <c r="L173" i="2"/>
  <c r="K173" i="2"/>
  <c r="J173" i="2"/>
  <c r="I173" i="2"/>
  <c r="L172" i="2"/>
  <c r="K172" i="2"/>
  <c r="J172" i="2"/>
  <c r="I172" i="2"/>
  <c r="L171" i="2"/>
  <c r="K171" i="2"/>
  <c r="J171" i="2"/>
  <c r="I171" i="2"/>
  <c r="L170" i="2"/>
  <c r="K170" i="2"/>
  <c r="J170" i="2"/>
  <c r="I170" i="2"/>
  <c r="L169" i="2"/>
  <c r="K169" i="2"/>
  <c r="J169" i="2"/>
  <c r="I169" i="2"/>
  <c r="L168" i="2"/>
  <c r="K168" i="2"/>
  <c r="J168" i="2"/>
  <c r="I168" i="2"/>
  <c r="L167" i="2"/>
  <c r="K167" i="2"/>
  <c r="J167" i="2"/>
  <c r="I167" i="2"/>
  <c r="L166" i="2"/>
  <c r="K166" i="2"/>
  <c r="J166" i="2"/>
  <c r="I166" i="2"/>
  <c r="L165" i="2"/>
  <c r="K165" i="2"/>
  <c r="J165" i="2"/>
  <c r="I165" i="2"/>
  <c r="L164" i="2"/>
  <c r="K164" i="2"/>
  <c r="J164" i="2"/>
  <c r="I164" i="2"/>
  <c r="L163" i="2"/>
  <c r="K163" i="2"/>
  <c r="J163" i="2"/>
  <c r="I163" i="2"/>
  <c r="L162" i="2"/>
  <c r="K162" i="2"/>
  <c r="J162" i="2"/>
  <c r="I162" i="2"/>
  <c r="L161" i="2"/>
  <c r="K161" i="2"/>
  <c r="J161" i="2"/>
  <c r="I161" i="2"/>
  <c r="L160" i="2"/>
  <c r="K160" i="2"/>
  <c r="J160" i="2"/>
  <c r="I160" i="2"/>
  <c r="L159" i="2"/>
  <c r="K159" i="2"/>
  <c r="J159" i="2"/>
  <c r="I159" i="2"/>
  <c r="L158" i="2"/>
  <c r="K158" i="2"/>
  <c r="J158" i="2"/>
  <c r="I158" i="2"/>
  <c r="L157" i="2"/>
  <c r="K157" i="2"/>
  <c r="J157" i="2"/>
  <c r="I157" i="2"/>
  <c r="L156" i="2"/>
  <c r="K156" i="2"/>
  <c r="J156" i="2"/>
  <c r="I156" i="2"/>
  <c r="L155" i="2"/>
  <c r="K155" i="2"/>
  <c r="J155" i="2"/>
  <c r="I155" i="2"/>
  <c r="L154" i="2"/>
  <c r="K154" i="2"/>
  <c r="J154" i="2"/>
  <c r="I154" i="2"/>
  <c r="L153" i="2"/>
  <c r="K153" i="2"/>
  <c r="J153" i="2"/>
  <c r="I153" i="2"/>
  <c r="L152" i="2"/>
  <c r="K152" i="2"/>
  <c r="J152" i="2"/>
  <c r="I152" i="2"/>
  <c r="L151" i="2"/>
  <c r="K151" i="2"/>
  <c r="J151" i="2"/>
  <c r="I151" i="2"/>
  <c r="L150" i="2"/>
  <c r="K150" i="2"/>
  <c r="J150" i="2"/>
  <c r="I150" i="2"/>
  <c r="L149" i="2"/>
  <c r="K149" i="2"/>
  <c r="J149" i="2"/>
  <c r="I149" i="2"/>
  <c r="L148" i="2"/>
  <c r="K148" i="2"/>
  <c r="J148" i="2"/>
  <c r="I148" i="2"/>
  <c r="L147" i="2"/>
  <c r="K147" i="2"/>
  <c r="J147" i="2"/>
  <c r="I147" i="2"/>
  <c r="L146" i="2"/>
  <c r="K146" i="2"/>
  <c r="J146" i="2"/>
  <c r="I146" i="2"/>
  <c r="L145" i="2"/>
  <c r="K145" i="2"/>
  <c r="J145" i="2"/>
  <c r="I145" i="2"/>
  <c r="L144" i="2"/>
  <c r="K144" i="2"/>
  <c r="J144" i="2"/>
  <c r="I144" i="2"/>
  <c r="L143" i="2"/>
  <c r="K143" i="2"/>
  <c r="J143" i="2"/>
  <c r="I143" i="2"/>
  <c r="L142" i="2"/>
  <c r="K142" i="2"/>
  <c r="J142" i="2"/>
  <c r="I142" i="2"/>
  <c r="L141" i="2"/>
  <c r="K141" i="2"/>
  <c r="J141" i="2"/>
  <c r="I141" i="2"/>
  <c r="L140" i="2"/>
  <c r="K140" i="2"/>
  <c r="J140" i="2"/>
  <c r="I140" i="2"/>
  <c r="L139" i="2"/>
  <c r="K139" i="2"/>
  <c r="J139" i="2"/>
  <c r="I139" i="2"/>
  <c r="L138" i="2"/>
  <c r="K138" i="2"/>
  <c r="J138" i="2"/>
  <c r="I138" i="2"/>
  <c r="L137" i="2"/>
  <c r="K137" i="2"/>
  <c r="J137" i="2"/>
  <c r="I137" i="2"/>
  <c r="L136" i="2"/>
  <c r="K136" i="2"/>
  <c r="J136" i="2"/>
  <c r="I136" i="2"/>
  <c r="L135" i="2"/>
  <c r="K135" i="2"/>
  <c r="J135" i="2"/>
  <c r="I135" i="2"/>
  <c r="L134" i="2"/>
  <c r="K134" i="2"/>
  <c r="J134" i="2"/>
  <c r="I134" i="2"/>
  <c r="L133" i="2"/>
  <c r="K133" i="2"/>
  <c r="J133" i="2"/>
  <c r="I133" i="2"/>
  <c r="L132" i="2"/>
  <c r="K132" i="2"/>
  <c r="J132" i="2"/>
  <c r="I132" i="2"/>
  <c r="L131" i="2"/>
  <c r="K131" i="2"/>
  <c r="J131" i="2"/>
  <c r="I131" i="2"/>
  <c r="L130" i="2"/>
  <c r="K130" i="2"/>
  <c r="J130" i="2"/>
  <c r="I130" i="2"/>
  <c r="L129" i="2"/>
  <c r="K129" i="2"/>
  <c r="J129" i="2"/>
  <c r="I129" i="2"/>
  <c r="L128" i="2"/>
  <c r="K128" i="2"/>
  <c r="J128" i="2"/>
  <c r="I128" i="2"/>
  <c r="L127" i="2"/>
  <c r="K127" i="2"/>
  <c r="J127" i="2"/>
  <c r="I127" i="2"/>
  <c r="L126" i="2"/>
  <c r="K126" i="2"/>
  <c r="J126" i="2"/>
  <c r="I126" i="2"/>
  <c r="L125" i="2"/>
  <c r="K125" i="2"/>
  <c r="J125" i="2"/>
  <c r="I125" i="2"/>
  <c r="L124" i="2"/>
  <c r="K124" i="2"/>
  <c r="J124" i="2"/>
  <c r="I124" i="2"/>
  <c r="L123" i="2"/>
  <c r="K123" i="2"/>
  <c r="J123" i="2"/>
  <c r="I123" i="2"/>
  <c r="L122" i="2"/>
  <c r="K122" i="2"/>
  <c r="J122" i="2"/>
  <c r="I122" i="2"/>
  <c r="L121" i="2"/>
  <c r="K121" i="2"/>
  <c r="J121" i="2"/>
  <c r="I121" i="2"/>
  <c r="L120" i="2"/>
  <c r="K120" i="2"/>
  <c r="J120" i="2"/>
  <c r="I120" i="2"/>
  <c r="L119" i="2"/>
  <c r="K119" i="2"/>
  <c r="J119" i="2"/>
  <c r="I119" i="2"/>
  <c r="L118" i="2"/>
  <c r="K118" i="2"/>
  <c r="J118" i="2"/>
  <c r="I118" i="2"/>
  <c r="L117" i="2"/>
  <c r="K117" i="2"/>
  <c r="J117" i="2"/>
  <c r="I117" i="2"/>
  <c r="L116" i="2"/>
  <c r="K116" i="2"/>
  <c r="J116" i="2"/>
  <c r="I116" i="2"/>
  <c r="L115" i="2"/>
  <c r="K115" i="2"/>
  <c r="J115" i="2"/>
  <c r="I115" i="2"/>
  <c r="L114" i="2"/>
  <c r="K114" i="2"/>
  <c r="J114" i="2"/>
  <c r="I114" i="2"/>
  <c r="L113" i="2"/>
  <c r="K113" i="2"/>
  <c r="J113" i="2"/>
  <c r="I113" i="2"/>
  <c r="L112" i="2"/>
  <c r="K112" i="2"/>
  <c r="J112" i="2"/>
  <c r="I112" i="2"/>
  <c r="L111" i="2"/>
  <c r="K111" i="2"/>
  <c r="J111" i="2"/>
  <c r="I111" i="2"/>
  <c r="L110" i="2"/>
  <c r="K110" i="2"/>
  <c r="J110" i="2"/>
  <c r="I110" i="2"/>
  <c r="L109" i="2"/>
  <c r="K109" i="2"/>
  <c r="J109" i="2"/>
  <c r="I109" i="2"/>
  <c r="L108" i="2"/>
  <c r="K108" i="2"/>
  <c r="J108" i="2"/>
  <c r="I108" i="2"/>
  <c r="L107" i="2"/>
  <c r="K107" i="2"/>
  <c r="J107" i="2"/>
  <c r="I107" i="2"/>
  <c r="L106" i="2"/>
  <c r="K106" i="2"/>
  <c r="J106" i="2"/>
  <c r="I106" i="2"/>
  <c r="L105" i="2"/>
  <c r="K105" i="2"/>
  <c r="J105" i="2"/>
  <c r="I105" i="2"/>
  <c r="L104" i="2"/>
  <c r="K104" i="2"/>
  <c r="J104" i="2"/>
  <c r="I104" i="2"/>
  <c r="L103" i="2"/>
  <c r="K103" i="2"/>
  <c r="J103" i="2"/>
  <c r="I103" i="2"/>
  <c r="L102" i="2"/>
  <c r="K102" i="2"/>
  <c r="J102" i="2"/>
  <c r="I102" i="2"/>
  <c r="L101" i="2"/>
  <c r="K101" i="2"/>
  <c r="J101" i="2"/>
  <c r="I101" i="2"/>
  <c r="L100" i="2"/>
  <c r="K100" i="2"/>
  <c r="J100" i="2"/>
  <c r="I100" i="2"/>
  <c r="L99" i="2"/>
  <c r="K99" i="2"/>
  <c r="J99" i="2"/>
  <c r="I99" i="2"/>
  <c r="L98" i="2"/>
  <c r="K98" i="2"/>
  <c r="J98" i="2"/>
  <c r="I98" i="2"/>
  <c r="L97" i="2"/>
  <c r="K97" i="2"/>
  <c r="J97" i="2"/>
  <c r="I97" i="2"/>
  <c r="L96" i="2"/>
  <c r="K96" i="2"/>
  <c r="J96" i="2"/>
  <c r="I96" i="2"/>
  <c r="L95" i="2"/>
  <c r="K95" i="2"/>
  <c r="J95" i="2"/>
  <c r="I95" i="2"/>
  <c r="L94" i="2"/>
  <c r="K94" i="2"/>
  <c r="J94" i="2"/>
  <c r="I94" i="2"/>
  <c r="L93" i="2"/>
  <c r="K93" i="2"/>
  <c r="J93" i="2"/>
  <c r="I93" i="2"/>
  <c r="L92" i="2"/>
  <c r="K92" i="2"/>
  <c r="J92" i="2"/>
  <c r="I92" i="2"/>
  <c r="L91" i="2"/>
  <c r="K91" i="2"/>
  <c r="J91" i="2"/>
  <c r="I91" i="2"/>
  <c r="L90" i="2"/>
  <c r="K90" i="2"/>
  <c r="J90" i="2"/>
  <c r="I90" i="2"/>
  <c r="L89" i="2"/>
  <c r="K89" i="2"/>
  <c r="J89" i="2"/>
  <c r="I89" i="2"/>
  <c r="L88" i="2"/>
  <c r="K88" i="2"/>
  <c r="J88" i="2"/>
  <c r="I88" i="2"/>
  <c r="L87" i="2"/>
  <c r="K87" i="2"/>
  <c r="J87" i="2"/>
  <c r="I87" i="2"/>
  <c r="L86" i="2"/>
  <c r="K86" i="2"/>
  <c r="J86" i="2"/>
  <c r="I86" i="2"/>
  <c r="L85" i="2"/>
  <c r="K85" i="2"/>
  <c r="J85" i="2"/>
  <c r="I85" i="2"/>
  <c r="L84" i="2"/>
  <c r="K84" i="2"/>
  <c r="J84" i="2"/>
  <c r="I84" i="2"/>
  <c r="L83" i="2"/>
  <c r="K83" i="2"/>
  <c r="J83" i="2"/>
  <c r="I83" i="2"/>
  <c r="L82" i="2"/>
  <c r="K82" i="2"/>
  <c r="J82" i="2"/>
  <c r="I82" i="2"/>
  <c r="L81" i="2"/>
  <c r="K81" i="2"/>
  <c r="J81" i="2"/>
  <c r="I81" i="2"/>
  <c r="L80" i="2"/>
  <c r="K80" i="2"/>
  <c r="J80" i="2"/>
  <c r="I80" i="2"/>
  <c r="L79" i="2"/>
  <c r="K79" i="2"/>
  <c r="J79" i="2"/>
  <c r="I79" i="2"/>
  <c r="L78" i="2"/>
  <c r="K78" i="2"/>
  <c r="J78" i="2"/>
  <c r="I78" i="2"/>
  <c r="L77" i="2"/>
  <c r="K77" i="2"/>
  <c r="J77" i="2"/>
  <c r="I77" i="2"/>
  <c r="L76" i="2"/>
  <c r="K76" i="2"/>
  <c r="J76" i="2"/>
  <c r="I76" i="2"/>
  <c r="L75" i="2"/>
  <c r="K75" i="2"/>
  <c r="J75" i="2"/>
  <c r="I75" i="2"/>
  <c r="L74" i="2"/>
  <c r="K74" i="2"/>
  <c r="J74" i="2"/>
  <c r="I74" i="2"/>
  <c r="L73" i="2"/>
  <c r="K73" i="2"/>
  <c r="J73" i="2"/>
  <c r="I73" i="2"/>
  <c r="L72" i="2"/>
  <c r="K72" i="2"/>
  <c r="J72" i="2"/>
  <c r="I72" i="2"/>
  <c r="L71" i="2"/>
  <c r="K71" i="2"/>
  <c r="J71" i="2"/>
  <c r="I71" i="2"/>
  <c r="L70" i="2"/>
  <c r="K70" i="2"/>
  <c r="J70" i="2"/>
  <c r="I70" i="2"/>
  <c r="L69" i="2"/>
  <c r="K69" i="2"/>
  <c r="J69" i="2"/>
  <c r="I69" i="2"/>
  <c r="L68" i="2"/>
  <c r="K68" i="2"/>
  <c r="J68" i="2"/>
  <c r="I68" i="2"/>
  <c r="L67" i="2"/>
  <c r="K67" i="2"/>
  <c r="J67" i="2"/>
  <c r="I67" i="2"/>
  <c r="L66" i="2"/>
  <c r="K66" i="2"/>
  <c r="J66" i="2"/>
  <c r="I66" i="2"/>
  <c r="L65" i="2"/>
  <c r="K65" i="2"/>
  <c r="J65" i="2"/>
  <c r="I65" i="2"/>
  <c r="L64" i="2"/>
  <c r="K64" i="2"/>
  <c r="J64" i="2"/>
  <c r="I64" i="2"/>
  <c r="L63" i="2"/>
  <c r="K63" i="2"/>
  <c r="J63" i="2"/>
  <c r="I63" i="2"/>
  <c r="L62" i="2"/>
  <c r="K62" i="2"/>
  <c r="J62" i="2"/>
  <c r="I62" i="2"/>
  <c r="L61" i="2"/>
  <c r="K61" i="2"/>
  <c r="J61" i="2"/>
  <c r="I61" i="2"/>
  <c r="L60" i="2"/>
  <c r="K60" i="2"/>
  <c r="J60" i="2"/>
  <c r="I60" i="2"/>
  <c r="L59" i="2"/>
  <c r="K59" i="2"/>
  <c r="J59" i="2"/>
  <c r="I59" i="2"/>
  <c r="L58" i="2"/>
  <c r="K58" i="2"/>
  <c r="J58" i="2"/>
  <c r="I58" i="2"/>
  <c r="L57" i="2"/>
  <c r="K57" i="2"/>
  <c r="J57" i="2"/>
  <c r="I57" i="2"/>
  <c r="L56" i="2"/>
  <c r="K56" i="2"/>
  <c r="J56" i="2"/>
  <c r="I56" i="2"/>
  <c r="L55" i="2"/>
  <c r="K55" i="2"/>
  <c r="J55" i="2"/>
  <c r="I55" i="2"/>
  <c r="L54" i="2"/>
  <c r="K54" i="2"/>
  <c r="J54" i="2"/>
  <c r="I54" i="2"/>
  <c r="L53" i="2"/>
  <c r="K53" i="2"/>
  <c r="J53" i="2"/>
  <c r="I53" i="2"/>
  <c r="L52" i="2"/>
  <c r="K52" i="2"/>
  <c r="J52" i="2"/>
  <c r="I52" i="2"/>
  <c r="L51" i="2"/>
  <c r="K51" i="2"/>
  <c r="J51" i="2"/>
  <c r="I51" i="2"/>
  <c r="L50" i="2"/>
  <c r="K50" i="2"/>
  <c r="J50" i="2"/>
  <c r="I50" i="2"/>
  <c r="L49" i="2"/>
  <c r="K49" i="2"/>
  <c r="J49" i="2"/>
  <c r="I49" i="2"/>
  <c r="L48" i="2"/>
  <c r="K48" i="2"/>
  <c r="J48" i="2"/>
  <c r="I48" i="2"/>
  <c r="L47" i="2"/>
  <c r="K47" i="2"/>
  <c r="J47" i="2"/>
  <c r="I47" i="2"/>
  <c r="L46" i="2"/>
  <c r="K46" i="2"/>
  <c r="J46" i="2"/>
  <c r="I46" i="2"/>
  <c r="L45" i="2"/>
  <c r="K45" i="2"/>
  <c r="J45" i="2"/>
  <c r="I45" i="2"/>
  <c r="L44" i="2"/>
  <c r="K44" i="2"/>
  <c r="J44" i="2"/>
  <c r="I44" i="2"/>
  <c r="L43" i="2"/>
  <c r="K43" i="2"/>
  <c r="J43" i="2"/>
  <c r="I43" i="2"/>
  <c r="L42" i="2"/>
  <c r="K42" i="2"/>
  <c r="J42" i="2"/>
  <c r="I42" i="2"/>
  <c r="L41" i="2"/>
  <c r="K41" i="2"/>
  <c r="J41" i="2"/>
  <c r="I41" i="2"/>
  <c r="L40" i="2"/>
  <c r="K40" i="2"/>
  <c r="J40" i="2"/>
  <c r="I40" i="2"/>
  <c r="L39" i="2"/>
  <c r="K39" i="2"/>
  <c r="J39" i="2"/>
  <c r="I39" i="2"/>
  <c r="L38" i="2"/>
  <c r="K38" i="2"/>
  <c r="J38" i="2"/>
  <c r="I38" i="2"/>
  <c r="L37" i="2"/>
  <c r="K37" i="2"/>
  <c r="J37" i="2"/>
  <c r="I37" i="2"/>
  <c r="L36" i="2"/>
  <c r="K36" i="2"/>
  <c r="J36" i="2"/>
  <c r="I36" i="2"/>
  <c r="L35" i="2"/>
  <c r="K35" i="2"/>
  <c r="J35" i="2"/>
  <c r="I35" i="2"/>
  <c r="L34" i="2"/>
  <c r="K34" i="2"/>
  <c r="J34" i="2"/>
  <c r="I34" i="2"/>
  <c r="L33" i="2"/>
  <c r="K33" i="2"/>
  <c r="J33" i="2"/>
  <c r="I33" i="2"/>
  <c r="L32" i="2"/>
  <c r="K32" i="2"/>
  <c r="J32" i="2"/>
  <c r="I32" i="2"/>
  <c r="L31" i="2"/>
  <c r="K31" i="2"/>
  <c r="J31" i="2"/>
  <c r="I31" i="2"/>
  <c r="L30" i="2"/>
  <c r="K30" i="2"/>
  <c r="J30" i="2"/>
  <c r="I30" i="2"/>
  <c r="L29" i="2"/>
  <c r="K29" i="2"/>
  <c r="J29" i="2"/>
  <c r="I29" i="2"/>
  <c r="L28" i="2"/>
  <c r="K28" i="2"/>
  <c r="J28" i="2"/>
  <c r="I28" i="2"/>
  <c r="L27" i="2"/>
  <c r="K27" i="2"/>
  <c r="J27" i="2"/>
  <c r="I27" i="2"/>
  <c r="L26" i="2"/>
  <c r="K26" i="2"/>
  <c r="J26" i="2"/>
  <c r="I26" i="2"/>
  <c r="L25" i="2"/>
  <c r="K25" i="2"/>
  <c r="J25" i="2"/>
  <c r="I25" i="2"/>
  <c r="L24" i="2"/>
  <c r="K24" i="2"/>
  <c r="J24" i="2"/>
  <c r="I24" i="2"/>
  <c r="L23" i="2"/>
  <c r="K23" i="2"/>
  <c r="J23" i="2"/>
  <c r="I23" i="2"/>
  <c r="L22" i="2"/>
  <c r="K22" i="2"/>
  <c r="J22" i="2"/>
  <c r="I22" i="2"/>
  <c r="L21" i="2"/>
  <c r="K21" i="2"/>
  <c r="J21" i="2"/>
  <c r="I21" i="2"/>
  <c r="L20" i="2"/>
  <c r="K20" i="2"/>
  <c r="J20" i="2"/>
  <c r="I20" i="2"/>
  <c r="L19" i="2"/>
  <c r="K19" i="2"/>
  <c r="J19" i="2"/>
  <c r="I19" i="2"/>
  <c r="L18" i="2"/>
  <c r="K18" i="2"/>
  <c r="J18" i="2"/>
  <c r="I18" i="2"/>
  <c r="L17" i="2"/>
  <c r="K17" i="2"/>
  <c r="J17" i="2"/>
  <c r="I17" i="2"/>
  <c r="L16" i="2"/>
  <c r="K16" i="2"/>
  <c r="J16" i="2"/>
  <c r="I16" i="2"/>
  <c r="L15" i="2"/>
  <c r="K15" i="2"/>
  <c r="J15" i="2"/>
  <c r="I15" i="2"/>
  <c r="L14" i="2"/>
  <c r="K14" i="2"/>
  <c r="J14" i="2"/>
  <c r="I14" i="2"/>
  <c r="L13" i="2"/>
  <c r="K13" i="2"/>
  <c r="J13" i="2"/>
  <c r="I13" i="2"/>
  <c r="L12" i="2"/>
  <c r="K12" i="2"/>
  <c r="J12" i="2"/>
  <c r="I12" i="2"/>
  <c r="L11" i="2"/>
  <c r="K11" i="2"/>
  <c r="J11" i="2"/>
  <c r="I11" i="2"/>
  <c r="L10" i="2"/>
  <c r="K10" i="2"/>
  <c r="J10" i="2"/>
  <c r="I10" i="2"/>
  <c r="H8" i="2"/>
  <c r="G8" i="2"/>
  <c r="N7" i="2"/>
  <c r="K3" i="2"/>
  <c r="L3" i="2" s="1"/>
  <c r="J3" i="2"/>
  <c r="N1" i="2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105" i="1" l="1"/>
  <c r="H7" i="2" l="1"/>
  <c r="H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Gonzalez Cuevas, Viviana Luz</author>
  </authors>
  <commentList>
    <comment ref="H18" authorId="0" shapeId="0" xr:uid="{920E5C89-9569-4A88-A0A4-D0F0732E4A37}">
      <text>
        <r>
          <rPr>
            <sz val="9"/>
            <color indexed="81"/>
            <rFont val="Tahoma"/>
            <family val="2"/>
          </rPr>
          <t>($96.7k) Jul'22 Steris&amp;QR Cons Accrual reserval</t>
        </r>
      </text>
    </comment>
    <comment ref="AA18" authorId="0" shapeId="0" xr:uid="{CBCBDD34-73C1-42DC-9493-78D12A5EA9E0}">
      <text>
        <r>
          <rPr>
            <sz val="9"/>
            <color indexed="81"/>
            <rFont val="Tahoma"/>
            <family val="2"/>
          </rPr>
          <t>($96.7k) Jul'22 Steris&amp;QR Cons Accrual reserval</t>
        </r>
      </text>
    </comment>
  </commentList>
</comments>
</file>

<file path=xl/sharedStrings.xml><?xml version="1.0" encoding="utf-8"?>
<sst xmlns="http://schemas.openxmlformats.org/spreadsheetml/2006/main" count="8455" uniqueCount="206">
  <si>
    <t>Cost Center</t>
  </si>
  <si>
    <t>Department</t>
  </si>
  <si>
    <t>{Responsible}</t>
  </si>
  <si>
    <t>Cybersecurity</t>
  </si>
  <si>
    <t>FY26 Expenses Budget</t>
  </si>
  <si>
    <t>FY26 Plan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</si>
  <si>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</si>
  <si>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</si>
  <si>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</si>
  <si>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</si>
  <si>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</si>
  <si>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</si>
  <si>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</si>
  <si>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</si>
  <si>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</si>
  <si>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</si>
  <si>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</si>
  <si>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</si>
  <si>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Full Year</t>
  </si>
  <si>
    <t>Wages &amp; Salaries</t>
  </si>
  <si>
    <t>Overtime</t>
  </si>
  <si>
    <t>Fringe Benefits</t>
  </si>
  <si>
    <t>Employee Related Expenses</t>
  </si>
  <si>
    <t>Travel &amp; Entertainment</t>
  </si>
  <si>
    <t>Supplies Expenses</t>
  </si>
  <si>
    <t>Repairs &amp; Maintenance</t>
  </si>
  <si>
    <t>Utilities</t>
  </si>
  <si>
    <t>Outside Services</t>
  </si>
  <si>
    <t>Inbound Freight</t>
  </si>
  <si>
    <t>Other</t>
  </si>
  <si>
    <t>Total Controllable</t>
  </si>
  <si>
    <t>Depreciation</t>
  </si>
  <si>
    <t>Total Spending</t>
  </si>
  <si>
    <t>Appropriation Expense</t>
  </si>
  <si>
    <t>Allocations</t>
  </si>
  <si>
    <t>Net Dept Expense</t>
  </si>
  <si>
    <t>Account Name</t>
  </si>
  <si>
    <t>BVA group</t>
  </si>
  <si>
    <t>IDL Mgt/Salary Wages</t>
  </si>
  <si>
    <t>IDL Hourly Labor Exp</t>
  </si>
  <si>
    <t>IDL Overtime Premium</t>
  </si>
  <si>
    <t>IDL Other Fringe Ben</t>
  </si>
  <si>
    <t>T &amp; E Processing Fee</t>
  </si>
  <si>
    <t>Other Employee Exp</t>
  </si>
  <si>
    <t>Safety Supplies</t>
  </si>
  <si>
    <t>Out Service-On Shore</t>
  </si>
  <si>
    <t> </t>
  </si>
  <si>
    <t>Lab Supplies Expense</t>
  </si>
  <si>
    <t>Employee Activities</t>
  </si>
  <si>
    <t>Computer Hardware</t>
  </si>
  <si>
    <t>Subscriptions</t>
  </si>
  <si>
    <t>Allocation - OCOS</t>
  </si>
  <si>
    <t>BVA Group</t>
  </si>
  <si>
    <t>Exclude:</t>
  </si>
  <si>
    <t>PPV</t>
  </si>
  <si>
    <t>Keep These Formulas</t>
  </si>
  <si>
    <t>MUV</t>
  </si>
  <si>
    <t>SAP CC</t>
  </si>
  <si>
    <t>Description</t>
  </si>
  <si>
    <t>Obj Account</t>
  </si>
  <si>
    <t xml:space="preserve">Keep SAP'd CCs and GL Object Accounts hard coded </t>
  </si>
  <si>
    <t>SLOB</t>
  </si>
  <si>
    <t>Business Unit</t>
  </si>
  <si>
    <t>DL Abs</t>
  </si>
  <si>
    <t>JDE GL</t>
  </si>
  <si>
    <t>Aug-Sep</t>
  </si>
  <si>
    <t>OH Abs</t>
  </si>
  <si>
    <t>SAP</t>
  </si>
  <si>
    <t>FX</t>
  </si>
  <si>
    <t>Business Unit Description</t>
  </si>
  <si>
    <t>Obj Acct</t>
  </si>
  <si>
    <t>Account Description</t>
  </si>
  <si>
    <t>Period</t>
  </si>
  <si>
    <t>Currency Code</t>
  </si>
  <si>
    <t>Amount in LC</t>
  </si>
  <si>
    <t>Amount in USD</t>
  </si>
  <si>
    <t>Month</t>
  </si>
  <si>
    <t xml:space="preserve"> SAP Legacy CC</t>
  </si>
  <si>
    <t>SAP Legacy GL</t>
  </si>
  <si>
    <t>Mapping Rec</t>
  </si>
  <si>
    <t>Source</t>
  </si>
  <si>
    <t>SC - QRA Admin</t>
  </si>
  <si>
    <t>Oth Fringe Bene Exp</t>
  </si>
  <si>
    <t>JDE_GL</t>
  </si>
  <si>
    <t>01110551</t>
  </si>
  <si>
    <t>NonIMExtConsultSrvs-Cont</t>
  </si>
  <si>
    <t>Salary Expense</t>
  </si>
  <si>
    <t>401k ER Match</t>
  </si>
  <si>
    <t>Health Insurance Exp</t>
  </si>
  <si>
    <t>SS/Medicare Expense</t>
  </si>
  <si>
    <t>Disability ER</t>
  </si>
  <si>
    <t>MIP Bonus Expense</t>
  </si>
  <si>
    <t>MIP Bonus Fringe Exp</t>
  </si>
  <si>
    <t>HSA/FSA</t>
  </si>
  <si>
    <t>SC - NA Man. QRA</t>
  </si>
  <si>
    <t>SUTA Expense</t>
  </si>
  <si>
    <t>FUTA Expense</t>
  </si>
  <si>
    <t>PTO Expense</t>
  </si>
  <si>
    <t>Glob HQ - Regulatory Affairs</t>
  </si>
  <si>
    <t>Other Freight</t>
  </si>
  <si>
    <t>Regulatory Fee Exp</t>
  </si>
  <si>
    <t>Employee Prof Licens</t>
  </si>
  <si>
    <t>Airfare Expense</t>
  </si>
  <si>
    <t>Other Leave Exp</t>
  </si>
  <si>
    <t>Employee Wellness</t>
  </si>
  <si>
    <t>Bonus</t>
  </si>
  <si>
    <t>Computer Hardware Supplies</t>
  </si>
  <si>
    <t>Glob HQ - Clin Trials/Studies</t>
  </si>
  <si>
    <t>Consulting Services</t>
  </si>
  <si>
    <t>Glob HQ - MedAffairs/Post Surv</t>
  </si>
  <si>
    <t>Other Travel Expense</t>
  </si>
  <si>
    <t>Meals - Travel</t>
  </si>
  <si>
    <t>Auto Expense</t>
  </si>
  <si>
    <t>Lodging Expense</t>
  </si>
  <si>
    <t>Other Taxes - ER</t>
  </si>
  <si>
    <t>Mileage Reimburse</t>
  </si>
  <si>
    <t>Vendor Credentialing</t>
  </si>
  <si>
    <t>#N/A</t>
  </si>
  <si>
    <t>Seminar &amp; Conf Exp</t>
  </si>
  <si>
    <t>US - Continuing Medical Ed.</t>
  </si>
  <si>
    <t>SC Plant - ACI Qual. Assurance</t>
  </si>
  <si>
    <t>IDL PTO Expense</t>
  </si>
  <si>
    <t>IDL SS/Medicare Expe</t>
  </si>
  <si>
    <t>IDL Health Ins Exp</t>
  </si>
  <si>
    <t>IDL - Disability</t>
  </si>
  <si>
    <t>IDL 401k ER Match</t>
  </si>
  <si>
    <t>Office Supplies</t>
  </si>
  <si>
    <t>Meals - Business</t>
  </si>
  <si>
    <t>IDL MIP Bonus Expense</t>
  </si>
  <si>
    <t>IDL MIP Bonus Fringe Exp</t>
  </si>
  <si>
    <t>Depr-Machine &amp; Equip</t>
  </si>
  <si>
    <t>Variable OH Other</t>
  </si>
  <si>
    <t>IDL Other Wages Expe</t>
  </si>
  <si>
    <t>Temp Labor-On Shore</t>
  </si>
  <si>
    <t>Testing and Assess</t>
  </si>
  <si>
    <t>IDL HSA/FSA</t>
  </si>
  <si>
    <t>Packaging Supp Exp</t>
  </si>
  <si>
    <t>JZ Plant - RECEIVING INSPECTIO</t>
  </si>
  <si>
    <t>IDL Bonus Exp Other</t>
  </si>
  <si>
    <t>Recharge Out</t>
  </si>
  <si>
    <t>JZ Plant - QA Supplier</t>
  </si>
  <si>
    <t>JZ Plant - QA Compliance</t>
  </si>
  <si>
    <t>JZ Plant - TRAINING - OCOS</t>
  </si>
  <si>
    <t>JZ Plant - MICROBIOLOGY - OCOS</t>
  </si>
  <si>
    <t>Out Service-Off Shor</t>
  </si>
  <si>
    <t>Employee Meetings</t>
  </si>
  <si>
    <t>R&amp;M-Machine &amp; Equip</t>
  </si>
  <si>
    <t>JZ Plant - Failure Analysis</t>
  </si>
  <si>
    <t>JZ Plant - ANALYTICAL LAB</t>
  </si>
  <si>
    <t>Other Consumables</t>
  </si>
  <si>
    <t>JZ Plant - QA REGULATORY</t>
  </si>
  <si>
    <t>JZ Plant - QA OPS - OCOS</t>
  </si>
  <si>
    <t>Training Materials</t>
  </si>
  <si>
    <t>Other Tax</t>
  </si>
  <si>
    <t>SC - Sterility Assurance</t>
  </si>
  <si>
    <t>Sales Tax Expense</t>
  </si>
  <si>
    <t>Freight In</t>
  </si>
  <si>
    <t>Auto/Vehicle Rental</t>
  </si>
  <si>
    <t>ML Plant - Extrusion Quality</t>
  </si>
  <si>
    <t>Temp Labor-Off Shore</t>
  </si>
  <si>
    <t>IDL SUTA</t>
  </si>
  <si>
    <t>IDL FUTA</t>
  </si>
  <si>
    <t>MRB/QMS Execution</t>
  </si>
  <si>
    <t>Micro Lab/Analytical</t>
  </si>
  <si>
    <t>SC - QA Admin</t>
  </si>
  <si>
    <t>SC - Validation/Projects</t>
  </si>
  <si>
    <t>SC - EMQA-Supplier Audit</t>
  </si>
  <si>
    <t>Miscellaneous Expense</t>
  </si>
  <si>
    <t>Patient Safety Surveillance</t>
  </si>
  <si>
    <t>Entertain-Non Employ</t>
  </si>
  <si>
    <t>SC - Quality Systems</t>
  </si>
  <si>
    <t>Software as Service</t>
  </si>
  <si>
    <t>Depr-Build Improve</t>
  </si>
  <si>
    <t>Meeting Exp-Internal</t>
  </si>
  <si>
    <t>Software Licenses</t>
  </si>
  <si>
    <t>Post Market Surveillance</t>
  </si>
  <si>
    <t>DL - HSA / FSA</t>
  </si>
  <si>
    <t>CAD</t>
  </si>
  <si>
    <t>A</t>
  </si>
  <si>
    <t>Quality Engineering</t>
  </si>
  <si>
    <t>JPY</t>
  </si>
  <si>
    <t>EUR</t>
  </si>
  <si>
    <t>JZ Plant - Receiving Insp.</t>
  </si>
  <si>
    <t>JZ Plant - NDC Visual-QA</t>
  </si>
  <si>
    <t>JZ Plant - Microbiology</t>
  </si>
  <si>
    <t>Material Scrapped</t>
  </si>
  <si>
    <t>Inv Adj</t>
  </si>
  <si>
    <t>JZ Plant - QA ADMN/OPS</t>
  </si>
  <si>
    <t>JZ Plant - Records Retention</t>
  </si>
  <si>
    <t>JP - Clinical - MYNX</t>
  </si>
  <si>
    <t>Testing and Assessment</t>
  </si>
  <si>
    <t>Build Lease</t>
  </si>
  <si>
    <t>Uniforms Expense</t>
  </si>
  <si>
    <t>Trade Shows</t>
  </si>
  <si>
    <t>Sales Tax</t>
  </si>
  <si>
    <t>Trade PPV</t>
  </si>
  <si>
    <t>IDL - WF Tax</t>
  </si>
  <si>
    <t>JZ Plant - FAILURE ANALYSIS</t>
  </si>
  <si>
    <t>Small Tools Expense</t>
  </si>
  <si>
    <t>IDL Severance Expens</t>
  </si>
  <si>
    <t>Training Expense</t>
  </si>
  <si>
    <t>Total</t>
  </si>
  <si>
    <t>Market Research</t>
  </si>
  <si>
    <t>FY26 ACTUAL</t>
  </si>
  <si>
    <t>JDE Account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</si>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</sst>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b/>
      <sz val="8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79998168889431442"/>
        <bgColor theme="6" tint="0.79998168889431442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/>
      <right/>
      <top/>
      <bottom style="thin">
        <color theme="6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5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>
      <alignment horizontal="center"/>
    </xf>
    <xf numFmtId="0" fontId="4" fillId="0" borderId="0" xfId="3" applyFont="1" applyAlignment="1">
      <alignment horizontal="center" vertical="center" wrapText="1"/>
    </xf>
    <xf numFmtId="0" fontId="8" fillId="4" borderId="3" xfId="3" applyFont="1" applyFill="1" applyBorder="1" applyAlignment="1" applyProtection="1">
      <alignment horizontal="center" vertical="center" wrapText="1"/>
      <protection locked="0"/>
    </xf>
    <xf numFmtId="0" fontId="8" fillId="4" borderId="4" xfId="3" applyFont="1" applyFill="1" applyBorder="1" applyAlignment="1" applyProtection="1">
      <alignment horizontal="center" vertical="center" wrapText="1"/>
      <protection locked="0"/>
    </xf>
    <xf numFmtId="0" fontId="4" fillId="0" borderId="0" xfId="3" applyFont="1" applyAlignment="1">
      <alignment vertical="center"/>
    </xf>
    <xf numFmtId="0" fontId="9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 wrapText="1"/>
    </xf>
    <xf numFmtId="0" fontId="5" fillId="2" borderId="5" xfId="3" applyFont="1" applyFill="1" applyBorder="1" applyAlignment="1">
      <alignment horizontal="center" vertical="center" wrapText="1"/>
    </xf>
    <xf numFmtId="0" fontId="5" fillId="2" borderId="6" xfId="3" applyFont="1" applyFill="1" applyBorder="1" applyAlignment="1">
      <alignment horizontal="center" vertical="center" wrapText="1"/>
    </xf>
    <xf numFmtId="0" fontId="5" fillId="2" borderId="7" xfId="3" applyFont="1" applyFill="1" applyBorder="1" applyAlignment="1">
      <alignment horizontal="center" vertical="center" wrapText="1"/>
    </xf>
    <xf numFmtId="164" fontId="4" fillId="0" borderId="0" xfId="2" applyNumberFormat="1" applyFont="1" applyAlignment="1">
      <alignment horizontal="left" vertical="center"/>
    </xf>
    <xf numFmtId="164" fontId="4" fillId="6" borderId="0" xfId="2" applyNumberFormat="1" applyFont="1" applyFill="1" applyAlignment="1">
      <alignment vertical="center"/>
    </xf>
    <xf numFmtId="164" fontId="4" fillId="0" borderId="8" xfId="2" applyNumberFormat="1" applyFont="1" applyBorder="1" applyAlignment="1">
      <alignment vertical="center"/>
    </xf>
    <xf numFmtId="164" fontId="4" fillId="0" borderId="0" xfId="2" applyNumberFormat="1" applyFont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3" applyFont="1" applyFill="1" applyBorder="1" applyAlignment="1">
      <alignment horizontal="center" vertical="center" wrapText="1"/>
    </xf>
    <xf numFmtId="0" fontId="5" fillId="2" borderId="11" xfId="3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/>
    </xf>
    <xf numFmtId="164" fontId="10" fillId="6" borderId="13" xfId="2" applyNumberFormat="1" applyFont="1" applyFill="1" applyBorder="1" applyAlignment="1" applyProtection="1">
      <alignment vertical="center"/>
      <protection locked="0"/>
    </xf>
    <xf numFmtId="164" fontId="10" fillId="6" borderId="14" xfId="2" applyNumberFormat="1" applyFont="1" applyFill="1" applyBorder="1" applyAlignment="1" applyProtection="1">
      <alignment vertical="center"/>
      <protection locked="0"/>
    </xf>
    <xf numFmtId="164" fontId="10" fillId="6" borderId="15" xfId="2" applyNumberFormat="1" applyFont="1" applyFill="1" applyBorder="1" applyAlignment="1" applyProtection="1">
      <alignment vertical="center"/>
      <protection locked="0"/>
    </xf>
    <xf numFmtId="164" fontId="4" fillId="0" borderId="16" xfId="2" applyNumberFormat="1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" fontId="11" fillId="7" borderId="13" xfId="0" applyNumberFormat="1" applyFont="1" applyFill="1" applyBorder="1"/>
    <xf numFmtId="1" fontId="11" fillId="7" borderId="18" xfId="0" applyNumberFormat="1" applyFont="1" applyFill="1" applyBorder="1"/>
    <xf numFmtId="1" fontId="11" fillId="7" borderId="17" xfId="0" applyNumberFormat="1" applyFont="1" applyFill="1" applyBorder="1"/>
    <xf numFmtId="165" fontId="11" fillId="7" borderId="13" xfId="1" applyNumberFormat="1" applyFont="1" applyFill="1" applyBorder="1"/>
    <xf numFmtId="165" fontId="11" fillId="7" borderId="18" xfId="1" applyNumberFormat="1" applyFont="1" applyFill="1" applyBorder="1"/>
    <xf numFmtId="165" fontId="11" fillId="7" borderId="17" xfId="1" applyNumberFormat="1" applyFont="1" applyFill="1" applyBorder="1"/>
    <xf numFmtId="165" fontId="11" fillId="7" borderId="19" xfId="1" applyNumberFormat="1" applyFont="1" applyFill="1" applyBorder="1"/>
    <xf numFmtId="165" fontId="11" fillId="7" borderId="20" xfId="1" applyNumberFormat="1" applyFont="1" applyFill="1" applyBorder="1"/>
    <xf numFmtId="165" fontId="11" fillId="7" borderId="21" xfId="1" applyNumberFormat="1" applyFont="1" applyFill="1" applyBorder="1"/>
    <xf numFmtId="164" fontId="4" fillId="8" borderId="13" xfId="2" applyNumberFormat="1" applyFont="1" applyFill="1" applyBorder="1" applyAlignment="1" applyProtection="1">
      <alignment vertical="center"/>
      <protection locked="0"/>
    </xf>
    <xf numFmtId="164" fontId="4" fillId="8" borderId="14" xfId="2" applyNumberFormat="1" applyFont="1" applyFill="1" applyBorder="1" applyAlignment="1" applyProtection="1">
      <alignment vertical="center"/>
      <protection locked="0"/>
    </xf>
    <xf numFmtId="164" fontId="4" fillId="8" borderId="22" xfId="2" applyNumberFormat="1" applyFont="1" applyFill="1" applyBorder="1" applyAlignment="1" applyProtection="1">
      <alignment vertical="center"/>
      <protection locked="0"/>
    </xf>
    <xf numFmtId="164" fontId="4" fillId="8" borderId="15" xfId="2" applyNumberFormat="1" applyFont="1" applyFill="1" applyBorder="1" applyAlignment="1" applyProtection="1">
      <alignment vertical="center"/>
      <protection locked="0"/>
    </xf>
    <xf numFmtId="164" fontId="12" fillId="9" borderId="13" xfId="2" applyNumberFormat="1" applyFont="1" applyFill="1" applyBorder="1"/>
    <xf numFmtId="164" fontId="11" fillId="9" borderId="18" xfId="2" applyNumberFormat="1" applyFont="1" applyFill="1" applyBorder="1"/>
    <xf numFmtId="164" fontId="12" fillId="9" borderId="17" xfId="2" applyNumberFormat="1" applyFont="1" applyFill="1" applyBorder="1"/>
    <xf numFmtId="164" fontId="12" fillId="9" borderId="23" xfId="2" applyNumberFormat="1" applyFont="1" applyFill="1" applyBorder="1"/>
    <xf numFmtId="164" fontId="11" fillId="9" borderId="24" xfId="2" applyNumberFormat="1" applyFont="1" applyFill="1" applyBorder="1"/>
    <xf numFmtId="164" fontId="12" fillId="9" borderId="25" xfId="2" applyNumberFormat="1" applyFont="1" applyFill="1" applyBorder="1"/>
    <xf numFmtId="0" fontId="4" fillId="0" borderId="21" xfId="0" applyFont="1" applyBorder="1" applyAlignment="1">
      <alignment vertical="center"/>
    </xf>
    <xf numFmtId="164" fontId="4" fillId="8" borderId="19" xfId="2" applyNumberFormat="1" applyFont="1" applyFill="1" applyBorder="1" applyAlignment="1" applyProtection="1">
      <alignment vertical="center"/>
      <protection locked="0"/>
    </xf>
    <xf numFmtId="164" fontId="4" fillId="8" borderId="26" xfId="2" applyNumberFormat="1" applyFont="1" applyFill="1" applyBorder="1" applyAlignment="1" applyProtection="1">
      <alignment vertical="center"/>
      <protection locked="0"/>
    </xf>
    <xf numFmtId="164" fontId="4" fillId="8" borderId="27" xfId="2" applyNumberFormat="1" applyFont="1" applyFill="1" applyBorder="1" applyAlignment="1" applyProtection="1">
      <alignment vertical="center"/>
      <protection locked="0"/>
    </xf>
    <xf numFmtId="164" fontId="4" fillId="0" borderId="28" xfId="2" applyNumberFormat="1" applyFont="1" applyBorder="1" applyAlignment="1">
      <alignment vertical="center"/>
    </xf>
    <xf numFmtId="165" fontId="4" fillId="0" borderId="0" xfId="1" applyNumberFormat="1" applyFont="1" applyAlignment="1">
      <alignment vertical="center"/>
    </xf>
    <xf numFmtId="43" fontId="0" fillId="0" borderId="0" xfId="1" applyFont="1"/>
    <xf numFmtId="165" fontId="0" fillId="0" borderId="0" xfId="1" applyNumberFormat="1" applyFont="1"/>
    <xf numFmtId="0" fontId="0" fillId="0" borderId="0" xfId="0" applyAlignment="1">
      <alignment horizontal="center"/>
    </xf>
    <xf numFmtId="0" fontId="2" fillId="10" borderId="29" xfId="0" applyFont="1" applyFill="1" applyBorder="1" applyAlignment="1">
      <alignment horizontal="centerContinuous"/>
    </xf>
    <xf numFmtId="0" fontId="2" fillId="10" borderId="30" xfId="0" applyFont="1" applyFill="1" applyBorder="1" applyAlignment="1">
      <alignment horizontal="center"/>
    </xf>
    <xf numFmtId="0" fontId="2" fillId="10" borderId="31" xfId="0" applyFont="1" applyFill="1" applyBorder="1" applyAlignment="1">
      <alignment horizontal="centerContinuous"/>
    </xf>
    <xf numFmtId="0" fontId="0" fillId="10" borderId="0" xfId="0" applyFill="1"/>
    <xf numFmtId="0" fontId="13" fillId="10" borderId="0" xfId="0" applyFont="1" applyFill="1"/>
    <xf numFmtId="43" fontId="13" fillId="10" borderId="0" xfId="1" applyFont="1" applyFill="1"/>
    <xf numFmtId="165" fontId="13" fillId="10" borderId="0" xfId="1" applyNumberFormat="1" applyFont="1" applyFill="1"/>
    <xf numFmtId="0" fontId="2" fillId="10" borderId="32" xfId="0" applyFont="1" applyFill="1" applyBorder="1" applyAlignment="1">
      <alignment horizontal="center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/>
    <xf numFmtId="0" fontId="14" fillId="8" borderId="7" xfId="0" applyFont="1" applyFill="1" applyBorder="1" applyAlignment="1">
      <alignment horizontal="center" wrapText="1"/>
    </xf>
    <xf numFmtId="40" fontId="0" fillId="0" borderId="0" xfId="0" applyNumberFormat="1"/>
    <xf numFmtId="0" fontId="0" fillId="0" borderId="0" xfId="0" applyAlignment="1">
      <alignment horizontal="right"/>
    </xf>
    <xf numFmtId="43" fontId="0" fillId="8" borderId="0" xfId="1" applyFont="1" applyFill="1"/>
    <xf numFmtId="43" fontId="0" fillId="0" borderId="0" xfId="0" applyNumberFormat="1"/>
    <xf numFmtId="40" fontId="14" fillId="8" borderId="7" xfId="4" applyNumberFormat="1" applyFont="1" applyFill="1" applyBorder="1" applyAlignment="1">
      <alignment horizontal="center" wrapText="1"/>
    </xf>
    <xf numFmtId="38" fontId="14" fillId="8" borderId="7" xfId="4" applyNumberFormat="1" applyFont="1" applyFill="1" applyBorder="1" applyAlignment="1">
      <alignment horizontal="center" wrapText="1"/>
    </xf>
    <xf numFmtId="43" fontId="14" fillId="8" borderId="7" xfId="1" applyFont="1" applyFill="1" applyBorder="1" applyAlignment="1">
      <alignment horizontal="center" wrapText="1"/>
    </xf>
    <xf numFmtId="165" fontId="14" fillId="2" borderId="7" xfId="1" applyNumberFormat="1" applyFont="1" applyFill="1" applyBorder="1" applyAlignment="1">
      <alignment horizontal="center" wrapText="1"/>
    </xf>
    <xf numFmtId="0" fontId="16" fillId="11" borderId="35" xfId="0" applyFont="1" applyFill="1" applyBorder="1" applyAlignment="1">
      <alignment vertical="top"/>
    </xf>
    <xf numFmtId="0" fontId="16" fillId="12" borderId="0" xfId="0" applyFont="1" applyFill="1" applyAlignment="1">
      <alignment horizontal="center" vertical="top"/>
    </xf>
    <xf numFmtId="49" fontId="2" fillId="0" borderId="0" xfId="0" applyNumberFormat="1" applyFont="1"/>
    <xf numFmtId="0" fontId="2" fillId="0" borderId="0" xfId="0" applyFont="1"/>
    <xf numFmtId="38" fontId="0" fillId="0" borderId="0" xfId="0" applyNumberFormat="1"/>
    <xf numFmtId="165" fontId="17" fillId="8" borderId="0" xfId="1" applyNumberFormat="1" applyFont="1" applyFill="1"/>
    <xf numFmtId="0" fontId="17" fillId="0" borderId="0" xfId="0" applyFont="1"/>
    <xf numFmtId="0" fontId="0" fillId="10" borderId="0" xfId="0" applyFill="1" applyAlignment="1">
      <alignment horizontal="center"/>
    </xf>
    <xf numFmtId="49" fontId="0" fillId="0" borderId="0" xfId="0" applyNumberFormat="1"/>
    <xf numFmtId="43" fontId="2" fillId="0" borderId="0" xfId="1" applyFont="1"/>
    <xf numFmtId="0" fontId="0" fillId="13" borderId="0" xfId="0" applyFill="1"/>
    <xf numFmtId="164" fontId="4" fillId="5" borderId="10" xfId="2" applyNumberFormat="1" applyFont="1" applyFill="1" applyBorder="1" applyAlignment="1">
      <alignment vertical="center"/>
    </xf>
    <xf numFmtId="0" fontId="8" fillId="4" borderId="3" xfId="3" applyFont="1" applyFill="1" applyBorder="1" applyAlignment="1">
      <alignment horizontal="center" vertical="center" wrapText="1"/>
    </xf>
    <xf numFmtId="0" fontId="8" fillId="4" borderId="4" xfId="3" applyFont="1" applyFill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  <xf numFmtId="164" fontId="5" fillId="0" borderId="0" xfId="2" applyNumberFormat="1" applyFont="1" applyAlignment="1">
      <alignment vertical="center"/>
    </xf>
    <xf numFmtId="164" fontId="4" fillId="0" borderId="10" xfId="2" applyNumberFormat="1" applyFont="1" applyFill="1" applyBorder="1" applyAlignment="1">
      <alignment vertical="center"/>
    </xf>
  </cellXfs>
  <cellStyles count="5">
    <cellStyle name="Comma" xfId="1" builtinId="3"/>
    <cellStyle name="Comma 10" xfId="4" xr:uid="{C91FDF47-21C4-46B6-98B9-DE660291ADFE}"/>
    <cellStyle name="Currency" xfId="2" builtinId="4"/>
    <cellStyle name="Normal" xfId="0" builtinId="0"/>
    <cellStyle name="Normal 5 82" xfId="3" xr:uid="{C8A25F88-A06F-4C08-BAEF-B9B4B36269C5}"/>
  </cellStyles>
  <dxfs count="16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discorp-my.sharepoint.com/personal/maria_diazalba_cordis_com/Documents/0%20MARIA/JDE%20Financial/02-Aug%20FY26%20QRA%20BvAs-copy.xlsx" TargetMode="External"/><Relationship Id="rId1" Type="http://schemas.openxmlformats.org/officeDocument/2006/relationships/externalLinkPath" Target="/personal/maria_diazalba_cordis_com/Documents/0%20MARIA/JDE%20Financial/02-Aug%20FY26%20QRA%20BvAs-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jtoky-fs01\FIN\Documents%20and%20Settings\WernerRehm\My%20Documents\CPC\Putnam%20valuation\Example%20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jtoky-fs01\FIN\Documents%20and%20Settings\Adnan%20Alam\My%20Documents\Companies\Zurich\CMD%20FINCO%20ZFS%2002_25_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rdiscorp.sharepoint.com/crdusdfsroot/Miami/Finance/Operations%20Finance/Justin/BP%202004/Admin%20Allocations%20v1%20jul%209%20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rdiscorp.sharepoint.com/crdusdfsroot/2003/@_2003%20NEW%20YEAR%20ACTIVITY/Intercompany/Confirmation%20Spreadsheets/02%202003%20Februar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boud-fs01\Dept_Data1\Windows\TEMP\CCS%20Jun%20Net%20Sales_Margin%20Mktg%20Cop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GUSBRFPS01.NA.JNJ.COM\HOME$\BP2000\Headcount\HC%20BP2000%20QA-QC%20-UPDATE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sna.jnj.com/crdusdfsroot/Miami/Finance/Operations%20Finance/Justin/BP%202004/Admin%20Allocations%20v1%20jul%209%2020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boud-fs01\Dept_Data1\Data%20Files\Excel%20Files\Budget\FY2001%20LRP\FY2001%20LRP%20New%20Org%20Rev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boud-fs01\Dept_Data1\dept\Dept\Dept\Dept\Dept\Dept\Data%20Files\Excel%20Files\Budget\FY2001%20LRP\FY2001%20LRP%20New%20Org%20Rev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jtoky-fs01\FIN\DOCUME~1\SRRAJA~1\LOCALS~1\Temp\notes782185\IBM_Ol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mans-fs02\Finance\Data%20Files\Excel%20Files\Budget\FY2001%20LRP\FY2001%20LRP%20New%20Org%20Rev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CLOSE\CLO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rdiscorp.sharepoint.com/crdusdfsroot/SanGerman/Business-Reviews/2008/PE%20Savings/2009%20BP%20Set%20Up/2009%20PE%20Projection%20SIOP%20REV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smxjr1fps02.na.jnj.com\homei$\rbustil\Data\Data\Excel\Rebeca\Controllable%20Analysis\Acct%20592000\2004%20Spending\Chemical%20Estimate%202004_M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rdiscorp.sharepoint.com/na/crdus/Miami/Finance/Operations%20Finance/2012%20QA/2012%20BP/2012%20Allocations%20-%20Formulas%20&amp;%20Hard%20Cod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jtoky-fs01\FIN\DOCUME~1\WERNER~1\LOCALS~1\Temp\c.program%20files.Notes.data\K_CMD_0331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rdiscorp.sharepoint.com/Neil/Item%20Master-Table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%20Documents\CLOSE\CLOS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rdiscorp.sharepoint.com/Users/schend4/Desktop/TempWork/FCST#/FY18 FCST04 MPE Consolidation v2.3.xlsb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ORK\FINANCE\DEPT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boud-fs01\Dept_Data1\My%20Documents\CLOSE\CLOSE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00%20PAGOS%20ANTICIPADOS%20%20Leadsheet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00%20Cuentas%20por%20Cobrar%20Combined%20Leadshee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5%20Papel%20de%20Trabajo%20de%20Activo%20Fijo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microsoft.com/office/2019/04/relationships/externalLinkLongPath" Target="/sites/GlobalAdmin/Shared%20Documents/General/Monthly%20Financial%20Reports%20and%20Entries/FY23/FY23%20Financial%20Report%20Source%20Files/01%20Jul%20FY23/Worksheet%20in%208715%20Concliaci&#243;n%20Contable-Fiscal%20%20%20PPC%20?6BC8F089" TargetMode="External"/><Relationship Id="rId1" Type="http://schemas.openxmlformats.org/officeDocument/2006/relationships/externalLinkPath" Target="file:///\\6BC8F089\Worksheet%20in%208715%20Concliaci&#243;n%20Contable-Fiscal%20%20%20PPC%20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rdiscorp.sharepoint.com/SanGerman/Finance/2008BP/CNIS/Absorption%202008/2008%20BP%20Final%20Absorption%20go%20big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rdiscorp.sharepoint.com/crdusdfsroot/OUS%20FROZEN%20COSTS%20@%2009%2014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25 OS"/>
      <sheetName val="REVISED GRAPHS 2-25-25"/>
      <sheetName val="Total QRMC- ACT vs FinalAOP"/>
      <sheetName val="Waterfall"/>
      <sheetName val="Waterfall (2)"/>
      <sheetName val="OneStream"/>
      <sheetName val="Dashboard ACTUALS"/>
      <sheetName val="Global Snapshot - MBR"/>
      <sheetName val="QRA Snapshot - MBR"/>
      <sheetName val="BU LIST"/>
      <sheetName val="Executive Walkacross"/>
      <sheetName val="WW Headcount AOPFCST"/>
      <sheetName val="Headcount QRA"/>
      <sheetName val="FY25 AOP HC OS"/>
      <sheetName val="FY25 AOP HDCT Walkacross"/>
      <sheetName val="Sheet5"/>
      <sheetName val="FY24 changes"/>
      <sheetName val="FY24 AOP Summary"/>
      <sheetName val="FY24 AOP Graphs align with McK "/>
      <sheetName val="FY24 AOP Graphs modified"/>
      <sheetName val="ALBERTO PARET AOP"/>
      <sheetName val="RUTH PADRON AOP"/>
      <sheetName val="LAURIE LOW AOP"/>
      <sheetName val="QRA vs Benchmark"/>
      <sheetName val="FY25 AOP RA MedAff Clin Review"/>
      <sheetName val="FY25 AOP MIA QA Ops Review"/>
      <sheetName val="FY25 AOP ACI QA Ops Review"/>
      <sheetName val="FY25 AOP JRZ QA Ops Review"/>
      <sheetName val="FY25 AOP Regions Review"/>
      <sheetName val="Instructions"/>
      <sheetName val="Sheet4"/>
      <sheetName val="NEW SUMMARY BD"/>
      <sheetName val="Global R&amp;O"/>
      <sheetName val="QRA Snapshot - MBR (2)"/>
      <sheetName val="Sheet1"/>
      <sheetName val="REQUEST FOR MBR (2)"/>
      <sheetName val="REQUEST FOR MBR"/>
      <sheetName val="ROLLUP "/>
      <sheetName val="Cordis FTEs &amp; Payroll Rec FY23"/>
      <sheetName val="Cordis FTEs &amp; Payroll Rec"/>
      <sheetName val="Revised Ratios"/>
      <sheetName val="Project Treasure Hunt"/>
      <sheetName val="Ratios"/>
      <sheetName val="McKinsey"/>
      <sheetName val="WW QRA ESTIMATED BUDGET"/>
      <sheetName val="Headcount Walkacross"/>
      <sheetName val="MBR Snapshots"/>
      <sheetName val="Snapshot for Miguel"/>
      <sheetName val="Total QRA BvA v. FCST by CC"/>
      <sheetName val="FY23 Budget by CC"/>
      <sheetName val="FY23 FCST03 by CC"/>
      <sheetName val="FY23 FCST04 by CC"/>
      <sheetName val="FY24 AOP by CC"/>
      <sheetName val="Total QRA BvA"/>
      <sheetName val="MDR Ops and R&amp;D"/>
      <sheetName val="Region-LATAM"/>
      <sheetName val="Region-APAC"/>
      <sheetName val="Region-EMEA"/>
      <sheetName val="Total QRA SG&amp;A"/>
      <sheetName val="US RA 2000123000"/>
      <sheetName val="CA RA 1002023001"/>
      <sheetName val="US Clinical 2000121000"/>
      <sheetName val="JP Clinical 4064045061"/>
      <sheetName val="US MedAffairs 2000122000"/>
      <sheetName val="BvA DesignQAEng 1110080"/>
      <sheetName val="US CME 2000134001"/>
      <sheetName val="Executive"/>
      <sheetName val="FY22 to FY23 Bridge"/>
      <sheetName val="Walkacross FY22 Plan to FY23AO"/>
      <sheetName val="GLOBAL FCST-FY23 Bridges"/>
      <sheetName val="Global Act YTD change"/>
      <sheetName val="GLOBAL REVISED FCST"/>
      <sheetName val="Sheet3"/>
      <sheetName val="Business Units Owner"/>
      <sheetName val="FY25 AOP Walkacross"/>
      <sheetName val="FY26 &amp; 25 AOP CENTRAL QA Review"/>
      <sheetName val="FY26 CENTRAL QA INSTRUCTIONS"/>
      <sheetName val="FY24 T&amp;E"/>
      <sheetName val="FY25 CENTRAL QA T&amp;E"/>
      <sheetName val="Q2FY4 vs Q2FY23"/>
      <sheetName val="FY26 CENTRAL QA T&amp;E"/>
      <sheetName val="BvA 3029038007"/>
      <sheetName val="Total Central QRA"/>
      <sheetName val="BvA Ster Assurance 1110551"/>
      <sheetName val="BvA QA Admin 1110088"/>
      <sheetName val="BvA QA 2000113000"/>
      <sheetName val="BvA QA 2000113001"/>
      <sheetName val="BvA QA Legal MGF 1110095"/>
      <sheetName val="BvA Ops EMQASupAudit 1110360"/>
      <sheetName val="BvA Surveillance 1110478"/>
      <sheetName val="BvA QA Systems 1110556"/>
      <sheetName val="BvA PMV 1110073"/>
      <sheetName val="Sheet11"/>
      <sheetName val="BvA Risk Escalation 1110355"/>
      <sheetName val="FY23 T&amp;E ML"/>
      <sheetName val="FY22 T&amp;E ML"/>
      <sheetName val="Total QA Ops Miami"/>
      <sheetName val="BvA Extrusion 1110065"/>
      <sheetName val="BvA Capa-QMS 1110077"/>
      <sheetName val="BvA Analytical 1110082"/>
      <sheetName val="Total QA Ops JRZ"/>
      <sheetName val="JRZ Analytical Lab(USD)27110471"/>
      <sheetName val="JRZ Analyt Lab (MXP)2000310121"/>
      <sheetName val="JRZ Comp Handling (USD) 732148"/>
      <sheetName val="JRZ CompHandling(MXP)2000313014"/>
      <sheetName val="JRZ Doc Control (USD)27110143"/>
      <sheetName val="JRZ Doc Control (MXP) 728071"/>
      <sheetName val="JRZ F. Analysis (USD)27110403"/>
      <sheetName val="JRZ F. Analysis (MXP)200310120"/>
      <sheetName val="JRZ Micro Lab (USD)27110141"/>
      <sheetName val="JRZ Micro Lab (MXP)200310119"/>
      <sheetName val="JRZ NDC AAA (USD)7320000131"/>
      <sheetName val="JRZ NDC AAA (MXP)2000310096"/>
      <sheetName val="JRZ NDC SES (USD)27110261"/>
      <sheetName val="JRZ NDC SES (MXP)200310106"/>
      <sheetName val="JRZ NDCVisual-QA(MXP)2000310116"/>
      <sheetName val="JRZ QA Compliance (USD) 732149"/>
      <sheetName val="JRZ QACompliance(MXP)2000310095"/>
      <sheetName val="JRZ QA OPS (USD)27110139"/>
      <sheetName val="JRZ QA OPS (MXP)2000310123"/>
      <sheetName val="JRZ QA Reg (USD) 732155"/>
      <sheetName val="JRZ QA Reg (MXP)2000310122"/>
      <sheetName val="JRZ QA Supplier (USD)27110458"/>
      <sheetName val="JRZ QA Supplier (MXP)2000310115"/>
      <sheetName val="JRZ Rec Insp (USD)27110138"/>
      <sheetName val="JRZ Rec Insp (MXP)2000310102"/>
      <sheetName val="JRZ Rec Ret (USD)200110039"/>
      <sheetName val="JRZ Rec Ret (MXP) 728083"/>
      <sheetName val="JRZ CPS-Training(MXP)2000310118"/>
      <sheetName val="JRZ CPS -Training (USD)27110337"/>
      <sheetName val="JRZ NDC Visual-QA (USD)27110292"/>
      <sheetName val="Total QA Ops ACI"/>
      <sheetName val="ACI QA Dep 1000110070"/>
      <sheetName val="ACI Quality Assurance1000110074"/>
      <sheetName val="ACI ComplaintHandling1000110076"/>
      <sheetName val="JDE GL Act"/>
      <sheetName val="Mapping"/>
      <sheetName val="FCST03 - OS Template"/>
      <sheetName val="AOP 2026"/>
      <sheetName val="HC 2026"/>
      <sheetName val="Spending FCST"/>
      <sheetName val="HC FCST"/>
      <sheetName val="FCST 3+9"/>
      <sheetName val="Central QA OS 2025"/>
      <sheetName val="MDR Expenses"/>
      <sheetName val="Accounts"/>
      <sheetName val="Mapping for FY24"/>
      <sheetName val="COA Mapping"/>
      <sheetName val="Matrix"/>
      <sheetName val="Business Unit Mapping"/>
      <sheetName val="List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29">
          <cell r="K29">
            <v>5420845.9801441506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30">
          <cell r="CW30">
            <v>0</v>
          </cell>
          <cell r="CX30">
            <v>126029.04801294598</v>
          </cell>
          <cell r="CY30">
            <v>127116.15897496163</v>
          </cell>
          <cell r="CZ30">
            <v>207329.04801294598</v>
          </cell>
        </row>
      </sheetData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3">
          <cell r="A3">
            <v>1</v>
          </cell>
          <cell r="B3" t="str">
            <v>Jul</v>
          </cell>
          <cell r="J3">
            <v>501220</v>
          </cell>
          <cell r="K3" t="str">
            <v>Variable OH Other</v>
          </cell>
          <cell r="L3">
            <v>61210030</v>
          </cell>
          <cell r="M3" t="str">
            <v>Variable OH Other</v>
          </cell>
          <cell r="N3" t="str">
            <v>Spending</v>
          </cell>
          <cell r="O3">
            <v>61210030</v>
          </cell>
          <cell r="P3">
            <v>501220</v>
          </cell>
          <cell r="Q3" t="str">
            <v>Supplies Expenses</v>
          </cell>
        </row>
        <row r="4">
          <cell r="A4">
            <v>2</v>
          </cell>
          <cell r="B4" t="str">
            <v>Aug</v>
          </cell>
          <cell r="J4">
            <v>501223</v>
          </cell>
          <cell r="K4" t="str">
            <v>Allocation - OCOS</v>
          </cell>
          <cell r="L4">
            <v>63110250</v>
          </cell>
          <cell r="M4" t="str">
            <v>Allocation - OCOS</v>
          </cell>
          <cell r="N4" t="str">
            <v>Spending</v>
          </cell>
          <cell r="O4">
            <v>63110250</v>
          </cell>
          <cell r="P4">
            <v>501223</v>
          </cell>
          <cell r="Q4" t="str">
            <v>Allocations</v>
          </cell>
        </row>
        <row r="5">
          <cell r="A5">
            <v>3</v>
          </cell>
          <cell r="B5" t="str">
            <v>Sep</v>
          </cell>
          <cell r="J5">
            <v>500803</v>
          </cell>
          <cell r="K5" t="str">
            <v>Inbound Air</v>
          </cell>
          <cell r="L5">
            <v>63111000</v>
          </cell>
          <cell r="M5" t="str">
            <v>Inbound Air</v>
          </cell>
          <cell r="N5" t="str">
            <v>Inbound Freight</v>
          </cell>
          <cell r="O5">
            <v>63111000</v>
          </cell>
          <cell r="P5">
            <v>500803</v>
          </cell>
          <cell r="Q5" t="str">
            <v>Inbound Freight</v>
          </cell>
        </row>
        <row r="6">
          <cell r="A6">
            <v>4</v>
          </cell>
          <cell r="B6" t="str">
            <v>Oct</v>
          </cell>
          <cell r="J6">
            <v>500804</v>
          </cell>
          <cell r="K6" t="str">
            <v>Inbound LTL</v>
          </cell>
          <cell r="L6">
            <v>63111010</v>
          </cell>
          <cell r="M6" t="str">
            <v>Inbound LTL</v>
          </cell>
          <cell r="N6" t="str">
            <v>Inbound Freight</v>
          </cell>
          <cell r="O6">
            <v>63111010</v>
          </cell>
          <cell r="P6">
            <v>500804</v>
          </cell>
          <cell r="Q6" t="str">
            <v>Inbound Freight</v>
          </cell>
        </row>
        <row r="7">
          <cell r="A7">
            <v>5</v>
          </cell>
          <cell r="B7" t="str">
            <v>Nov</v>
          </cell>
          <cell r="J7">
            <v>500805</v>
          </cell>
          <cell r="K7" t="str">
            <v>Inbound Parcel</v>
          </cell>
          <cell r="L7">
            <v>63111020</v>
          </cell>
          <cell r="M7" t="str">
            <v>Inbound Parcel</v>
          </cell>
          <cell r="N7" t="str">
            <v>Inbound Freight</v>
          </cell>
          <cell r="O7">
            <v>63111020</v>
          </cell>
          <cell r="P7">
            <v>500805</v>
          </cell>
          <cell r="Q7" t="str">
            <v>Inbound Freight</v>
          </cell>
        </row>
        <row r="8">
          <cell r="A8">
            <v>6</v>
          </cell>
          <cell r="B8" t="str">
            <v>Dec</v>
          </cell>
          <cell r="J8">
            <v>500806</v>
          </cell>
          <cell r="K8" t="str">
            <v>Inbound TL</v>
          </cell>
          <cell r="L8">
            <v>63111040</v>
          </cell>
          <cell r="M8" t="str">
            <v>Interplant</v>
          </cell>
          <cell r="N8" t="str">
            <v>Inbound Freight</v>
          </cell>
          <cell r="O8">
            <v>63111040</v>
          </cell>
          <cell r="P8">
            <v>500806</v>
          </cell>
          <cell r="Q8" t="str">
            <v>Inbound Freight</v>
          </cell>
        </row>
        <row r="9">
          <cell r="A9">
            <v>7</v>
          </cell>
          <cell r="B9" t="str">
            <v>Jan</v>
          </cell>
          <cell r="J9">
            <v>501000</v>
          </cell>
          <cell r="K9" t="str">
            <v>DL Hourly Produc Wag</v>
          </cell>
          <cell r="L9">
            <v>63114000</v>
          </cell>
          <cell r="M9" t="str">
            <v>DL Hourly Produc Wag</v>
          </cell>
          <cell r="N9" t="str">
            <v>Direct Labor</v>
          </cell>
          <cell r="O9">
            <v>63114000</v>
          </cell>
          <cell r="P9">
            <v>501000</v>
          </cell>
          <cell r="Q9" t="str">
            <v>Wages &amp; Salaries</v>
          </cell>
        </row>
        <row r="10">
          <cell r="A10">
            <v>8</v>
          </cell>
          <cell r="B10" t="str">
            <v>Feb</v>
          </cell>
          <cell r="J10">
            <v>501001</v>
          </cell>
          <cell r="K10" t="str">
            <v>DL PTO Expense</v>
          </cell>
          <cell r="L10">
            <v>63114010</v>
          </cell>
          <cell r="M10" t="str">
            <v>DL PTO Expense</v>
          </cell>
          <cell r="N10" t="str">
            <v>Direct Labor</v>
          </cell>
          <cell r="O10">
            <v>63114010</v>
          </cell>
          <cell r="P10">
            <v>501001</v>
          </cell>
          <cell r="Q10" t="str">
            <v>Wages &amp; Salaries</v>
          </cell>
        </row>
        <row r="11">
          <cell r="A11">
            <v>9</v>
          </cell>
          <cell r="B11" t="str">
            <v>Mar</v>
          </cell>
          <cell r="J11">
            <v>501002</v>
          </cell>
          <cell r="K11" t="str">
            <v>DL Overtime Prem</v>
          </cell>
          <cell r="L11">
            <v>63114030</v>
          </cell>
          <cell r="M11" t="str">
            <v>DL Overtime Premium</v>
          </cell>
          <cell r="N11" t="str">
            <v>Direct Labor</v>
          </cell>
          <cell r="O11">
            <v>63114030</v>
          </cell>
          <cell r="P11">
            <v>501002</v>
          </cell>
          <cell r="Q11" t="str">
            <v>Overtime</v>
          </cell>
        </row>
        <row r="12">
          <cell r="A12">
            <v>10</v>
          </cell>
          <cell r="B12" t="str">
            <v>Apr</v>
          </cell>
          <cell r="J12">
            <v>501003</v>
          </cell>
          <cell r="K12" t="str">
            <v>DL Severance Expense</v>
          </cell>
          <cell r="L12">
            <v>63114040</v>
          </cell>
          <cell r="M12" t="str">
            <v>DL Severance Expense</v>
          </cell>
          <cell r="N12" t="str">
            <v>Direct Labor</v>
          </cell>
          <cell r="O12">
            <v>63114040</v>
          </cell>
          <cell r="P12">
            <v>501003</v>
          </cell>
          <cell r="Q12" t="str">
            <v>Fringe Benefits</v>
          </cell>
        </row>
        <row r="13">
          <cell r="A13">
            <v>11</v>
          </cell>
          <cell r="B13" t="str">
            <v>May</v>
          </cell>
          <cell r="J13">
            <v>501004</v>
          </cell>
          <cell r="K13" t="str">
            <v>DL Other Wages Exp</v>
          </cell>
          <cell r="L13">
            <v>63114050</v>
          </cell>
          <cell r="M13" t="str">
            <v>DL Other Wages Exp</v>
          </cell>
          <cell r="N13" t="str">
            <v>Direct Labor</v>
          </cell>
          <cell r="O13">
            <v>63114050</v>
          </cell>
          <cell r="P13">
            <v>501004</v>
          </cell>
          <cell r="Q13" t="str">
            <v>Wages &amp; Salaries</v>
          </cell>
        </row>
        <row r="14">
          <cell r="A14">
            <v>12</v>
          </cell>
          <cell r="B14" t="str">
            <v>Jun</v>
          </cell>
          <cell r="J14">
            <v>501005</v>
          </cell>
          <cell r="K14" t="str">
            <v>DL SUTA</v>
          </cell>
          <cell r="L14">
            <v>63114060</v>
          </cell>
          <cell r="M14" t="str">
            <v>DL OnCall Wages</v>
          </cell>
          <cell r="N14" t="str">
            <v>Direct Labor</v>
          </cell>
          <cell r="O14">
            <v>63114060</v>
          </cell>
          <cell r="P14">
            <v>501005</v>
          </cell>
          <cell r="Q14" t="str">
            <v>Wages &amp; Salaries</v>
          </cell>
        </row>
        <row r="15">
          <cell r="J15">
            <v>501006</v>
          </cell>
          <cell r="K15" t="str">
            <v>DL FUTA</v>
          </cell>
          <cell r="L15">
            <v>63114500</v>
          </cell>
          <cell r="M15" t="str">
            <v>DL FUTA/SUTA</v>
          </cell>
          <cell r="N15" t="str">
            <v>Direct Labor</v>
          </cell>
          <cell r="O15">
            <v>63114500</v>
          </cell>
          <cell r="P15">
            <v>501006</v>
          </cell>
          <cell r="Q15" t="str">
            <v>Fringe Benefits</v>
          </cell>
        </row>
        <row r="16">
          <cell r="J16">
            <v>501007</v>
          </cell>
          <cell r="K16" t="str">
            <v>DL SS/Medicare</v>
          </cell>
          <cell r="L16">
            <v>63114510</v>
          </cell>
          <cell r="M16" t="str">
            <v>DL SS/Medicare</v>
          </cell>
          <cell r="N16" t="str">
            <v>Direct Labor</v>
          </cell>
          <cell r="O16">
            <v>63114510</v>
          </cell>
          <cell r="P16">
            <v>501007</v>
          </cell>
          <cell r="Q16" t="str">
            <v>Fringe Benefits</v>
          </cell>
        </row>
        <row r="17">
          <cell r="J17">
            <v>501008</v>
          </cell>
          <cell r="K17" t="str">
            <v>DL Bonus Exp Other</v>
          </cell>
          <cell r="L17">
            <v>63114520</v>
          </cell>
          <cell r="M17" t="str">
            <v>DL Bonus Exp Other</v>
          </cell>
          <cell r="N17" t="str">
            <v>Direct Labor</v>
          </cell>
          <cell r="O17">
            <v>63114520</v>
          </cell>
          <cell r="P17">
            <v>501008</v>
          </cell>
          <cell r="Q17" t="str">
            <v>Fringe Benefits</v>
          </cell>
        </row>
        <row r="18">
          <cell r="J18">
            <v>501009</v>
          </cell>
          <cell r="K18" t="str">
            <v>DL Other Fringe</v>
          </cell>
          <cell r="L18">
            <v>63114590</v>
          </cell>
          <cell r="M18" t="str">
            <v>DL Other Fringe Benefit Expense</v>
          </cell>
          <cell r="N18" t="str">
            <v>Direct Labor</v>
          </cell>
          <cell r="O18">
            <v>63114590</v>
          </cell>
          <cell r="P18">
            <v>501009</v>
          </cell>
          <cell r="Q18" t="str">
            <v>Fringe Benefits</v>
          </cell>
        </row>
        <row r="19">
          <cell r="J19">
            <v>501010</v>
          </cell>
          <cell r="K19" t="str">
            <v>DL Health Insurance</v>
          </cell>
          <cell r="L19">
            <v>63114600</v>
          </cell>
          <cell r="M19" t="str">
            <v>DL Health Insurance</v>
          </cell>
          <cell r="N19" t="str">
            <v>Direct Labor</v>
          </cell>
          <cell r="O19">
            <v>63114600</v>
          </cell>
          <cell r="P19">
            <v>501010</v>
          </cell>
          <cell r="Q19" t="str">
            <v>Fringe Benefits</v>
          </cell>
        </row>
        <row r="20">
          <cell r="J20">
            <v>501012</v>
          </cell>
          <cell r="K20" t="str">
            <v>DL 401k ER Match</v>
          </cell>
          <cell r="L20">
            <v>63114620</v>
          </cell>
          <cell r="M20" t="str">
            <v>DL 40(k) Exp-Co Cont</v>
          </cell>
          <cell r="N20" t="str">
            <v>Direct Labor</v>
          </cell>
          <cell r="O20">
            <v>63114620</v>
          </cell>
          <cell r="P20">
            <v>501012</v>
          </cell>
          <cell r="Q20" t="str">
            <v>Fringe Benefits</v>
          </cell>
        </row>
        <row r="21">
          <cell r="J21">
            <v>501050</v>
          </cell>
          <cell r="K21" t="str">
            <v>IDL Hourly Labor Exp</v>
          </cell>
          <cell r="L21">
            <v>63115000</v>
          </cell>
          <cell r="M21" t="str">
            <v>IDL Hourly Labor Exp</v>
          </cell>
          <cell r="N21" t="str">
            <v>Spending</v>
          </cell>
          <cell r="O21">
            <v>63115000</v>
          </cell>
          <cell r="P21">
            <v>501050</v>
          </cell>
          <cell r="Q21" t="str">
            <v>Wages &amp; Salaries</v>
          </cell>
        </row>
        <row r="22">
          <cell r="J22">
            <v>501051</v>
          </cell>
          <cell r="K22" t="str">
            <v>IDL PTO Expense</v>
          </cell>
          <cell r="L22">
            <v>63115010</v>
          </cell>
          <cell r="M22" t="str">
            <v>IDL PTO Expense</v>
          </cell>
          <cell r="N22" t="str">
            <v>Spending</v>
          </cell>
          <cell r="O22">
            <v>63115010</v>
          </cell>
          <cell r="P22">
            <v>501051</v>
          </cell>
          <cell r="Q22" t="str">
            <v>Wages &amp; Salaries</v>
          </cell>
        </row>
        <row r="23">
          <cell r="J23">
            <v>501052</v>
          </cell>
          <cell r="K23" t="str">
            <v>IDL Mgt/Salary Wages</v>
          </cell>
          <cell r="L23">
            <v>63115020</v>
          </cell>
          <cell r="M23" t="str">
            <v>IDL Mgt/Salary Wages</v>
          </cell>
          <cell r="N23" t="str">
            <v>Spending</v>
          </cell>
          <cell r="O23">
            <v>63115020</v>
          </cell>
          <cell r="P23">
            <v>501052</v>
          </cell>
          <cell r="Q23" t="str">
            <v>Wages &amp; Salaries</v>
          </cell>
        </row>
        <row r="24">
          <cell r="J24">
            <v>501053</v>
          </cell>
          <cell r="K24" t="str">
            <v>IDL Overtime Premium</v>
          </cell>
          <cell r="L24">
            <v>63115030</v>
          </cell>
          <cell r="M24" t="str">
            <v>IDL Overtime Premium</v>
          </cell>
          <cell r="N24" t="str">
            <v>Spending</v>
          </cell>
          <cell r="O24">
            <v>63115030</v>
          </cell>
          <cell r="P24">
            <v>501053</v>
          </cell>
          <cell r="Q24" t="str">
            <v>Overtime</v>
          </cell>
        </row>
        <row r="25">
          <cell r="J25">
            <v>501054</v>
          </cell>
          <cell r="K25" t="str">
            <v>IDL Severance Expens</v>
          </cell>
          <cell r="L25">
            <v>63115040</v>
          </cell>
          <cell r="M25" t="str">
            <v>IDL Severance Expens</v>
          </cell>
          <cell r="N25" t="str">
            <v>Spending</v>
          </cell>
          <cell r="O25">
            <v>63115040</v>
          </cell>
          <cell r="P25">
            <v>501054</v>
          </cell>
          <cell r="Q25" t="str">
            <v>Fringe Benefits</v>
          </cell>
        </row>
        <row r="26">
          <cell r="J26">
            <v>501055</v>
          </cell>
          <cell r="K26" t="str">
            <v>IDL Other Wages Expe</v>
          </cell>
          <cell r="L26">
            <v>63115050</v>
          </cell>
          <cell r="M26" t="str">
            <v>IDL Other Wages Expe</v>
          </cell>
          <cell r="N26" t="str">
            <v>Spending</v>
          </cell>
          <cell r="O26">
            <v>63115050</v>
          </cell>
          <cell r="P26">
            <v>501055</v>
          </cell>
          <cell r="Q26" t="str">
            <v>Wages &amp; Salaries</v>
          </cell>
        </row>
        <row r="27">
          <cell r="J27">
            <v>501056</v>
          </cell>
          <cell r="K27" t="str">
            <v>IDL SUTA</v>
          </cell>
          <cell r="L27">
            <v>63115060</v>
          </cell>
          <cell r="M27" t="str">
            <v>IDL OnCall Wages</v>
          </cell>
          <cell r="N27" t="str">
            <v>Spending</v>
          </cell>
          <cell r="O27">
            <v>63115060</v>
          </cell>
          <cell r="P27">
            <v>501056</v>
          </cell>
          <cell r="Q27" t="str">
            <v>Wages &amp; Salaries</v>
          </cell>
        </row>
        <row r="28">
          <cell r="J28">
            <v>501057</v>
          </cell>
          <cell r="K28" t="str">
            <v>IDL FUTA</v>
          </cell>
          <cell r="L28">
            <v>63115500</v>
          </cell>
          <cell r="M28" t="str">
            <v>IDL FUTA/SUTA Expens</v>
          </cell>
          <cell r="N28" t="str">
            <v>Spending</v>
          </cell>
          <cell r="O28">
            <v>63115500</v>
          </cell>
          <cell r="P28">
            <v>501057</v>
          </cell>
          <cell r="Q28" t="str">
            <v>Fringe Benefits</v>
          </cell>
        </row>
        <row r="29">
          <cell r="J29">
            <v>501058</v>
          </cell>
          <cell r="K29" t="str">
            <v>IDL SS/Medicare Expe</v>
          </cell>
          <cell r="L29">
            <v>63115510</v>
          </cell>
          <cell r="M29" t="str">
            <v>IDL SS/Medicare Expe</v>
          </cell>
          <cell r="N29" t="str">
            <v>Spending</v>
          </cell>
          <cell r="O29">
            <v>63115510</v>
          </cell>
          <cell r="P29">
            <v>501058</v>
          </cell>
          <cell r="Q29" t="str">
            <v>Fringe Benefits</v>
          </cell>
        </row>
        <row r="30">
          <cell r="J30">
            <v>501059</v>
          </cell>
          <cell r="K30" t="str">
            <v>IDL Bonus Exp Other</v>
          </cell>
          <cell r="L30">
            <v>63115520</v>
          </cell>
          <cell r="M30" t="str">
            <v>IDL Bonus Exp Other</v>
          </cell>
          <cell r="N30" t="str">
            <v>Spending</v>
          </cell>
          <cell r="O30">
            <v>63115520</v>
          </cell>
          <cell r="P30">
            <v>501059</v>
          </cell>
          <cell r="Q30" t="str">
            <v>Fringe Benefits</v>
          </cell>
        </row>
        <row r="31">
          <cell r="J31">
            <v>501060</v>
          </cell>
          <cell r="K31" t="str">
            <v>IDL Emp Reloc Exp</v>
          </cell>
          <cell r="L31">
            <v>63115550</v>
          </cell>
          <cell r="M31" t="str">
            <v>IDL Emp Reloc Exp</v>
          </cell>
          <cell r="N31" t="str">
            <v>Spending</v>
          </cell>
          <cell r="O31">
            <v>63115550</v>
          </cell>
          <cell r="P31">
            <v>501060</v>
          </cell>
          <cell r="Q31" t="str">
            <v>Fringe Benefits</v>
          </cell>
        </row>
        <row r="32">
          <cell r="J32">
            <v>501061</v>
          </cell>
          <cell r="K32" t="str">
            <v>IDL Edu Reimburse</v>
          </cell>
          <cell r="L32">
            <v>63115560</v>
          </cell>
          <cell r="M32" t="str">
            <v>IDL Edu Reimburse</v>
          </cell>
          <cell r="N32" t="str">
            <v>Spending</v>
          </cell>
          <cell r="O32">
            <v>63115560</v>
          </cell>
          <cell r="P32">
            <v>501061</v>
          </cell>
          <cell r="Q32" t="str">
            <v>Employee Related Expenses</v>
          </cell>
        </row>
        <row r="33">
          <cell r="J33">
            <v>501062</v>
          </cell>
          <cell r="K33" t="str">
            <v>IDL Other Fringe Ben</v>
          </cell>
          <cell r="L33">
            <v>63115590</v>
          </cell>
          <cell r="M33" t="str">
            <v>IDL Other Fringe Ben</v>
          </cell>
          <cell r="N33" t="str">
            <v>Spending</v>
          </cell>
          <cell r="O33">
            <v>63115590</v>
          </cell>
          <cell r="P33">
            <v>501062</v>
          </cell>
          <cell r="Q33" t="str">
            <v>Fringe Benefits</v>
          </cell>
        </row>
        <row r="34">
          <cell r="J34">
            <v>501063</v>
          </cell>
          <cell r="K34" t="str">
            <v>IDL Health Ins Exp</v>
          </cell>
          <cell r="L34">
            <v>63115600</v>
          </cell>
          <cell r="M34" t="str">
            <v>IDL Health Ins Exp</v>
          </cell>
          <cell r="N34" t="str">
            <v>Spending</v>
          </cell>
          <cell r="O34">
            <v>63115600</v>
          </cell>
          <cell r="P34">
            <v>501063</v>
          </cell>
          <cell r="Q34" t="str">
            <v>Fringe Benefits</v>
          </cell>
        </row>
        <row r="35">
          <cell r="J35">
            <v>501064</v>
          </cell>
          <cell r="K35" t="str">
            <v>IDL - Canada Tax ER</v>
          </cell>
          <cell r="L35">
            <v>71121010</v>
          </cell>
          <cell r="M35" t="str">
            <v>IDL - Canada Tax ER</v>
          </cell>
          <cell r="N35" t="str">
            <v>Spending</v>
          </cell>
          <cell r="O35">
            <v>71121010</v>
          </cell>
          <cell r="P35">
            <v>501064</v>
          </cell>
          <cell r="Q35" t="str">
            <v>Fringe Benefits</v>
          </cell>
        </row>
        <row r="36">
          <cell r="J36">
            <v>501065</v>
          </cell>
          <cell r="K36" t="str">
            <v>IDL - Disability</v>
          </cell>
          <cell r="L36">
            <v>63115600</v>
          </cell>
          <cell r="M36" t="str">
            <v>IDL - Disability</v>
          </cell>
          <cell r="N36" t="str">
            <v>Spending</v>
          </cell>
          <cell r="O36">
            <v>63115600</v>
          </cell>
          <cell r="P36">
            <v>501065</v>
          </cell>
          <cell r="Q36" t="str">
            <v>Fringe Benefits</v>
          </cell>
        </row>
        <row r="37">
          <cell r="J37">
            <v>501015</v>
          </cell>
          <cell r="K37" t="str">
            <v>IDL - Disability</v>
          </cell>
          <cell r="L37">
            <v>63115600</v>
          </cell>
          <cell r="M37" t="str">
            <v>IDL - Disability</v>
          </cell>
          <cell r="N37" t="str">
            <v>Spending</v>
          </cell>
          <cell r="O37">
            <v>63115600</v>
          </cell>
          <cell r="P37">
            <v>501015</v>
          </cell>
          <cell r="Q37" t="str">
            <v>Fringe Benefits</v>
          </cell>
        </row>
        <row r="38">
          <cell r="J38">
            <v>501066</v>
          </cell>
          <cell r="K38" t="str">
            <v>IDL - WF Tax</v>
          </cell>
          <cell r="L38">
            <v>71121010</v>
          </cell>
          <cell r="M38" t="str">
            <v>IDL - WF Tax</v>
          </cell>
          <cell r="N38" t="str">
            <v>Spending</v>
          </cell>
          <cell r="O38">
            <v>71121010</v>
          </cell>
          <cell r="P38">
            <v>501066</v>
          </cell>
          <cell r="Q38" t="str">
            <v>Fringe Benefits</v>
          </cell>
        </row>
        <row r="39">
          <cell r="J39">
            <v>501069</v>
          </cell>
          <cell r="K39" t="str">
            <v>IDL 401k ER Match</v>
          </cell>
          <cell r="L39">
            <v>63115620</v>
          </cell>
          <cell r="M39" t="str">
            <v>IDL 40(k) Exp-Co Con</v>
          </cell>
          <cell r="N39" t="str">
            <v>Spending</v>
          </cell>
          <cell r="O39">
            <v>63115620</v>
          </cell>
          <cell r="P39">
            <v>501069</v>
          </cell>
          <cell r="Q39" t="str">
            <v>Fringe Benefits</v>
          </cell>
        </row>
        <row r="40">
          <cell r="J40">
            <v>600001</v>
          </cell>
          <cell r="K40" t="str">
            <v>Salary Expense</v>
          </cell>
          <cell r="L40">
            <v>71110000</v>
          </cell>
          <cell r="M40" t="str">
            <v>Prod/Hourly Wage Exp</v>
          </cell>
          <cell r="N40" t="str">
            <v>Spending</v>
          </cell>
          <cell r="O40">
            <v>71110000</v>
          </cell>
          <cell r="P40">
            <v>600001</v>
          </cell>
          <cell r="Q40" t="str">
            <v>Wages &amp; Salaries</v>
          </cell>
        </row>
        <row r="41">
          <cell r="J41">
            <v>600002</v>
          </cell>
          <cell r="K41" t="str">
            <v>PTO Expense</v>
          </cell>
          <cell r="L41">
            <v>71110010</v>
          </cell>
          <cell r="M41" t="str">
            <v>PTO Expense</v>
          </cell>
          <cell r="N41" t="str">
            <v>Spending</v>
          </cell>
          <cell r="O41">
            <v>71110010</v>
          </cell>
          <cell r="P41">
            <v>600002</v>
          </cell>
          <cell r="Q41" t="str">
            <v>Fringe Benefits</v>
          </cell>
        </row>
        <row r="42">
          <cell r="J42">
            <v>600003</v>
          </cell>
          <cell r="K42" t="str">
            <v>Other Employee Costs - TBD</v>
          </cell>
          <cell r="L42">
            <v>71110020</v>
          </cell>
          <cell r="M42" t="str">
            <v>Mgmt/Salary Wage Exp</v>
          </cell>
          <cell r="N42" t="str">
            <v>Spending</v>
          </cell>
          <cell r="O42">
            <v>71110020</v>
          </cell>
          <cell r="P42">
            <v>600003</v>
          </cell>
          <cell r="Q42" t="str">
            <v>Wages &amp; Salaries</v>
          </cell>
        </row>
        <row r="43">
          <cell r="J43">
            <v>600251</v>
          </cell>
          <cell r="K43" t="str">
            <v>Temp Labor-On Shore</v>
          </cell>
          <cell r="L43">
            <v>71110070</v>
          </cell>
          <cell r="M43" t="str">
            <v>Temp Labor-On Shore</v>
          </cell>
          <cell r="N43" t="str">
            <v>Spending</v>
          </cell>
          <cell r="O43">
            <v>71110070</v>
          </cell>
          <cell r="P43">
            <v>600251</v>
          </cell>
          <cell r="Q43" t="str">
            <v>Outside Services</v>
          </cell>
        </row>
        <row r="44">
          <cell r="J44">
            <v>600005</v>
          </cell>
          <cell r="K44" t="str">
            <v>Temp Labor-Off Shore</v>
          </cell>
          <cell r="L44">
            <v>71110080</v>
          </cell>
          <cell r="M44" t="str">
            <v>Temp Labor-Off Shore</v>
          </cell>
          <cell r="N44" t="str">
            <v>Spending</v>
          </cell>
          <cell r="O44">
            <v>71110080</v>
          </cell>
          <cell r="P44">
            <v>600005</v>
          </cell>
          <cell r="Q44" t="str">
            <v>Outside Services</v>
          </cell>
        </row>
        <row r="45">
          <cell r="J45">
            <v>600007</v>
          </cell>
          <cell r="K45" t="str">
            <v>Other Wage Expense</v>
          </cell>
          <cell r="L45">
            <v>71110100</v>
          </cell>
          <cell r="M45" t="str">
            <v>Other Wage Expense</v>
          </cell>
          <cell r="N45" t="str">
            <v>Spending</v>
          </cell>
          <cell r="O45">
            <v>71110100</v>
          </cell>
          <cell r="P45">
            <v>600007</v>
          </cell>
          <cell r="Q45" t="str">
            <v>Wages &amp; Salaries</v>
          </cell>
        </row>
        <row r="46">
          <cell r="J46">
            <v>600008</v>
          </cell>
          <cell r="K46" t="str">
            <v xml:space="preserve">Bonus </v>
          </cell>
          <cell r="L46">
            <v>71110130</v>
          </cell>
          <cell r="M46" t="str">
            <v>Outsourced Svcs Salaried Labor</v>
          </cell>
          <cell r="N46" t="str">
            <v>Spending</v>
          </cell>
          <cell r="O46">
            <v>71110130</v>
          </cell>
          <cell r="P46">
            <v>600008</v>
          </cell>
          <cell r="Q46" t="str">
            <v>Wages &amp; Salaries</v>
          </cell>
        </row>
        <row r="47">
          <cell r="J47">
            <v>600011</v>
          </cell>
          <cell r="K47" t="str">
            <v>401k ER Match</v>
          </cell>
          <cell r="L47">
            <v>71120030</v>
          </cell>
          <cell r="M47" t="str">
            <v>401(k)-Co Contrib</v>
          </cell>
          <cell r="N47" t="str">
            <v>Spending</v>
          </cell>
          <cell r="O47">
            <v>71120030</v>
          </cell>
          <cell r="P47">
            <v>600011</v>
          </cell>
          <cell r="Q47" t="str">
            <v>Fringe Benefits</v>
          </cell>
        </row>
        <row r="48">
          <cell r="J48">
            <v>600012</v>
          </cell>
          <cell r="K48" t="str">
            <v>Company Contribution</v>
          </cell>
          <cell r="L48">
            <v>71120040</v>
          </cell>
          <cell r="M48" t="str">
            <v>Company Contribution</v>
          </cell>
          <cell r="N48" t="str">
            <v>Spending</v>
          </cell>
          <cell r="O48">
            <v>71120040</v>
          </cell>
          <cell r="P48">
            <v>600012</v>
          </cell>
          <cell r="Q48" t="str">
            <v>Fringe Benefits</v>
          </cell>
        </row>
        <row r="49">
          <cell r="J49">
            <v>600013</v>
          </cell>
          <cell r="K49" t="str">
            <v>Health Insurance Exp</v>
          </cell>
          <cell r="L49">
            <v>71120050</v>
          </cell>
          <cell r="M49" t="str">
            <v>Health Insurance Exp</v>
          </cell>
          <cell r="N49" t="str">
            <v>Spending</v>
          </cell>
          <cell r="O49">
            <v>71120050</v>
          </cell>
          <cell r="P49">
            <v>600013</v>
          </cell>
          <cell r="Q49" t="str">
            <v>Fringe Benefits</v>
          </cell>
        </row>
        <row r="50">
          <cell r="J50">
            <v>600016</v>
          </cell>
          <cell r="K50" t="str">
            <v>FUTA Expense</v>
          </cell>
          <cell r="L50">
            <v>71120100</v>
          </cell>
          <cell r="M50" t="str">
            <v>FUTA/SUTA Expense</v>
          </cell>
          <cell r="N50" t="str">
            <v>Spending</v>
          </cell>
          <cell r="O50">
            <v>71120100</v>
          </cell>
          <cell r="P50">
            <v>600016</v>
          </cell>
          <cell r="Q50" t="str">
            <v>Fringe Benefits</v>
          </cell>
        </row>
        <row r="51">
          <cell r="J51">
            <v>600017</v>
          </cell>
          <cell r="K51" t="str">
            <v>SUTA Expense</v>
          </cell>
          <cell r="L51">
            <v>71120100</v>
          </cell>
          <cell r="M51" t="str">
            <v>SUTA Expense</v>
          </cell>
          <cell r="N51" t="str">
            <v>Spending</v>
          </cell>
          <cell r="O51">
            <v>71120100</v>
          </cell>
          <cell r="P51">
            <v>600017</v>
          </cell>
          <cell r="Q51" t="str">
            <v>Fringe Benefits</v>
          </cell>
        </row>
        <row r="52">
          <cell r="J52">
            <v>600018</v>
          </cell>
          <cell r="K52" t="str">
            <v>SS/Medicare Expense</v>
          </cell>
          <cell r="L52">
            <v>71120110</v>
          </cell>
          <cell r="M52" t="str">
            <v>SS/Medicare Expense</v>
          </cell>
          <cell r="N52" t="str">
            <v>Spending</v>
          </cell>
          <cell r="O52">
            <v>71120110</v>
          </cell>
          <cell r="P52">
            <v>600018</v>
          </cell>
          <cell r="Q52" t="str">
            <v>Fringe Benefits</v>
          </cell>
        </row>
        <row r="53">
          <cell r="J53">
            <v>600019</v>
          </cell>
          <cell r="K53" t="str">
            <v>Oth Fringe Bene Exp</v>
          </cell>
          <cell r="L53">
            <v>71120120</v>
          </cell>
          <cell r="M53" t="str">
            <v>Oth Fringe Bene Exp</v>
          </cell>
          <cell r="N53" t="str">
            <v>Spending</v>
          </cell>
          <cell r="O53">
            <v>71120120</v>
          </cell>
          <cell r="P53">
            <v>600019</v>
          </cell>
          <cell r="Q53" t="str">
            <v>Fringe Benefits</v>
          </cell>
        </row>
        <row r="54">
          <cell r="J54">
            <v>600020</v>
          </cell>
          <cell r="K54" t="str">
            <v>MIP Bonus Expense</v>
          </cell>
          <cell r="L54">
            <v>71121000</v>
          </cell>
          <cell r="M54" t="str">
            <v>MIP Bonus Expense</v>
          </cell>
          <cell r="N54" t="str">
            <v>Spending</v>
          </cell>
          <cell r="O54">
            <v>71121000</v>
          </cell>
          <cell r="P54">
            <v>600020</v>
          </cell>
          <cell r="Q54" t="str">
            <v>Fringe Benefits</v>
          </cell>
        </row>
        <row r="55">
          <cell r="J55">
            <v>600021</v>
          </cell>
          <cell r="K55" t="str">
            <v>Canada ER Tax</v>
          </cell>
          <cell r="L55">
            <v>71121010</v>
          </cell>
          <cell r="M55" t="str">
            <v>Canada ER Tax</v>
          </cell>
          <cell r="N55" t="str">
            <v>Spending</v>
          </cell>
          <cell r="O55">
            <v>71121010</v>
          </cell>
          <cell r="P55">
            <v>600021</v>
          </cell>
          <cell r="Q55" t="str">
            <v>Fringe Benefits</v>
          </cell>
        </row>
        <row r="56">
          <cell r="J56">
            <v>600023</v>
          </cell>
          <cell r="K56" t="str">
            <v>WF Tax</v>
          </cell>
          <cell r="L56">
            <v>71121010</v>
          </cell>
          <cell r="M56" t="str">
            <v>WF Tax</v>
          </cell>
          <cell r="N56" t="str">
            <v>Spending</v>
          </cell>
          <cell r="O56">
            <v>71121010</v>
          </cell>
          <cell r="P56">
            <v>600023</v>
          </cell>
          <cell r="Q56" t="str">
            <v>Fringe Benefits</v>
          </cell>
        </row>
        <row r="57">
          <cell r="J57">
            <v>600024</v>
          </cell>
          <cell r="K57" t="str">
            <v>Other Taxes - ER</v>
          </cell>
          <cell r="L57">
            <v>71121010</v>
          </cell>
          <cell r="M57" t="str">
            <v>Other Taxes - ER</v>
          </cell>
          <cell r="N57" t="str">
            <v>Spending</v>
          </cell>
          <cell r="O57">
            <v>71121010</v>
          </cell>
          <cell r="P57">
            <v>600024</v>
          </cell>
          <cell r="Q57" t="str">
            <v>Fringe Benefits</v>
          </cell>
        </row>
        <row r="58">
          <cell r="J58">
            <v>600025</v>
          </cell>
          <cell r="K58" t="str">
            <v>Other Leave Exp</v>
          </cell>
          <cell r="L58">
            <v>71120120</v>
          </cell>
          <cell r="M58" t="str">
            <v>Other Leave Exp</v>
          </cell>
          <cell r="N58" t="str">
            <v>Spending</v>
          </cell>
          <cell r="O58">
            <v>71120120</v>
          </cell>
          <cell r="P58">
            <v>600025</v>
          </cell>
          <cell r="Q58" t="str">
            <v>Fringe Benefits</v>
          </cell>
        </row>
        <row r="59">
          <cell r="J59">
            <v>600026</v>
          </cell>
          <cell r="K59" t="str">
            <v>HSA/FSA</v>
          </cell>
          <cell r="L59">
            <v>71120050</v>
          </cell>
          <cell r="M59" t="str">
            <v>HSA/FSA</v>
          </cell>
          <cell r="N59" t="str">
            <v>Spending</v>
          </cell>
          <cell r="O59">
            <v>71120050</v>
          </cell>
          <cell r="P59">
            <v>600026</v>
          </cell>
          <cell r="Q59" t="str">
            <v>Fringe Benefits</v>
          </cell>
        </row>
        <row r="60">
          <cell r="J60">
            <v>501070</v>
          </cell>
          <cell r="K60" t="str">
            <v>IDL HSA/FSA</v>
          </cell>
          <cell r="L60">
            <v>63115600</v>
          </cell>
          <cell r="M60" t="str">
            <v>IDL HSA/FSA</v>
          </cell>
          <cell r="N60" t="str">
            <v>Spending</v>
          </cell>
          <cell r="O60">
            <v>63115600</v>
          </cell>
          <cell r="P60">
            <v>501070</v>
          </cell>
          <cell r="Q60" t="str">
            <v>Fringe Benefits</v>
          </cell>
        </row>
        <row r="61">
          <cell r="J61">
            <v>600043</v>
          </cell>
          <cell r="K61" t="str">
            <v>Airfare Expense</v>
          </cell>
          <cell r="L61">
            <v>71140000</v>
          </cell>
          <cell r="M61" t="str">
            <v>Airfare Expense</v>
          </cell>
          <cell r="N61" t="str">
            <v>Spending</v>
          </cell>
          <cell r="O61">
            <v>71140000</v>
          </cell>
          <cell r="P61">
            <v>600043</v>
          </cell>
          <cell r="Q61" t="str">
            <v>Travel &amp; Entertainment</v>
          </cell>
        </row>
        <row r="62">
          <cell r="J62">
            <v>600044</v>
          </cell>
          <cell r="K62" t="str">
            <v>Meals - Travel</v>
          </cell>
          <cell r="L62" t="str">
            <v>71140120</v>
          </cell>
          <cell r="M62" t="str">
            <v>Meals - Travel</v>
          </cell>
          <cell r="N62" t="str">
            <v>Spending</v>
          </cell>
          <cell r="O62" t="str">
            <v>71140120</v>
          </cell>
          <cell r="P62">
            <v>600044</v>
          </cell>
          <cell r="Q62" t="str">
            <v>Travel &amp; Entertainment</v>
          </cell>
        </row>
        <row r="63">
          <cell r="J63">
            <v>600027</v>
          </cell>
          <cell r="K63" t="str">
            <v>Auto Expense</v>
          </cell>
          <cell r="L63">
            <v>71140010</v>
          </cell>
          <cell r="M63" t="str">
            <v>Auto Expense</v>
          </cell>
          <cell r="N63" t="str">
            <v>Spending</v>
          </cell>
          <cell r="O63">
            <v>71140010</v>
          </cell>
          <cell r="P63">
            <v>600027</v>
          </cell>
          <cell r="Q63" t="str">
            <v>Travel &amp; Entertainment</v>
          </cell>
        </row>
        <row r="64">
          <cell r="J64">
            <v>600028</v>
          </cell>
          <cell r="K64" t="str">
            <v>Mileage Reimburse</v>
          </cell>
          <cell r="L64">
            <v>71140020</v>
          </cell>
          <cell r="M64" t="str">
            <v>Mileage Reimburse</v>
          </cell>
          <cell r="N64" t="str">
            <v>Spending</v>
          </cell>
          <cell r="O64">
            <v>71140020</v>
          </cell>
          <cell r="P64">
            <v>600028</v>
          </cell>
          <cell r="Q64" t="str">
            <v>Travel &amp; Entertainment</v>
          </cell>
        </row>
        <row r="65">
          <cell r="J65">
            <v>600029</v>
          </cell>
          <cell r="K65" t="str">
            <v>Lodging Expense</v>
          </cell>
          <cell r="L65">
            <v>71140070</v>
          </cell>
          <cell r="M65" t="str">
            <v>Lodging Expense</v>
          </cell>
          <cell r="N65" t="str">
            <v>Spending</v>
          </cell>
          <cell r="O65">
            <v>71140070</v>
          </cell>
          <cell r="P65">
            <v>600029</v>
          </cell>
          <cell r="Q65" t="str">
            <v>Travel &amp; Entertainment</v>
          </cell>
        </row>
        <row r="66">
          <cell r="J66">
            <v>600030</v>
          </cell>
          <cell r="K66" t="str">
            <v>Other Travel Expense</v>
          </cell>
          <cell r="L66">
            <v>71140080</v>
          </cell>
          <cell r="M66" t="str">
            <v>Other Travel Expense</v>
          </cell>
          <cell r="N66" t="str">
            <v>Spending</v>
          </cell>
          <cell r="O66">
            <v>71140080</v>
          </cell>
          <cell r="P66">
            <v>600030</v>
          </cell>
          <cell r="Q66" t="str">
            <v>Travel &amp; Entertainment</v>
          </cell>
        </row>
        <row r="67">
          <cell r="J67">
            <v>600031</v>
          </cell>
          <cell r="K67" t="str">
            <v>Meal Exp-50% Deduct</v>
          </cell>
          <cell r="L67">
            <v>71140090</v>
          </cell>
          <cell r="M67" t="str">
            <v>Meal Exp-50% Deduct</v>
          </cell>
          <cell r="N67" t="str">
            <v>Spending</v>
          </cell>
          <cell r="O67">
            <v>71140090</v>
          </cell>
          <cell r="P67">
            <v>600031</v>
          </cell>
          <cell r="Q67" t="str">
            <v>Travel &amp; Entertainment</v>
          </cell>
        </row>
        <row r="68">
          <cell r="J68">
            <v>600032</v>
          </cell>
          <cell r="K68" t="str">
            <v>Meal Exp-100% Deduct</v>
          </cell>
          <cell r="L68">
            <v>71140100</v>
          </cell>
          <cell r="M68" t="str">
            <v>Meal Exp-100% Deduct</v>
          </cell>
          <cell r="N68" t="str">
            <v>Spending</v>
          </cell>
          <cell r="O68">
            <v>71140100</v>
          </cell>
          <cell r="P68">
            <v>600032</v>
          </cell>
          <cell r="Q68" t="str">
            <v>Travel &amp; Entertainment</v>
          </cell>
        </row>
        <row r="69">
          <cell r="J69">
            <v>600045</v>
          </cell>
          <cell r="K69" t="str">
            <v>Meals - Business</v>
          </cell>
          <cell r="L69">
            <v>71140130</v>
          </cell>
          <cell r="M69" t="str">
            <v>Meals - Business</v>
          </cell>
          <cell r="N69" t="str">
            <v>Spending</v>
          </cell>
          <cell r="O69">
            <v>71140130</v>
          </cell>
          <cell r="P69">
            <v>600045</v>
          </cell>
          <cell r="Q69" t="str">
            <v>Travel &amp; Entertainment</v>
          </cell>
        </row>
        <row r="70">
          <cell r="J70">
            <v>501801</v>
          </cell>
          <cell r="K70" t="str">
            <v>Meals - Business</v>
          </cell>
          <cell r="L70">
            <v>71140130</v>
          </cell>
          <cell r="M70" t="str">
            <v>Meals - Business</v>
          </cell>
          <cell r="N70" t="str">
            <v>Spending</v>
          </cell>
          <cell r="O70">
            <v>71140130</v>
          </cell>
          <cell r="P70">
            <v>501801</v>
          </cell>
          <cell r="Q70" t="str">
            <v>Travel &amp; Entertainment</v>
          </cell>
        </row>
        <row r="71">
          <cell r="J71">
            <v>600050</v>
          </cell>
          <cell r="K71" t="str">
            <v>Employee Prof Licens</v>
          </cell>
          <cell r="L71" t="str">
            <v>71152060</v>
          </cell>
          <cell r="M71" t="str">
            <v>Employee Prof Licens</v>
          </cell>
          <cell r="N71" t="str">
            <v>Spending</v>
          </cell>
          <cell r="O71" t="str">
            <v>71152060</v>
          </cell>
          <cell r="P71">
            <v>600050</v>
          </cell>
          <cell r="Q71" t="str">
            <v>Travel &amp; Entertainment</v>
          </cell>
        </row>
        <row r="72">
          <cell r="J72">
            <v>600051</v>
          </cell>
          <cell r="K72" t="str">
            <v>Auto/Vehicle Rental</v>
          </cell>
          <cell r="L72">
            <v>71140010</v>
          </cell>
          <cell r="M72" t="str">
            <v>Auto/Vehicle Rental</v>
          </cell>
          <cell r="N72" t="str">
            <v>Spending</v>
          </cell>
          <cell r="O72">
            <v>71140010</v>
          </cell>
          <cell r="P72">
            <v>600051</v>
          </cell>
          <cell r="Q72" t="str">
            <v>Travel &amp; Entertainment</v>
          </cell>
        </row>
        <row r="73">
          <cell r="J73">
            <v>600034</v>
          </cell>
          <cell r="K73" t="str">
            <v>Training Materials</v>
          </cell>
          <cell r="L73">
            <v>71150010</v>
          </cell>
          <cell r="M73" t="str">
            <v>Training Materials</v>
          </cell>
          <cell r="N73" t="str">
            <v>Spending</v>
          </cell>
          <cell r="O73">
            <v>71150010</v>
          </cell>
          <cell r="P73">
            <v>600034</v>
          </cell>
          <cell r="Q73" t="str">
            <v>Employee Related Expenses</v>
          </cell>
        </row>
        <row r="74">
          <cell r="J74">
            <v>600035</v>
          </cell>
          <cell r="K74" t="str">
            <v>Seminar &amp; Conf Exp</v>
          </cell>
          <cell r="L74">
            <v>71151000</v>
          </cell>
          <cell r="M74" t="str">
            <v>Seminar &amp; Conf Exp</v>
          </cell>
          <cell r="N74" t="str">
            <v>Spending</v>
          </cell>
          <cell r="O74">
            <v>71151000</v>
          </cell>
          <cell r="P74">
            <v>600035</v>
          </cell>
          <cell r="Q74" t="str">
            <v>Other</v>
          </cell>
        </row>
        <row r="75">
          <cell r="J75">
            <v>600036</v>
          </cell>
          <cell r="K75" t="str">
            <v>Meeting Exp-Internal</v>
          </cell>
          <cell r="L75">
            <v>71151010</v>
          </cell>
          <cell r="M75" t="str">
            <v>Meeting Exp-Internal</v>
          </cell>
          <cell r="N75" t="str">
            <v>Spending</v>
          </cell>
          <cell r="O75">
            <v>71151010</v>
          </cell>
          <cell r="P75">
            <v>600036</v>
          </cell>
          <cell r="Q75" t="str">
            <v>Employee Related Expenses</v>
          </cell>
        </row>
        <row r="76">
          <cell r="J76">
            <v>600037</v>
          </cell>
          <cell r="K76" t="str">
            <v>Employee Activities</v>
          </cell>
          <cell r="L76">
            <v>71152000</v>
          </cell>
          <cell r="M76" t="str">
            <v>Employee Activities</v>
          </cell>
          <cell r="N76" t="str">
            <v>Spending</v>
          </cell>
          <cell r="O76">
            <v>71152000</v>
          </cell>
          <cell r="P76">
            <v>600037</v>
          </cell>
          <cell r="Q76" t="str">
            <v>Employee Related Expenses</v>
          </cell>
        </row>
        <row r="77">
          <cell r="J77">
            <v>600038</v>
          </cell>
          <cell r="K77" t="str">
            <v>Employee Recruitment</v>
          </cell>
          <cell r="L77">
            <v>71152030</v>
          </cell>
          <cell r="M77" t="str">
            <v>Employee Recruitment</v>
          </cell>
          <cell r="N77" t="str">
            <v>Spending</v>
          </cell>
          <cell r="O77">
            <v>71152030</v>
          </cell>
          <cell r="P77">
            <v>600038</v>
          </cell>
          <cell r="Q77" t="str">
            <v>Employee Related Expenses</v>
          </cell>
        </row>
        <row r="78">
          <cell r="J78">
            <v>600039</v>
          </cell>
          <cell r="K78" t="str">
            <v>Employee Relo Exp</v>
          </cell>
          <cell r="L78">
            <v>71152040</v>
          </cell>
          <cell r="M78" t="str">
            <v>Employee Relo Exp</v>
          </cell>
          <cell r="N78" t="str">
            <v>Spending</v>
          </cell>
          <cell r="O78">
            <v>71152040</v>
          </cell>
          <cell r="P78">
            <v>600039</v>
          </cell>
          <cell r="Q78" t="str">
            <v>Employee Related Expenses</v>
          </cell>
        </row>
        <row r="79">
          <cell r="J79">
            <v>501803</v>
          </cell>
          <cell r="K79" t="str">
            <v>Employee Meetings</v>
          </cell>
          <cell r="M79" t="str">
            <v>Employee Meetings</v>
          </cell>
          <cell r="N79" t="str">
            <v>Spending</v>
          </cell>
          <cell r="P79">
            <v>501803</v>
          </cell>
          <cell r="Q79" t="str">
            <v>Employee Related Expenses</v>
          </cell>
        </row>
        <row r="80">
          <cell r="J80">
            <v>501804</v>
          </cell>
          <cell r="K80" t="str">
            <v>Other Employee Exp</v>
          </cell>
          <cell r="L80">
            <v>71152100</v>
          </cell>
          <cell r="M80" t="str">
            <v>Other Employee Exp</v>
          </cell>
          <cell r="N80" t="str">
            <v>Spending</v>
          </cell>
          <cell r="O80">
            <v>71152100</v>
          </cell>
          <cell r="P80">
            <v>501804</v>
          </cell>
          <cell r="Q80" t="str">
            <v>Employee Related Expenses</v>
          </cell>
        </row>
        <row r="81">
          <cell r="J81">
            <v>600041</v>
          </cell>
          <cell r="K81" t="str">
            <v>Cafeteria Expense</v>
          </cell>
          <cell r="L81">
            <v>71152090</v>
          </cell>
          <cell r="M81" t="str">
            <v>Cafeteria Expense</v>
          </cell>
          <cell r="N81" t="str">
            <v>Spending</v>
          </cell>
          <cell r="O81">
            <v>71152090</v>
          </cell>
          <cell r="P81">
            <v>600041</v>
          </cell>
          <cell r="Q81" t="str">
            <v>Outside Services</v>
          </cell>
        </row>
        <row r="82">
          <cell r="J82">
            <v>600042</v>
          </cell>
          <cell r="K82" t="str">
            <v>Other Employee Exp</v>
          </cell>
          <cell r="L82">
            <v>71152100</v>
          </cell>
          <cell r="M82" t="str">
            <v>Other Employee Exp</v>
          </cell>
          <cell r="N82" t="str">
            <v>Spending</v>
          </cell>
          <cell r="O82">
            <v>71152100</v>
          </cell>
          <cell r="P82">
            <v>600042</v>
          </cell>
          <cell r="Q82" t="str">
            <v>Employee Related Expenses</v>
          </cell>
        </row>
        <row r="83">
          <cell r="J83">
            <v>600048</v>
          </cell>
          <cell r="K83" t="str">
            <v>Employee Wellness</v>
          </cell>
          <cell r="L83">
            <v>71152010</v>
          </cell>
          <cell r="M83" t="str">
            <v>Employee Wellness</v>
          </cell>
          <cell r="N83" t="str">
            <v>Spending</v>
          </cell>
          <cell r="O83">
            <v>71152010</v>
          </cell>
          <cell r="P83">
            <v>600048</v>
          </cell>
          <cell r="Q83" t="str">
            <v>Employee Related Expenses</v>
          </cell>
        </row>
        <row r="84">
          <cell r="J84">
            <v>501201</v>
          </cell>
          <cell r="K84" t="str">
            <v>Real Estate Taxes</v>
          </cell>
          <cell r="L84">
            <v>71210020</v>
          </cell>
          <cell r="M84" t="str">
            <v>Real Estate Taxes</v>
          </cell>
          <cell r="N84" t="str">
            <v>Spending</v>
          </cell>
          <cell r="O84">
            <v>71210020</v>
          </cell>
          <cell r="P84">
            <v>501201</v>
          </cell>
          <cell r="Q84" t="str">
            <v>Other</v>
          </cell>
        </row>
        <row r="85">
          <cell r="J85" t="e">
            <v>#N/A</v>
          </cell>
          <cell r="K85" t="e">
            <v>#N/A</v>
          </cell>
          <cell r="L85">
            <v>71230000</v>
          </cell>
          <cell r="M85" t="str">
            <v>Sales Tax</v>
          </cell>
          <cell r="N85" t="str">
            <v>Spending</v>
          </cell>
          <cell r="O85">
            <v>71230000</v>
          </cell>
          <cell r="P85" t="e">
            <v>#N/A</v>
          </cell>
          <cell r="Q85" t="str">
            <v>Other</v>
          </cell>
        </row>
        <row r="86">
          <cell r="J86">
            <v>501202</v>
          </cell>
          <cell r="K86" t="str">
            <v>Personal Prop Taxes</v>
          </cell>
          <cell r="L86">
            <v>71210030</v>
          </cell>
          <cell r="M86" t="str">
            <v>Personal Prop Taxes</v>
          </cell>
          <cell r="N86" t="str">
            <v>Spending</v>
          </cell>
          <cell r="O86">
            <v>71210030</v>
          </cell>
          <cell r="P86">
            <v>501202</v>
          </cell>
          <cell r="Q86" t="str">
            <v>Other</v>
          </cell>
        </row>
        <row r="87">
          <cell r="J87">
            <v>501250</v>
          </cell>
          <cell r="K87" t="str">
            <v>Telephone-Data</v>
          </cell>
          <cell r="L87">
            <v>71212000</v>
          </cell>
          <cell r="M87" t="str">
            <v>Telephone-Data</v>
          </cell>
          <cell r="N87" t="str">
            <v>Spending</v>
          </cell>
          <cell r="O87">
            <v>71212000</v>
          </cell>
          <cell r="P87">
            <v>501250</v>
          </cell>
          <cell r="Q87" t="str">
            <v>Travel &amp; Entertainment</v>
          </cell>
        </row>
        <row r="88">
          <cell r="J88">
            <v>501251</v>
          </cell>
          <cell r="K88" t="str">
            <v>Telephone-Voice</v>
          </cell>
          <cell r="L88">
            <v>71212010</v>
          </cell>
          <cell r="M88" t="str">
            <v>Telephone-Voice</v>
          </cell>
          <cell r="N88" t="str">
            <v>Spending</v>
          </cell>
          <cell r="O88">
            <v>71212010</v>
          </cell>
          <cell r="P88">
            <v>501251</v>
          </cell>
          <cell r="Q88" t="str">
            <v>Travel &amp; Entertainment</v>
          </cell>
        </row>
        <row r="89">
          <cell r="J89">
            <v>501252</v>
          </cell>
          <cell r="K89" t="str">
            <v>Telephone-Wireless</v>
          </cell>
          <cell r="L89">
            <v>71212020</v>
          </cell>
          <cell r="M89" t="str">
            <v>Telephone-Wireless</v>
          </cell>
          <cell r="N89" t="str">
            <v>Spending</v>
          </cell>
          <cell r="O89">
            <v>71212020</v>
          </cell>
          <cell r="P89">
            <v>501252</v>
          </cell>
          <cell r="Q89" t="str">
            <v>Travel &amp; Entertainment</v>
          </cell>
        </row>
        <row r="90">
          <cell r="J90">
            <v>501254</v>
          </cell>
          <cell r="K90" t="str">
            <v>Energy-Gas</v>
          </cell>
          <cell r="L90">
            <v>71213000</v>
          </cell>
          <cell r="M90" t="str">
            <v>Energy-Gas</v>
          </cell>
          <cell r="N90" t="str">
            <v>Spending</v>
          </cell>
          <cell r="O90">
            <v>71213000</v>
          </cell>
          <cell r="P90">
            <v>501254</v>
          </cell>
          <cell r="Q90" t="str">
            <v>Utilities</v>
          </cell>
        </row>
        <row r="91">
          <cell r="J91">
            <v>501255</v>
          </cell>
          <cell r="K91" t="str">
            <v>Energy-Electric</v>
          </cell>
          <cell r="L91">
            <v>71213010</v>
          </cell>
          <cell r="M91" t="str">
            <v>Energy-Electric</v>
          </cell>
          <cell r="N91" t="str">
            <v>Spending</v>
          </cell>
          <cell r="O91">
            <v>71213010</v>
          </cell>
          <cell r="P91">
            <v>501255</v>
          </cell>
          <cell r="Q91" t="str">
            <v>Utilities</v>
          </cell>
        </row>
        <row r="92">
          <cell r="J92">
            <v>501256</v>
          </cell>
          <cell r="K92" t="str">
            <v>Energy-Water/Sewer</v>
          </cell>
          <cell r="L92">
            <v>71213020</v>
          </cell>
          <cell r="M92" t="str">
            <v>Energy-Water/Sewer</v>
          </cell>
          <cell r="N92" t="str">
            <v>Spending</v>
          </cell>
          <cell r="O92">
            <v>71213020</v>
          </cell>
          <cell r="P92">
            <v>501256</v>
          </cell>
          <cell r="Q92" t="str">
            <v>Utilities</v>
          </cell>
        </row>
        <row r="93">
          <cell r="J93">
            <v>501209</v>
          </cell>
          <cell r="K93" t="str">
            <v>R&amp;M-Building</v>
          </cell>
          <cell r="L93">
            <v>71214000</v>
          </cell>
          <cell r="M93" t="str">
            <v>R&amp;M-Building</v>
          </cell>
          <cell r="N93" t="str">
            <v>Spending</v>
          </cell>
          <cell r="O93">
            <v>71214000</v>
          </cell>
          <cell r="P93">
            <v>501209</v>
          </cell>
          <cell r="Q93" t="str">
            <v>Repairs &amp; Maintenance</v>
          </cell>
        </row>
        <row r="94">
          <cell r="J94">
            <v>501210</v>
          </cell>
          <cell r="K94" t="str">
            <v>R&amp;M-Leasehold</v>
          </cell>
          <cell r="L94">
            <v>71214010</v>
          </cell>
          <cell r="M94" t="str">
            <v>R&amp;M-Leasehold</v>
          </cell>
          <cell r="N94" t="str">
            <v>Spending</v>
          </cell>
          <cell r="O94">
            <v>71214010</v>
          </cell>
          <cell r="P94">
            <v>501210</v>
          </cell>
          <cell r="Q94" t="str">
            <v>Repairs &amp; Maintenance</v>
          </cell>
        </row>
        <row r="95">
          <cell r="J95">
            <v>501211</v>
          </cell>
          <cell r="K95" t="str">
            <v>R&amp;M-Machine &amp; Equip</v>
          </cell>
          <cell r="L95">
            <v>71214020</v>
          </cell>
          <cell r="M95" t="str">
            <v>R&amp;M-Machine &amp; Equip</v>
          </cell>
          <cell r="N95" t="str">
            <v>Spending</v>
          </cell>
          <cell r="O95">
            <v>71214020</v>
          </cell>
          <cell r="P95">
            <v>501211</v>
          </cell>
          <cell r="Q95" t="str">
            <v>Repairs &amp; Maintenance</v>
          </cell>
        </row>
        <row r="96">
          <cell r="J96">
            <v>501212</v>
          </cell>
          <cell r="K96" t="str">
            <v>R&amp;M-Office Equipment</v>
          </cell>
          <cell r="L96">
            <v>71214040</v>
          </cell>
          <cell r="M96" t="str">
            <v>R&amp;M-Office Equipment</v>
          </cell>
          <cell r="N96" t="str">
            <v>Spending</v>
          </cell>
          <cell r="O96">
            <v>71214040</v>
          </cell>
          <cell r="P96">
            <v>501212</v>
          </cell>
          <cell r="Q96" t="str">
            <v>Repairs &amp; Maintenance</v>
          </cell>
        </row>
        <row r="97">
          <cell r="J97">
            <v>501213</v>
          </cell>
          <cell r="K97" t="str">
            <v>R&amp;M-Computer Equip</v>
          </cell>
          <cell r="L97">
            <v>71214050</v>
          </cell>
          <cell r="M97" t="str">
            <v>R&amp;M-Computer Equip</v>
          </cell>
          <cell r="N97" t="str">
            <v>Spending</v>
          </cell>
          <cell r="O97">
            <v>71214050</v>
          </cell>
          <cell r="P97">
            <v>501213</v>
          </cell>
          <cell r="Q97" t="str">
            <v>Repairs &amp; Maintenance</v>
          </cell>
        </row>
        <row r="98">
          <cell r="J98">
            <v>501215</v>
          </cell>
          <cell r="K98" t="str">
            <v>R&amp;M-Auto</v>
          </cell>
          <cell r="L98">
            <v>71214070</v>
          </cell>
          <cell r="M98" t="str">
            <v>R&amp;M-Auto</v>
          </cell>
          <cell r="N98" t="str">
            <v>Spending</v>
          </cell>
          <cell r="O98">
            <v>71214070</v>
          </cell>
          <cell r="P98">
            <v>501215</v>
          </cell>
          <cell r="Q98" t="str">
            <v>Repairs &amp; Maintenance</v>
          </cell>
        </row>
        <row r="99">
          <cell r="J99">
            <v>501216</v>
          </cell>
          <cell r="K99" t="str">
            <v>R &amp; M-Other</v>
          </cell>
          <cell r="L99">
            <v>71214080</v>
          </cell>
          <cell r="M99" t="str">
            <v>R &amp; M-Other</v>
          </cell>
          <cell r="N99" t="str">
            <v>Spending</v>
          </cell>
          <cell r="O99">
            <v>71214080</v>
          </cell>
          <cell r="P99">
            <v>501216</v>
          </cell>
          <cell r="Q99" t="str">
            <v>Repairs &amp; Maintenance</v>
          </cell>
        </row>
        <row r="100">
          <cell r="J100">
            <v>508000</v>
          </cell>
          <cell r="K100" t="str">
            <v>Depr-Land Improve</v>
          </cell>
          <cell r="L100">
            <v>71220000</v>
          </cell>
          <cell r="M100" t="str">
            <v>Depr-Land Improve</v>
          </cell>
          <cell r="N100" t="str">
            <v>Depreciation</v>
          </cell>
          <cell r="O100">
            <v>71220000</v>
          </cell>
          <cell r="P100">
            <v>508000</v>
          </cell>
          <cell r="Q100" t="str">
            <v>Depreciation</v>
          </cell>
        </row>
        <row r="101">
          <cell r="J101">
            <v>508001</v>
          </cell>
          <cell r="K101" t="str">
            <v>Depr-Buildings</v>
          </cell>
          <cell r="L101">
            <v>71220010</v>
          </cell>
          <cell r="M101" t="str">
            <v>Depr-Buildings</v>
          </cell>
          <cell r="N101" t="str">
            <v>Depreciation</v>
          </cell>
          <cell r="O101">
            <v>71220010</v>
          </cell>
          <cell r="P101">
            <v>508001</v>
          </cell>
          <cell r="Q101" t="str">
            <v>Depreciation</v>
          </cell>
        </row>
        <row r="102">
          <cell r="J102">
            <v>508002</v>
          </cell>
          <cell r="K102" t="str">
            <v>Depr-Build Improve</v>
          </cell>
          <cell r="L102">
            <v>71220020</v>
          </cell>
          <cell r="M102" t="str">
            <v>Depr-Build Improve</v>
          </cell>
          <cell r="N102" t="str">
            <v>Depreciation</v>
          </cell>
          <cell r="O102">
            <v>71220020</v>
          </cell>
          <cell r="P102">
            <v>508002</v>
          </cell>
          <cell r="Q102" t="str">
            <v>Depreciation</v>
          </cell>
        </row>
        <row r="103">
          <cell r="J103">
            <v>508004</v>
          </cell>
          <cell r="K103" t="str">
            <v>Depr-Machine &amp; Equip</v>
          </cell>
          <cell r="L103">
            <v>71220040</v>
          </cell>
          <cell r="M103" t="str">
            <v>Depr-Machine &amp; Equip</v>
          </cell>
          <cell r="N103" t="str">
            <v>Depreciation</v>
          </cell>
          <cell r="O103">
            <v>71220040</v>
          </cell>
          <cell r="P103">
            <v>508004</v>
          </cell>
          <cell r="Q103" t="str">
            <v>Depreciation</v>
          </cell>
        </row>
        <row r="104">
          <cell r="J104">
            <v>508005</v>
          </cell>
          <cell r="K104" t="str">
            <v>Depr-Service Equip</v>
          </cell>
          <cell r="L104">
            <v>71220050</v>
          </cell>
          <cell r="M104" t="str">
            <v>Depr-Service Equip</v>
          </cell>
          <cell r="N104" t="str">
            <v>Depreciation</v>
          </cell>
          <cell r="O104">
            <v>71220050</v>
          </cell>
          <cell r="P104">
            <v>508005</v>
          </cell>
          <cell r="Q104" t="str">
            <v>Depreciation</v>
          </cell>
        </row>
        <row r="105">
          <cell r="J105">
            <v>508006</v>
          </cell>
          <cell r="K105" t="str">
            <v>Depr-Office Equip</v>
          </cell>
          <cell r="L105">
            <v>71220060</v>
          </cell>
          <cell r="M105" t="str">
            <v>Depr-Office Equip</v>
          </cell>
          <cell r="N105" t="str">
            <v>Depreciation</v>
          </cell>
          <cell r="O105">
            <v>71220060</v>
          </cell>
          <cell r="P105">
            <v>508006</v>
          </cell>
          <cell r="Q105" t="str">
            <v>Depreciation</v>
          </cell>
        </row>
        <row r="106">
          <cell r="J106">
            <v>508007</v>
          </cell>
          <cell r="K106" t="str">
            <v>Depr-Tools,Dies</v>
          </cell>
          <cell r="L106">
            <v>71220070</v>
          </cell>
          <cell r="M106" t="str">
            <v>Depr-Tools,Dies</v>
          </cell>
          <cell r="N106" t="str">
            <v>Depreciation</v>
          </cell>
          <cell r="O106">
            <v>71220070</v>
          </cell>
          <cell r="P106">
            <v>508007</v>
          </cell>
          <cell r="Q106" t="str">
            <v>Depreciation</v>
          </cell>
        </row>
        <row r="107">
          <cell r="J107">
            <v>508009</v>
          </cell>
          <cell r="K107" t="str">
            <v>Depr-Software Extern</v>
          </cell>
          <cell r="L107">
            <v>71220100</v>
          </cell>
          <cell r="M107" t="str">
            <v>Depr-Software Extern</v>
          </cell>
          <cell r="N107" t="str">
            <v>Depreciation</v>
          </cell>
          <cell r="O107">
            <v>71220100</v>
          </cell>
          <cell r="P107">
            <v>508009</v>
          </cell>
          <cell r="Q107" t="str">
            <v>Depreciation</v>
          </cell>
        </row>
        <row r="108">
          <cell r="J108">
            <v>508011</v>
          </cell>
          <cell r="K108" t="str">
            <v>Depr-Furn &amp; Fixtures</v>
          </cell>
          <cell r="L108">
            <v>71220120</v>
          </cell>
          <cell r="M108" t="str">
            <v>Depr-Furn &amp; Fixtures</v>
          </cell>
          <cell r="N108" t="str">
            <v>Depreciation</v>
          </cell>
          <cell r="O108">
            <v>71220120</v>
          </cell>
          <cell r="P108">
            <v>508011</v>
          </cell>
          <cell r="Q108" t="str">
            <v>Depreciation</v>
          </cell>
        </row>
        <row r="109">
          <cell r="J109">
            <v>501600</v>
          </cell>
          <cell r="K109" t="str">
            <v>Hzrd Wst Rmvl Direct</v>
          </cell>
          <cell r="L109">
            <v>71240000</v>
          </cell>
          <cell r="M109" t="str">
            <v>Hazard Waste Removal</v>
          </cell>
          <cell r="N109" t="str">
            <v>Spending</v>
          </cell>
          <cell r="O109">
            <v>71240000</v>
          </cell>
          <cell r="P109">
            <v>501600</v>
          </cell>
          <cell r="Q109" t="str">
            <v>Outside Services</v>
          </cell>
        </row>
        <row r="110">
          <cell r="J110">
            <v>501601</v>
          </cell>
          <cell r="K110" t="str">
            <v>Non-Hazard Waste Rem</v>
          </cell>
          <cell r="L110">
            <v>71240010</v>
          </cell>
          <cell r="M110" t="str">
            <v>Non-Hazard Waste Rem</v>
          </cell>
          <cell r="N110" t="str">
            <v>Spending</v>
          </cell>
          <cell r="O110">
            <v>71240010</v>
          </cell>
          <cell r="P110">
            <v>501601</v>
          </cell>
          <cell r="Q110" t="str">
            <v>Outside Services</v>
          </cell>
        </row>
        <row r="111">
          <cell r="J111">
            <v>501602</v>
          </cell>
          <cell r="K111" t="str">
            <v>Safety Supplies</v>
          </cell>
          <cell r="L111">
            <v>71240020</v>
          </cell>
          <cell r="M111" t="str">
            <v>Safety Supplies</v>
          </cell>
          <cell r="N111" t="str">
            <v>Spending</v>
          </cell>
          <cell r="O111">
            <v>71240020</v>
          </cell>
          <cell r="P111">
            <v>501602</v>
          </cell>
          <cell r="Q111" t="str">
            <v>Supplies Expenses</v>
          </cell>
        </row>
        <row r="112">
          <cell r="J112">
            <v>501604</v>
          </cell>
          <cell r="K112" t="str">
            <v>Hzrd Wst Rmvl Indrct</v>
          </cell>
          <cell r="L112">
            <v>71240040</v>
          </cell>
          <cell r="M112" t="str">
            <v>Hzrd Wst Rmvl Indrct</v>
          </cell>
          <cell r="N112" t="str">
            <v>Spending</v>
          </cell>
          <cell r="O112">
            <v>71240040</v>
          </cell>
          <cell r="P112">
            <v>501604</v>
          </cell>
          <cell r="Q112" t="str">
            <v>Outside Services</v>
          </cell>
        </row>
        <row r="113">
          <cell r="J113">
            <v>501605</v>
          </cell>
          <cell r="K113" t="str">
            <v>Small Tools Expense</v>
          </cell>
          <cell r="L113">
            <v>71241000</v>
          </cell>
          <cell r="M113" t="str">
            <v>Small Tools Expense</v>
          </cell>
          <cell r="N113" t="str">
            <v>Spending</v>
          </cell>
          <cell r="O113">
            <v>71241000</v>
          </cell>
          <cell r="P113">
            <v>501605</v>
          </cell>
          <cell r="Q113" t="str">
            <v>Supplies Expenses</v>
          </cell>
        </row>
        <row r="114">
          <cell r="J114">
            <v>501606</v>
          </cell>
          <cell r="K114" t="str">
            <v>Small Parts Expense</v>
          </cell>
          <cell r="L114">
            <v>71241010</v>
          </cell>
          <cell r="M114" t="str">
            <v>Small Parts Expense</v>
          </cell>
          <cell r="N114" t="str">
            <v>Spending</v>
          </cell>
          <cell r="O114">
            <v>71241010</v>
          </cell>
          <cell r="P114">
            <v>501606</v>
          </cell>
          <cell r="Q114" t="str">
            <v>Repairs &amp; Maintenance</v>
          </cell>
        </row>
        <row r="115">
          <cell r="J115">
            <v>501607</v>
          </cell>
          <cell r="K115" t="str">
            <v>Packaging Supp Exp</v>
          </cell>
          <cell r="L115">
            <v>71241020</v>
          </cell>
          <cell r="M115" t="str">
            <v>Packaging Supp Exp</v>
          </cell>
          <cell r="N115" t="str">
            <v>Spending</v>
          </cell>
          <cell r="O115">
            <v>71241020</v>
          </cell>
          <cell r="P115">
            <v>501607</v>
          </cell>
          <cell r="Q115" t="str">
            <v>Supplies Expenses</v>
          </cell>
        </row>
        <row r="116">
          <cell r="J116">
            <v>605006</v>
          </cell>
          <cell r="K116" t="str">
            <v>Packaging Supplies Expense</v>
          </cell>
          <cell r="L116">
            <v>71241020</v>
          </cell>
          <cell r="M116" t="str">
            <v>Packaging Supp Exp</v>
          </cell>
          <cell r="N116" t="str">
            <v>Spending</v>
          </cell>
          <cell r="O116">
            <v>71241020</v>
          </cell>
          <cell r="P116">
            <v>605006</v>
          </cell>
          <cell r="Q116" t="str">
            <v>Supplies Expenses</v>
          </cell>
        </row>
        <row r="117">
          <cell r="J117">
            <v>501608</v>
          </cell>
          <cell r="K117" t="str">
            <v>Pallets Expense</v>
          </cell>
          <cell r="L117">
            <v>71241030</v>
          </cell>
          <cell r="M117" t="str">
            <v>Pallets Expense</v>
          </cell>
          <cell r="N117" t="str">
            <v>Spending</v>
          </cell>
          <cell r="O117">
            <v>71241030</v>
          </cell>
          <cell r="P117">
            <v>501608</v>
          </cell>
          <cell r="Q117" t="str">
            <v>Supplies Expenses</v>
          </cell>
        </row>
        <row r="118">
          <cell r="J118">
            <v>501609</v>
          </cell>
          <cell r="K118" t="str">
            <v>Lab Supplies Expense</v>
          </cell>
          <cell r="L118">
            <v>71241040</v>
          </cell>
          <cell r="M118" t="str">
            <v>Lab Supplies Expense</v>
          </cell>
          <cell r="N118" t="str">
            <v>Spending</v>
          </cell>
          <cell r="O118">
            <v>71241040</v>
          </cell>
          <cell r="P118">
            <v>501609</v>
          </cell>
          <cell r="Q118" t="str">
            <v>Supplies Expenses</v>
          </cell>
        </row>
        <row r="119">
          <cell r="J119">
            <v>501611</v>
          </cell>
          <cell r="K119" t="str">
            <v>Uniforms Expense</v>
          </cell>
          <cell r="L119">
            <v>71241060</v>
          </cell>
          <cell r="M119" t="str">
            <v>Uniforms Expense</v>
          </cell>
          <cell r="N119" t="str">
            <v>Spending</v>
          </cell>
          <cell r="O119">
            <v>71241060</v>
          </cell>
          <cell r="P119">
            <v>501611</v>
          </cell>
          <cell r="Q119" t="str">
            <v>Supplies Expenses</v>
          </cell>
        </row>
        <row r="120">
          <cell r="J120">
            <v>501612</v>
          </cell>
          <cell r="K120" t="str">
            <v>Custodial Supplies</v>
          </cell>
          <cell r="L120">
            <v>71241070</v>
          </cell>
          <cell r="M120" t="str">
            <v>Custodial Supplies</v>
          </cell>
          <cell r="N120" t="str">
            <v>Spending</v>
          </cell>
          <cell r="O120">
            <v>71241070</v>
          </cell>
          <cell r="P120">
            <v>501612</v>
          </cell>
          <cell r="Q120" t="str">
            <v>Supplies Expenses</v>
          </cell>
        </row>
        <row r="121">
          <cell r="J121">
            <v>501613</v>
          </cell>
          <cell r="K121" t="str">
            <v>Other Consumables</v>
          </cell>
          <cell r="L121">
            <v>71241080</v>
          </cell>
          <cell r="M121" t="str">
            <v>Other Consumables</v>
          </cell>
          <cell r="N121" t="str">
            <v>Spending</v>
          </cell>
          <cell r="O121">
            <v>71241080</v>
          </cell>
          <cell r="P121">
            <v>501613</v>
          </cell>
          <cell r="Q121" t="str">
            <v>Supplies Expenses</v>
          </cell>
        </row>
        <row r="122">
          <cell r="J122">
            <v>501614</v>
          </cell>
          <cell r="K122" t="str">
            <v>Indirect Pallet Expe</v>
          </cell>
          <cell r="L122">
            <v>71241110</v>
          </cell>
          <cell r="M122" t="str">
            <v>Indirect Pallet Expe</v>
          </cell>
          <cell r="N122" t="str">
            <v>Spending</v>
          </cell>
          <cell r="O122">
            <v>71241110</v>
          </cell>
          <cell r="P122">
            <v>501614</v>
          </cell>
          <cell r="Q122" t="str">
            <v>Supplies Expenses</v>
          </cell>
        </row>
        <row r="123">
          <cell r="J123">
            <v>500807</v>
          </cell>
          <cell r="K123" t="str">
            <v>Prod Dev Materials</v>
          </cell>
          <cell r="L123">
            <v>71243000</v>
          </cell>
          <cell r="M123" t="str">
            <v>Prod Dev Materials</v>
          </cell>
          <cell r="N123" t="str">
            <v>Spending</v>
          </cell>
          <cell r="O123">
            <v>71243000</v>
          </cell>
          <cell r="P123">
            <v>500807</v>
          </cell>
          <cell r="Q123" t="str">
            <v>Supplies Expenses</v>
          </cell>
        </row>
        <row r="124">
          <cell r="J124">
            <v>500165</v>
          </cell>
          <cell r="K124" t="str">
            <v>Third Party Whse Exp</v>
          </cell>
          <cell r="L124">
            <v>71243010</v>
          </cell>
          <cell r="M124" t="str">
            <v>Third Party Whse Exp</v>
          </cell>
          <cell r="N124" t="str">
            <v>Spending</v>
          </cell>
          <cell r="O124">
            <v>71243010</v>
          </cell>
          <cell r="P124">
            <v>500165</v>
          </cell>
          <cell r="Q124" t="str">
            <v>Outside Services</v>
          </cell>
        </row>
        <row r="125">
          <cell r="J125">
            <v>500808</v>
          </cell>
          <cell r="K125" t="str">
            <v>Inbound Freight Exp</v>
          </cell>
          <cell r="L125">
            <v>71243020</v>
          </cell>
          <cell r="M125" t="str">
            <v>Inbound Freight Exp</v>
          </cell>
          <cell r="N125" t="str">
            <v>Inbound Freight</v>
          </cell>
          <cell r="O125">
            <v>71243020</v>
          </cell>
          <cell r="P125">
            <v>500808</v>
          </cell>
          <cell r="Q125" t="str">
            <v>Inbound Freight</v>
          </cell>
        </row>
        <row r="126">
          <cell r="J126">
            <v>607081</v>
          </cell>
          <cell r="K126" t="str">
            <v>Courier Expense</v>
          </cell>
          <cell r="L126">
            <v>71243030</v>
          </cell>
          <cell r="M126" t="str">
            <v>Courier Expense</v>
          </cell>
          <cell r="N126" t="str">
            <v>Spending</v>
          </cell>
          <cell r="O126">
            <v>71243030</v>
          </cell>
          <cell r="P126">
            <v>607081</v>
          </cell>
          <cell r="Q126" t="str">
            <v>Travel &amp; Entertainment</v>
          </cell>
        </row>
        <row r="127">
          <cell r="J127">
            <v>501650</v>
          </cell>
          <cell r="K127" t="str">
            <v>Other Op Exp (APO)</v>
          </cell>
          <cell r="L127">
            <v>71243090</v>
          </cell>
          <cell r="M127" t="str">
            <v>Other Op Expenses</v>
          </cell>
          <cell r="N127" t="str">
            <v>Spending</v>
          </cell>
          <cell r="O127">
            <v>71243090</v>
          </cell>
          <cell r="P127">
            <v>501650</v>
          </cell>
          <cell r="Q127" t="str">
            <v>Other</v>
          </cell>
        </row>
        <row r="128">
          <cell r="J128">
            <v>500815</v>
          </cell>
          <cell r="K128" t="str">
            <v>Other Freight</v>
          </cell>
          <cell r="L128">
            <v>71243020</v>
          </cell>
          <cell r="M128" t="str">
            <v>Inbound Freight Exp</v>
          </cell>
          <cell r="N128" t="str">
            <v>Inbound Freight</v>
          </cell>
          <cell r="O128">
            <v>71243020</v>
          </cell>
          <cell r="P128">
            <v>500815</v>
          </cell>
          <cell r="Q128" t="str">
            <v>Inbound Freight</v>
          </cell>
        </row>
        <row r="129">
          <cell r="J129">
            <v>500812</v>
          </cell>
          <cell r="K129" t="str">
            <v>Outbound Air</v>
          </cell>
          <cell r="L129">
            <v>71250000</v>
          </cell>
          <cell r="M129" t="str">
            <v>Outbound Air</v>
          </cell>
          <cell r="N129" t="str">
            <v>Inbound Freight</v>
          </cell>
          <cell r="O129">
            <v>71250000</v>
          </cell>
          <cell r="P129">
            <v>500812</v>
          </cell>
          <cell r="Q129" t="str">
            <v>Inbound Freight</v>
          </cell>
        </row>
        <row r="130">
          <cell r="J130">
            <v>607092</v>
          </cell>
          <cell r="K130" t="str">
            <v>Outbound Air</v>
          </cell>
          <cell r="M130" t="str">
            <v>Outbound Air</v>
          </cell>
          <cell r="N130" t="str">
            <v>Inbound Freight</v>
          </cell>
          <cell r="P130">
            <v>607092</v>
          </cell>
          <cell r="Q130" t="str">
            <v>Inbound Freight</v>
          </cell>
        </row>
        <row r="131">
          <cell r="J131">
            <v>500814</v>
          </cell>
          <cell r="K131" t="str">
            <v>LTL</v>
          </cell>
          <cell r="L131">
            <v>71253000</v>
          </cell>
          <cell r="M131" t="str">
            <v>LTL</v>
          </cell>
          <cell r="N131" t="str">
            <v>Inbound Freight</v>
          </cell>
          <cell r="O131">
            <v>71253000</v>
          </cell>
          <cell r="P131">
            <v>500814</v>
          </cell>
          <cell r="Q131" t="str">
            <v>Inbound Freight</v>
          </cell>
        </row>
        <row r="132">
          <cell r="J132">
            <v>607084</v>
          </cell>
          <cell r="K132" t="str">
            <v>Oth Commercial Trans</v>
          </cell>
          <cell r="L132">
            <v>71255000</v>
          </cell>
          <cell r="M132" t="str">
            <v>Other Commericial Trans</v>
          </cell>
          <cell r="N132" t="str">
            <v>Inbound Freight</v>
          </cell>
          <cell r="O132">
            <v>71255000</v>
          </cell>
          <cell r="P132">
            <v>607084</v>
          </cell>
          <cell r="Q132" t="str">
            <v>Inbound Freight</v>
          </cell>
        </row>
        <row r="133">
          <cell r="J133">
            <v>501654</v>
          </cell>
          <cell r="K133" t="str">
            <v>Office Supplies</v>
          </cell>
          <cell r="L133">
            <v>71310000</v>
          </cell>
          <cell r="M133" t="str">
            <v>Office Supplies</v>
          </cell>
          <cell r="N133" t="str">
            <v>Spending</v>
          </cell>
          <cell r="O133">
            <v>71310000</v>
          </cell>
          <cell r="P133">
            <v>501654</v>
          </cell>
          <cell r="Q133" t="str">
            <v>Supplies Expenses</v>
          </cell>
        </row>
        <row r="134">
          <cell r="J134">
            <v>607082</v>
          </cell>
          <cell r="K134" t="str">
            <v>Office Supplies</v>
          </cell>
          <cell r="L134">
            <v>71310000</v>
          </cell>
          <cell r="M134" t="str">
            <v>Office Supplies</v>
          </cell>
          <cell r="N134" t="str">
            <v>Spending</v>
          </cell>
          <cell r="O134">
            <v>71310000</v>
          </cell>
          <cell r="P134">
            <v>607082</v>
          </cell>
          <cell r="Q134" t="str">
            <v>Supplies Expenses</v>
          </cell>
        </row>
        <row r="135">
          <cell r="J135">
            <v>501655</v>
          </cell>
          <cell r="K135" t="str">
            <v>Postage</v>
          </cell>
          <cell r="L135">
            <v>71310010</v>
          </cell>
          <cell r="M135" t="str">
            <v>Postage</v>
          </cell>
          <cell r="N135" t="str">
            <v>Inbound Freight</v>
          </cell>
          <cell r="O135">
            <v>71310010</v>
          </cell>
          <cell r="P135">
            <v>501655</v>
          </cell>
          <cell r="Q135" t="str">
            <v>Inbound Freight</v>
          </cell>
        </row>
        <row r="136">
          <cell r="J136">
            <v>501656</v>
          </cell>
          <cell r="K136" t="str">
            <v>Printing</v>
          </cell>
          <cell r="L136">
            <v>71310020</v>
          </cell>
          <cell r="M136" t="str">
            <v>Printing</v>
          </cell>
          <cell r="N136" t="str">
            <v>Spending</v>
          </cell>
          <cell r="O136">
            <v>71310020</v>
          </cell>
          <cell r="P136">
            <v>501656</v>
          </cell>
          <cell r="Q136" t="str">
            <v>Supplies Expenses</v>
          </cell>
        </row>
        <row r="137">
          <cell r="J137">
            <v>607000</v>
          </cell>
          <cell r="K137" t="str">
            <v>Market Research</v>
          </cell>
          <cell r="L137">
            <v>71320000</v>
          </cell>
          <cell r="M137" t="str">
            <v>Market Research</v>
          </cell>
          <cell r="N137" t="str">
            <v>Spending</v>
          </cell>
          <cell r="O137">
            <v>71320000</v>
          </cell>
          <cell r="P137">
            <v>607000</v>
          </cell>
          <cell r="Q137" t="str">
            <v>Outside Services</v>
          </cell>
        </row>
        <row r="138">
          <cell r="J138">
            <v>607002</v>
          </cell>
          <cell r="K138" t="str">
            <v>Trade Shows</v>
          </cell>
          <cell r="L138">
            <v>71320030</v>
          </cell>
          <cell r="M138" t="str">
            <v>Trade Shows</v>
          </cell>
          <cell r="N138" t="str">
            <v>Spending</v>
          </cell>
          <cell r="O138">
            <v>71320030</v>
          </cell>
          <cell r="P138">
            <v>607002</v>
          </cell>
          <cell r="Q138" t="str">
            <v>Other</v>
          </cell>
        </row>
        <row r="139">
          <cell r="J139">
            <v>501657</v>
          </cell>
          <cell r="K139" t="str">
            <v>Promotional</v>
          </cell>
          <cell r="L139">
            <v>71320040</v>
          </cell>
          <cell r="M139" t="str">
            <v>Promotional</v>
          </cell>
          <cell r="N139" t="str">
            <v>Spending</v>
          </cell>
          <cell r="O139">
            <v>71320040</v>
          </cell>
          <cell r="P139">
            <v>501657</v>
          </cell>
          <cell r="Q139" t="str">
            <v>Outside Services</v>
          </cell>
        </row>
        <row r="140">
          <cell r="J140">
            <v>501658</v>
          </cell>
          <cell r="K140" t="str">
            <v>Demo Expense</v>
          </cell>
          <cell r="L140">
            <v>71320060</v>
          </cell>
          <cell r="M140" t="str">
            <v>Demo Expense</v>
          </cell>
          <cell r="N140" t="str">
            <v>Spending</v>
          </cell>
          <cell r="O140">
            <v>71320060</v>
          </cell>
          <cell r="P140">
            <v>501658</v>
          </cell>
          <cell r="Q140" t="str">
            <v>Repairs &amp; Maintenance</v>
          </cell>
        </row>
        <row r="141">
          <cell r="J141">
            <v>501659</v>
          </cell>
          <cell r="K141" t="str">
            <v>Dues</v>
          </cell>
          <cell r="L141">
            <v>71330010</v>
          </cell>
          <cell r="M141" t="str">
            <v>Dues</v>
          </cell>
          <cell r="N141" t="str">
            <v>Spending</v>
          </cell>
          <cell r="O141">
            <v>71330010</v>
          </cell>
          <cell r="P141">
            <v>501659</v>
          </cell>
          <cell r="Q141" t="str">
            <v>Employee Related Expenses</v>
          </cell>
        </row>
        <row r="142">
          <cell r="J142">
            <v>501660</v>
          </cell>
          <cell r="K142" t="str">
            <v>Subscriptions</v>
          </cell>
          <cell r="L142">
            <v>71330030</v>
          </cell>
          <cell r="M142" t="str">
            <v>Subscriptions</v>
          </cell>
          <cell r="N142" t="str">
            <v>Spending</v>
          </cell>
          <cell r="O142">
            <v>71330030</v>
          </cell>
          <cell r="P142">
            <v>501660</v>
          </cell>
          <cell r="Q142" t="str">
            <v>Employee Related Expenses</v>
          </cell>
        </row>
        <row r="143">
          <cell r="J143">
            <v>501700</v>
          </cell>
          <cell r="K143" t="str">
            <v>Computer Hardware</v>
          </cell>
          <cell r="L143">
            <v>71340000</v>
          </cell>
          <cell r="M143" t="str">
            <v>Computer Hardware</v>
          </cell>
          <cell r="N143" t="str">
            <v>Spending</v>
          </cell>
          <cell r="O143">
            <v>71340000</v>
          </cell>
          <cell r="P143">
            <v>501700</v>
          </cell>
          <cell r="Q143" t="str">
            <v>Other</v>
          </cell>
        </row>
        <row r="144">
          <cell r="J144">
            <v>501701</v>
          </cell>
          <cell r="K144" t="str">
            <v>Software Supplies</v>
          </cell>
          <cell r="L144">
            <v>71340010</v>
          </cell>
          <cell r="M144" t="str">
            <v>Software Supplies</v>
          </cell>
          <cell r="N144" t="str">
            <v>Spending</v>
          </cell>
          <cell r="O144">
            <v>71340010</v>
          </cell>
          <cell r="P144">
            <v>501701</v>
          </cell>
          <cell r="Q144" t="str">
            <v>Supplies Expenses</v>
          </cell>
        </row>
        <row r="145">
          <cell r="J145">
            <v>501702</v>
          </cell>
          <cell r="K145" t="str">
            <v>Software Cap Credits</v>
          </cell>
          <cell r="L145">
            <v>71340020</v>
          </cell>
          <cell r="M145" t="str">
            <v>Software Licenses</v>
          </cell>
          <cell r="N145" t="str">
            <v>Spending</v>
          </cell>
          <cell r="O145">
            <v>71340020</v>
          </cell>
          <cell r="P145">
            <v>501702</v>
          </cell>
          <cell r="Q145" t="str">
            <v>Outside Services</v>
          </cell>
        </row>
        <row r="146">
          <cell r="J146">
            <v>501703</v>
          </cell>
          <cell r="K146" t="str">
            <v>Software Cap Credits</v>
          </cell>
          <cell r="L146">
            <v>71340030</v>
          </cell>
          <cell r="M146" t="str">
            <v>Software Cap Credits</v>
          </cell>
          <cell r="N146" t="str">
            <v>Spending</v>
          </cell>
          <cell r="O146">
            <v>71340030</v>
          </cell>
          <cell r="P146">
            <v>501703</v>
          </cell>
          <cell r="Q146" t="str">
            <v>Outside Services</v>
          </cell>
        </row>
        <row r="147">
          <cell r="J147">
            <v>501705</v>
          </cell>
          <cell r="K147" t="str">
            <v>T &amp; E Processing Fee</v>
          </cell>
          <cell r="L147">
            <v>71361030</v>
          </cell>
          <cell r="M147" t="str">
            <v>T &amp; E Processing Fee</v>
          </cell>
          <cell r="N147" t="str">
            <v>Spending</v>
          </cell>
          <cell r="O147">
            <v>71361030</v>
          </cell>
          <cell r="P147">
            <v>501705</v>
          </cell>
          <cell r="Q147" t="str">
            <v>Travel &amp; Entertainment</v>
          </cell>
        </row>
        <row r="148">
          <cell r="J148">
            <v>501707</v>
          </cell>
          <cell r="K148" t="str">
            <v>Legal Fee Expense</v>
          </cell>
          <cell r="L148">
            <v>71362010</v>
          </cell>
          <cell r="M148" t="str">
            <v>Legal Fee Expense</v>
          </cell>
          <cell r="N148" t="str">
            <v>Spending</v>
          </cell>
          <cell r="O148">
            <v>71362010</v>
          </cell>
          <cell r="P148">
            <v>501707</v>
          </cell>
          <cell r="Q148" t="str">
            <v>Outside Services</v>
          </cell>
        </row>
        <row r="149">
          <cell r="J149">
            <v>607027</v>
          </cell>
          <cell r="K149" t="str">
            <v>Legal Fees</v>
          </cell>
          <cell r="L149">
            <v>71362010</v>
          </cell>
          <cell r="M149" t="str">
            <v>Legal Fee Expense</v>
          </cell>
          <cell r="N149" t="str">
            <v>Spending</v>
          </cell>
          <cell r="O149">
            <v>71362010</v>
          </cell>
          <cell r="P149">
            <v>607027</v>
          </cell>
          <cell r="Q149" t="str">
            <v>Outside Services</v>
          </cell>
        </row>
        <row r="150">
          <cell r="J150">
            <v>501708</v>
          </cell>
          <cell r="K150" t="str">
            <v>Security Services</v>
          </cell>
          <cell r="L150">
            <v>71362040</v>
          </cell>
          <cell r="M150" t="str">
            <v>Security Services</v>
          </cell>
          <cell r="N150" t="str">
            <v>Spending</v>
          </cell>
          <cell r="O150">
            <v>71362040</v>
          </cell>
          <cell r="P150">
            <v>501708</v>
          </cell>
          <cell r="Q150" t="str">
            <v>Outside Services</v>
          </cell>
        </row>
        <row r="151">
          <cell r="J151">
            <v>501710</v>
          </cell>
          <cell r="K151" t="str">
            <v>Out Service-On Shore</v>
          </cell>
          <cell r="L151" t="str">
            <v>71362080</v>
          </cell>
          <cell r="M151" t="str">
            <v>Out Service-On Shore</v>
          </cell>
          <cell r="N151" t="str">
            <v>Spending</v>
          </cell>
          <cell r="O151" t="str">
            <v>71362080</v>
          </cell>
          <cell r="P151">
            <v>501710</v>
          </cell>
          <cell r="Q151" t="str">
            <v>Outside Services</v>
          </cell>
        </row>
        <row r="152">
          <cell r="J152">
            <v>501812</v>
          </cell>
          <cell r="K152" t="str">
            <v>Custodial Services</v>
          </cell>
          <cell r="L152">
            <v>71362050</v>
          </cell>
          <cell r="M152" t="str">
            <v>Custodial Services</v>
          </cell>
          <cell r="N152" t="str">
            <v>Spending</v>
          </cell>
          <cell r="O152">
            <v>71362050</v>
          </cell>
          <cell r="P152">
            <v>501812</v>
          </cell>
          <cell r="Q152" t="str">
            <v>Outside Services</v>
          </cell>
        </row>
        <row r="153">
          <cell r="J153">
            <v>501709</v>
          </cell>
          <cell r="K153" t="str">
            <v>Consulting Services</v>
          </cell>
          <cell r="L153" t="str">
            <v>71362080</v>
          </cell>
          <cell r="M153" t="str">
            <v>Out Service-On Shore</v>
          </cell>
          <cell r="N153" t="str">
            <v>Spending</v>
          </cell>
          <cell r="O153" t="str">
            <v>71362080</v>
          </cell>
          <cell r="P153">
            <v>501709</v>
          </cell>
          <cell r="Q153" t="str">
            <v>Outside Services</v>
          </cell>
        </row>
        <row r="154">
          <cell r="J154">
            <v>607035</v>
          </cell>
          <cell r="K154" t="str">
            <v>Consulting Services</v>
          </cell>
          <cell r="L154">
            <v>71362060</v>
          </cell>
          <cell r="M154" t="str">
            <v>Consulting Services</v>
          </cell>
          <cell r="N154" t="str">
            <v>Spending</v>
          </cell>
          <cell r="O154">
            <v>71362060</v>
          </cell>
          <cell r="P154">
            <v>607035</v>
          </cell>
          <cell r="Q154" t="str">
            <v>Outside Services</v>
          </cell>
        </row>
        <row r="155">
          <cell r="J155">
            <v>607026</v>
          </cell>
          <cell r="K155" t="str">
            <v>Consulting Fees</v>
          </cell>
          <cell r="L155">
            <v>71362060</v>
          </cell>
          <cell r="M155" t="str">
            <v>Consulting Fees</v>
          </cell>
          <cell r="N155" t="str">
            <v>Spending</v>
          </cell>
          <cell r="O155">
            <v>71362060</v>
          </cell>
          <cell r="P155">
            <v>607026</v>
          </cell>
          <cell r="Q155" t="str">
            <v>Outside Services</v>
          </cell>
        </row>
        <row r="156">
          <cell r="J156">
            <v>607036</v>
          </cell>
          <cell r="K156" t="str">
            <v>Out Service-On Shore</v>
          </cell>
          <cell r="L156">
            <v>71362080</v>
          </cell>
          <cell r="M156" t="str">
            <v>Out Service-On Shore</v>
          </cell>
          <cell r="N156" t="str">
            <v>Spending</v>
          </cell>
          <cell r="O156">
            <v>71362080</v>
          </cell>
          <cell r="P156">
            <v>607036</v>
          </cell>
          <cell r="Q156" t="str">
            <v>Outside Services</v>
          </cell>
        </row>
        <row r="157">
          <cell r="J157">
            <v>501810</v>
          </cell>
          <cell r="K157" t="str">
            <v>Temp Labor-On Shore</v>
          </cell>
          <cell r="L157">
            <v>71110080</v>
          </cell>
          <cell r="M157" t="str">
            <v>Temp Labor-On Shore</v>
          </cell>
          <cell r="N157" t="str">
            <v>Spending</v>
          </cell>
          <cell r="O157">
            <v>71110080</v>
          </cell>
          <cell r="P157">
            <v>501810</v>
          </cell>
          <cell r="Q157" t="str">
            <v>Outside Services</v>
          </cell>
        </row>
        <row r="158">
          <cell r="J158">
            <v>501712</v>
          </cell>
          <cell r="K158" t="str">
            <v>Regulatory Fee Exp</v>
          </cell>
          <cell r="L158" t="str">
            <v>71362100</v>
          </cell>
          <cell r="M158" t="str">
            <v>Regulatory Fee Exp</v>
          </cell>
          <cell r="N158" t="str">
            <v>Spending</v>
          </cell>
          <cell r="O158" t="str">
            <v>71362100</v>
          </cell>
          <cell r="P158">
            <v>501712</v>
          </cell>
          <cell r="Q158" t="str">
            <v>Outside Services</v>
          </cell>
        </row>
        <row r="159">
          <cell r="J159">
            <v>607038</v>
          </cell>
          <cell r="K159" t="str">
            <v>Regulatory Fee Exp</v>
          </cell>
          <cell r="L159" t="str">
            <v>71362100</v>
          </cell>
          <cell r="M159" t="str">
            <v>Regulatory Fee Exp</v>
          </cell>
          <cell r="N159" t="str">
            <v>Spending</v>
          </cell>
          <cell r="O159" t="str">
            <v>71362100</v>
          </cell>
          <cell r="P159">
            <v>607038</v>
          </cell>
          <cell r="Q159" t="str">
            <v>Outside Services</v>
          </cell>
        </row>
        <row r="160">
          <cell r="J160">
            <v>501714</v>
          </cell>
          <cell r="K160" t="str">
            <v>Testing and Assess</v>
          </cell>
          <cell r="L160">
            <v>71362120</v>
          </cell>
          <cell r="M160" t="str">
            <v>Testing and Assess</v>
          </cell>
          <cell r="N160" t="str">
            <v>Production &amp; Supplies</v>
          </cell>
          <cell r="O160">
            <v>71362120</v>
          </cell>
          <cell r="P160">
            <v>501714</v>
          </cell>
          <cell r="Q160" t="str">
            <v>Supplies Expenses</v>
          </cell>
        </row>
        <row r="161">
          <cell r="J161">
            <v>501715</v>
          </cell>
          <cell r="K161" t="str">
            <v>Non-Capital Equip</v>
          </cell>
          <cell r="L161">
            <v>71510000</v>
          </cell>
          <cell r="M161" t="str">
            <v>Non-Capital Equip</v>
          </cell>
          <cell r="N161" t="str">
            <v>Spending</v>
          </cell>
          <cell r="O161">
            <v>71510000</v>
          </cell>
          <cell r="P161">
            <v>501715</v>
          </cell>
          <cell r="Q161" t="str">
            <v>Supplies Expenses</v>
          </cell>
        </row>
        <row r="162">
          <cell r="J162">
            <v>500601</v>
          </cell>
          <cell r="K162" t="str">
            <v>PPV</v>
          </cell>
          <cell r="L162">
            <v>63110090</v>
          </cell>
          <cell r="M162" t="str">
            <v>PPV</v>
          </cell>
          <cell r="N162" t="str">
            <v>PPV</v>
          </cell>
          <cell r="O162">
            <v>63110090</v>
          </cell>
          <cell r="P162">
            <v>500601</v>
          </cell>
          <cell r="Q162" t="str">
            <v>PPV</v>
          </cell>
        </row>
        <row r="163">
          <cell r="J163">
            <v>500626</v>
          </cell>
          <cell r="K163" t="str">
            <v>Variable OH Earned</v>
          </cell>
          <cell r="L163">
            <v>63110130</v>
          </cell>
          <cell r="M163" t="str">
            <v>NonManufacturing Var</v>
          </cell>
          <cell r="N163" t="str">
            <v>Cap n Roll</v>
          </cell>
          <cell r="O163">
            <v>63110130</v>
          </cell>
          <cell r="P163">
            <v>500626</v>
          </cell>
          <cell r="Q163" t="str">
            <v>Roll Out</v>
          </cell>
        </row>
        <row r="164">
          <cell r="J164" t="e">
            <v>#N/A</v>
          </cell>
          <cell r="K164" t="e">
            <v>#N/A</v>
          </cell>
          <cell r="L164">
            <v>61210040</v>
          </cell>
          <cell r="M164" t="str">
            <v>Variable OH Earned</v>
          </cell>
          <cell r="N164" t="str">
            <v>Absorption</v>
          </cell>
          <cell r="O164">
            <v>61210040</v>
          </cell>
          <cell r="P164" t="e">
            <v>#N/A</v>
          </cell>
          <cell r="Q164" t="str">
            <v>OH Abs</v>
          </cell>
        </row>
        <row r="165">
          <cell r="J165">
            <v>500625</v>
          </cell>
          <cell r="K165" t="str">
            <v>DL Earned</v>
          </cell>
          <cell r="L165">
            <v>61110040</v>
          </cell>
          <cell r="M165" t="str">
            <v>DL Earned</v>
          </cell>
          <cell r="N165" t="str">
            <v>Absorption</v>
          </cell>
          <cell r="O165">
            <v>61110040</v>
          </cell>
          <cell r="P165">
            <v>500625</v>
          </cell>
          <cell r="Q165" t="str">
            <v>DL Abs</v>
          </cell>
        </row>
        <row r="166">
          <cell r="J166">
            <v>600004</v>
          </cell>
          <cell r="K166" t="str">
            <v>OT Premium Exp</v>
          </cell>
          <cell r="L166">
            <v>61110040</v>
          </cell>
          <cell r="M166" t="str">
            <v>DL Earned</v>
          </cell>
          <cell r="N166" t="str">
            <v>Absorption</v>
          </cell>
          <cell r="O166">
            <v>61110040</v>
          </cell>
          <cell r="P166">
            <v>600004</v>
          </cell>
          <cell r="Q166" t="str">
            <v>DL Abs</v>
          </cell>
        </row>
        <row r="167">
          <cell r="J167">
            <v>600033</v>
          </cell>
          <cell r="K167" t="str">
            <v>Training Expense</v>
          </cell>
          <cell r="L167">
            <v>71110040</v>
          </cell>
          <cell r="M167" t="str">
            <v>OT Premium Exp</v>
          </cell>
          <cell r="N167" t="str">
            <v>Spending</v>
          </cell>
          <cell r="O167">
            <v>71110040</v>
          </cell>
          <cell r="P167">
            <v>600033</v>
          </cell>
          <cell r="Q167" t="str">
            <v>Employee Related Expenses</v>
          </cell>
        </row>
        <row r="168">
          <cell r="J168">
            <v>500602</v>
          </cell>
          <cell r="K168" t="str">
            <v>PPV (APO)</v>
          </cell>
          <cell r="L168">
            <v>71150000</v>
          </cell>
          <cell r="M168" t="str">
            <v>Training Expense</v>
          </cell>
          <cell r="N168" t="str">
            <v>Spending</v>
          </cell>
          <cell r="O168">
            <v>71150000</v>
          </cell>
          <cell r="P168">
            <v>500602</v>
          </cell>
          <cell r="Q168" t="str">
            <v>Employee Related Expenses</v>
          </cell>
        </row>
        <row r="169">
          <cell r="J169">
            <v>800102</v>
          </cell>
          <cell r="K169" t="str">
            <v>Unrealized Curr Gain</v>
          </cell>
          <cell r="L169">
            <v>63110095</v>
          </cell>
          <cell r="M169" t="str">
            <v>PPV (APO)</v>
          </cell>
          <cell r="N169" t="str">
            <v>PPV</v>
          </cell>
          <cell r="O169">
            <v>63110095</v>
          </cell>
          <cell r="P169">
            <v>800102</v>
          </cell>
          <cell r="Q169" t="str">
            <v>PPV</v>
          </cell>
        </row>
        <row r="170">
          <cell r="J170" t="e">
            <v>#N/A</v>
          </cell>
          <cell r="K170" t="e">
            <v>#N/A</v>
          </cell>
          <cell r="L170">
            <v>81122000</v>
          </cell>
          <cell r="M170" t="str">
            <v>Gain For Cur Ex-Unre</v>
          </cell>
          <cell r="N170" t="str">
            <v>Financial</v>
          </cell>
          <cell r="O170">
            <v>81122000</v>
          </cell>
          <cell r="P170" t="e">
            <v>#N/A</v>
          </cell>
          <cell r="Q170" t="str">
            <v>G/L Currency Exch</v>
          </cell>
        </row>
        <row r="171">
          <cell r="J171" t="e">
            <v>#N/A</v>
          </cell>
          <cell r="K171" t="e">
            <v>#N/A</v>
          </cell>
          <cell r="L171">
            <v>82122000</v>
          </cell>
          <cell r="M171" t="str">
            <v>Loss Fo Cur Ex-Unre</v>
          </cell>
          <cell r="N171" t="str">
            <v>Financial</v>
          </cell>
          <cell r="O171">
            <v>82122000</v>
          </cell>
          <cell r="P171" t="e">
            <v>#N/A</v>
          </cell>
          <cell r="Q171" t="str">
            <v>G/L Currency Exch</v>
          </cell>
        </row>
        <row r="172">
          <cell r="J172">
            <v>505006</v>
          </cell>
          <cell r="K172" t="str">
            <v>Overhead FX</v>
          </cell>
          <cell r="M172" t="str">
            <v>Overhead FX</v>
          </cell>
          <cell r="N172" t="str">
            <v>Financial</v>
          </cell>
          <cell r="P172">
            <v>505006</v>
          </cell>
          <cell r="Q172" t="str">
            <v>G/L Currency Exch</v>
          </cell>
        </row>
        <row r="173">
          <cell r="J173">
            <v>500104</v>
          </cell>
          <cell r="K173" t="str">
            <v>InvCount Adj (APO)</v>
          </cell>
          <cell r="L173">
            <v>63110350</v>
          </cell>
          <cell r="M173" t="str">
            <v>Overhead FX</v>
          </cell>
          <cell r="N173" t="str">
            <v>Financial</v>
          </cell>
          <cell r="O173">
            <v>63110350</v>
          </cell>
          <cell r="P173">
            <v>500104</v>
          </cell>
          <cell r="Q173" t="str">
            <v>G/L Currency Exch</v>
          </cell>
        </row>
        <row r="174">
          <cell r="J174">
            <v>501603</v>
          </cell>
          <cell r="K174" t="str">
            <v>Health and SafetyOth</v>
          </cell>
          <cell r="L174">
            <v>63110075</v>
          </cell>
          <cell r="M174" t="str">
            <v>InvCount Adj (APO)</v>
          </cell>
          <cell r="N174" t="str">
            <v>Inv Adj</v>
          </cell>
          <cell r="O174">
            <v>63110075</v>
          </cell>
          <cell r="P174">
            <v>501603</v>
          </cell>
          <cell r="Q174" t="str">
            <v>Inv Adj</v>
          </cell>
        </row>
        <row r="175">
          <cell r="J175">
            <v>802050</v>
          </cell>
          <cell r="K175" t="str">
            <v>Interest Expense</v>
          </cell>
          <cell r="L175">
            <v>71240030</v>
          </cell>
          <cell r="M175" t="str">
            <v>Health and SafetyOth</v>
          </cell>
          <cell r="N175" t="str">
            <v>Spending</v>
          </cell>
          <cell r="O175">
            <v>71240030</v>
          </cell>
          <cell r="P175">
            <v>802050</v>
          </cell>
          <cell r="Q175" t="str">
            <v>Outside Services</v>
          </cell>
        </row>
        <row r="176">
          <cell r="J176">
            <v>800050</v>
          </cell>
          <cell r="K176" t="str">
            <v>Interest Income</v>
          </cell>
          <cell r="L176">
            <v>82120000</v>
          </cell>
          <cell r="M176" t="str">
            <v>Interest Expense</v>
          </cell>
          <cell r="N176" t="str">
            <v>Financial</v>
          </cell>
          <cell r="O176">
            <v>82120000</v>
          </cell>
          <cell r="P176">
            <v>800050</v>
          </cell>
          <cell r="Q176" t="str">
            <v>Interest I/E</v>
          </cell>
        </row>
        <row r="177">
          <cell r="J177">
            <v>500105</v>
          </cell>
          <cell r="K177" t="str">
            <v>Expense Obsolescence</v>
          </cell>
          <cell r="L177">
            <v>81120000</v>
          </cell>
          <cell r="M177" t="str">
            <v>Interest Income</v>
          </cell>
          <cell r="N177" t="str">
            <v>Financial</v>
          </cell>
          <cell r="O177">
            <v>81120000</v>
          </cell>
          <cell r="P177">
            <v>500105</v>
          </cell>
          <cell r="Q177" t="str">
            <v>Interest I/E</v>
          </cell>
        </row>
        <row r="178">
          <cell r="J178">
            <v>607001</v>
          </cell>
          <cell r="K178" t="str">
            <v>Print Ads</v>
          </cell>
          <cell r="L178">
            <v>63110110</v>
          </cell>
          <cell r="M178" t="str">
            <v>Expense Obsolescence</v>
          </cell>
          <cell r="N178" t="str">
            <v>SLOB</v>
          </cell>
          <cell r="O178">
            <v>63110110</v>
          </cell>
          <cell r="P178">
            <v>607001</v>
          </cell>
          <cell r="Q178" t="str">
            <v>SLOB</v>
          </cell>
        </row>
        <row r="179">
          <cell r="J179">
            <v>501653</v>
          </cell>
          <cell r="K179" t="str">
            <v>Vendor 3PL</v>
          </cell>
          <cell r="L179">
            <v>71320020</v>
          </cell>
          <cell r="M179" t="str">
            <v>Print Ads</v>
          </cell>
          <cell r="N179" t="str">
            <v>Spending</v>
          </cell>
          <cell r="O179">
            <v>71320020</v>
          </cell>
          <cell r="P179">
            <v>501653</v>
          </cell>
          <cell r="Q179" t="str">
            <v>Supplies Expenses</v>
          </cell>
        </row>
        <row r="180">
          <cell r="J180">
            <v>501818</v>
          </cell>
          <cell r="K180" t="str">
            <v>Print Ads</v>
          </cell>
          <cell r="L180">
            <v>71320020</v>
          </cell>
          <cell r="M180" t="str">
            <v>Print Ads</v>
          </cell>
          <cell r="N180" t="str">
            <v>Spending</v>
          </cell>
          <cell r="O180">
            <v>71320020</v>
          </cell>
          <cell r="P180">
            <v>501818</v>
          </cell>
          <cell r="Q180" t="str">
            <v>Supplies Expenses</v>
          </cell>
        </row>
        <row r="181">
          <cell r="J181">
            <v>600046</v>
          </cell>
          <cell r="K181" t="str">
            <v>Entertain-Non Employ</v>
          </cell>
          <cell r="L181">
            <v>71257020</v>
          </cell>
          <cell r="M181" t="str">
            <v>Vendor 3PL</v>
          </cell>
          <cell r="N181" t="str">
            <v>Spending</v>
          </cell>
          <cell r="O181">
            <v>71257020</v>
          </cell>
          <cell r="P181">
            <v>600046</v>
          </cell>
          <cell r="Q181" t="str">
            <v>Inbound Freight</v>
          </cell>
        </row>
        <row r="182">
          <cell r="J182">
            <v>600047</v>
          </cell>
          <cell r="K182" t="str">
            <v>HCP-Grant Ed Conf</v>
          </cell>
          <cell r="L182">
            <v>71151020</v>
          </cell>
          <cell r="M182" t="str">
            <v>HCP-Grant Ed Conf</v>
          </cell>
          <cell r="N182" t="str">
            <v>Spending</v>
          </cell>
          <cell r="O182">
            <v>71151020</v>
          </cell>
          <cell r="P182">
            <v>600047</v>
          </cell>
          <cell r="Q182" t="str">
            <v>Employee Related Expenses</v>
          </cell>
        </row>
        <row r="183">
          <cell r="J183">
            <v>607101</v>
          </cell>
          <cell r="K183" t="str">
            <v>CapPurchSettle (APO)</v>
          </cell>
          <cell r="L183">
            <v>63115580</v>
          </cell>
          <cell r="M183" t="str">
            <v>IDL Outside Services</v>
          </cell>
          <cell r="N183" t="str">
            <v>Spending</v>
          </cell>
          <cell r="O183">
            <v>63115580</v>
          </cell>
          <cell r="P183">
            <v>607101</v>
          </cell>
          <cell r="Q183" t="str">
            <v>Outside Services</v>
          </cell>
        </row>
        <row r="184">
          <cell r="J184">
            <v>501610</v>
          </cell>
          <cell r="K184" t="str">
            <v>Chemicals Expense</v>
          </cell>
          <cell r="L184">
            <v>71243080</v>
          </cell>
          <cell r="M184" t="str">
            <v>Capital Exp Settle</v>
          </cell>
          <cell r="N184" t="str">
            <v>Spending</v>
          </cell>
          <cell r="O184">
            <v>71243080</v>
          </cell>
          <cell r="P184">
            <v>501610</v>
          </cell>
          <cell r="Q184" t="str">
            <v>Repairs &amp; Maintenance</v>
          </cell>
        </row>
        <row r="185">
          <cell r="J185">
            <v>501706</v>
          </cell>
          <cell r="K185" t="str">
            <v>Data Hosting Fees</v>
          </cell>
          <cell r="L185">
            <v>71241050</v>
          </cell>
          <cell r="M185" t="str">
            <v>Chemicals Expense</v>
          </cell>
          <cell r="N185" t="str">
            <v>Spending</v>
          </cell>
          <cell r="O185">
            <v>71241050</v>
          </cell>
          <cell r="P185">
            <v>501706</v>
          </cell>
          <cell r="Q185" t="str">
            <v>Supplies Expenses</v>
          </cell>
        </row>
        <row r="186">
          <cell r="J186">
            <v>500802</v>
          </cell>
          <cell r="K186" t="str">
            <v>Freight Roll-In</v>
          </cell>
          <cell r="L186">
            <v>71361040</v>
          </cell>
          <cell r="M186" t="str">
            <v>Data Hosting Fees</v>
          </cell>
          <cell r="N186" t="str">
            <v>Spending</v>
          </cell>
          <cell r="O186">
            <v>71361040</v>
          </cell>
          <cell r="P186">
            <v>500802</v>
          </cell>
          <cell r="Q186" t="str">
            <v>Outside Services</v>
          </cell>
        </row>
        <row r="187">
          <cell r="J187">
            <v>500163</v>
          </cell>
          <cell r="K187" t="str">
            <v>Material Usage Var</v>
          </cell>
          <cell r="L187">
            <v>63110480</v>
          </cell>
          <cell r="M187" t="str">
            <v>Material Usage Var</v>
          </cell>
          <cell r="N187" t="str">
            <v>MUV</v>
          </cell>
          <cell r="O187">
            <v>63110480</v>
          </cell>
          <cell r="P187">
            <v>500163</v>
          </cell>
          <cell r="Q187" t="str">
            <v>MUV</v>
          </cell>
        </row>
        <row r="188">
          <cell r="J188">
            <v>607154</v>
          </cell>
          <cell r="K188" t="str">
            <v>TestandAssessProdSam</v>
          </cell>
          <cell r="L188">
            <v>71241090</v>
          </cell>
          <cell r="M188" t="str">
            <v>TestandAssessProdSam</v>
          </cell>
          <cell r="N188" t="str">
            <v>Production &amp; Supplies</v>
          </cell>
          <cell r="O188">
            <v>71241090</v>
          </cell>
          <cell r="P188">
            <v>607154</v>
          </cell>
          <cell r="Q188" t="str">
            <v>Supplies Expenses</v>
          </cell>
        </row>
        <row r="189">
          <cell r="J189">
            <v>608531</v>
          </cell>
          <cell r="K189" t="str">
            <v>Testing and Assessment</v>
          </cell>
          <cell r="L189">
            <v>71241090</v>
          </cell>
          <cell r="M189" t="str">
            <v>TestandAssessProdSam</v>
          </cell>
          <cell r="N189" t="str">
            <v>Production &amp; Supplies</v>
          </cell>
          <cell r="O189">
            <v>71241090</v>
          </cell>
          <cell r="P189">
            <v>608531</v>
          </cell>
          <cell r="Q189" t="str">
            <v>Supplies Expenses</v>
          </cell>
        </row>
        <row r="190">
          <cell r="J190">
            <v>500101</v>
          </cell>
          <cell r="K190" t="str">
            <v>Scrap</v>
          </cell>
          <cell r="L190">
            <v>63110060</v>
          </cell>
          <cell r="M190" t="str">
            <v>Scrap</v>
          </cell>
          <cell r="N190" t="str">
            <v>Inventory</v>
          </cell>
          <cell r="O190">
            <v>63110060</v>
          </cell>
          <cell r="P190">
            <v>500101</v>
          </cell>
          <cell r="Q190" t="str">
            <v>Inv Adj</v>
          </cell>
        </row>
        <row r="191">
          <cell r="J191">
            <v>500103</v>
          </cell>
          <cell r="K191" t="str">
            <v>Inventory Count Adj</v>
          </cell>
          <cell r="L191">
            <v>63110070</v>
          </cell>
          <cell r="M191" t="str">
            <v>Inventory Count Adj</v>
          </cell>
          <cell r="N191" t="str">
            <v>Inventory</v>
          </cell>
          <cell r="O191">
            <v>63110070</v>
          </cell>
          <cell r="P191">
            <v>500103</v>
          </cell>
          <cell r="Q191" t="str">
            <v>Inv Adj</v>
          </cell>
        </row>
        <row r="192">
          <cell r="J192">
            <v>500164</v>
          </cell>
          <cell r="K192" t="str">
            <v>Customer Returns</v>
          </cell>
          <cell r="L192">
            <v>63113000</v>
          </cell>
          <cell r="M192" t="str">
            <v>Customer Returns</v>
          </cell>
          <cell r="N192" t="str">
            <v>Inventory</v>
          </cell>
          <cell r="O192">
            <v>63113000</v>
          </cell>
          <cell r="P192">
            <v>500164</v>
          </cell>
          <cell r="Q192" t="str">
            <v>Inv Adj</v>
          </cell>
        </row>
        <row r="193">
          <cell r="J193">
            <v>500809</v>
          </cell>
          <cell r="K193" t="str">
            <v>Outbound Freight Exp</v>
          </cell>
          <cell r="L193">
            <v>71242150</v>
          </cell>
          <cell r="M193" t="str">
            <v>Outbound Freight Exp</v>
          </cell>
          <cell r="N193" t="str">
            <v>Inbound Freight</v>
          </cell>
          <cell r="O193">
            <v>71242150</v>
          </cell>
          <cell r="P193">
            <v>500809</v>
          </cell>
          <cell r="Q193" t="str">
            <v>Inbound Freight</v>
          </cell>
        </row>
        <row r="194">
          <cell r="J194">
            <v>501200</v>
          </cell>
          <cell r="K194" t="str">
            <v>Building Lease</v>
          </cell>
          <cell r="L194">
            <v>71210000</v>
          </cell>
          <cell r="M194" t="str">
            <v>Building Lease</v>
          </cell>
          <cell r="N194" t="str">
            <v>Spending</v>
          </cell>
          <cell r="O194">
            <v>71210000</v>
          </cell>
          <cell r="P194">
            <v>501200</v>
          </cell>
          <cell r="Q194" t="str">
            <v>Other</v>
          </cell>
        </row>
        <row r="195">
          <cell r="J195">
            <v>501205</v>
          </cell>
          <cell r="K195" t="str">
            <v>Machine &amp; Equip Lease</v>
          </cell>
          <cell r="L195">
            <v>71211060</v>
          </cell>
          <cell r="M195" t="str">
            <v>Machine &amp; Equip Lease</v>
          </cell>
          <cell r="N195" t="str">
            <v>Spending</v>
          </cell>
          <cell r="O195">
            <v>71211060</v>
          </cell>
          <cell r="P195">
            <v>501205</v>
          </cell>
          <cell r="Q195" t="str">
            <v>Other</v>
          </cell>
        </row>
        <row r="196">
          <cell r="J196">
            <v>501713</v>
          </cell>
          <cell r="K196" t="str">
            <v>AutoLease Admin Fees</v>
          </cell>
          <cell r="L196">
            <v>71362110</v>
          </cell>
          <cell r="M196" t="str">
            <v>AutoLease Admin Fees</v>
          </cell>
          <cell r="N196" t="str">
            <v>Spending</v>
          </cell>
          <cell r="O196">
            <v>71362110</v>
          </cell>
          <cell r="P196">
            <v>501713</v>
          </cell>
          <cell r="Q196" t="str">
            <v>Other</v>
          </cell>
        </row>
        <row r="197">
          <cell r="J197">
            <v>508003</v>
          </cell>
          <cell r="K197" t="str">
            <v>Depr-Leasehold Impr</v>
          </cell>
          <cell r="L197">
            <v>71220030</v>
          </cell>
          <cell r="M197" t="str">
            <v>Depr-Leasehold Impr</v>
          </cell>
          <cell r="N197" t="str">
            <v>Depreciation</v>
          </cell>
          <cell r="O197">
            <v>71220030</v>
          </cell>
          <cell r="P197">
            <v>508003</v>
          </cell>
          <cell r="Q197" t="str">
            <v>Depreciation</v>
          </cell>
        </row>
        <row r="198">
          <cell r="J198">
            <v>508008</v>
          </cell>
          <cell r="K198" t="str">
            <v>Depr-Comp Hardware</v>
          </cell>
          <cell r="L198">
            <v>71220090</v>
          </cell>
          <cell r="M198" t="str">
            <v>Depr-Comp Hardware</v>
          </cell>
          <cell r="N198" t="str">
            <v>Depreciation</v>
          </cell>
          <cell r="O198">
            <v>71220090</v>
          </cell>
          <cell r="P198">
            <v>508008</v>
          </cell>
          <cell r="Q198" t="str">
            <v>Depreciation</v>
          </cell>
        </row>
        <row r="199">
          <cell r="J199">
            <v>600009</v>
          </cell>
          <cell r="K199" t="str">
            <v>ProSvc–Out  Svcs OT</v>
          </cell>
          <cell r="L199">
            <v>71110150</v>
          </cell>
          <cell r="M199" t="str">
            <v>ProSvc–Out  Svcs OT</v>
          </cell>
          <cell r="N199" t="str">
            <v>Spending</v>
          </cell>
          <cell r="O199">
            <v>71110150</v>
          </cell>
          <cell r="P199">
            <v>600009</v>
          </cell>
          <cell r="Q199" t="str">
            <v>Outside Services</v>
          </cell>
        </row>
        <row r="200">
          <cell r="J200">
            <v>600014</v>
          </cell>
          <cell r="K200" t="str">
            <v>Other Insurance Exp</v>
          </cell>
          <cell r="L200">
            <v>71120080</v>
          </cell>
          <cell r="M200" t="str">
            <v>Other Insurance Exp</v>
          </cell>
          <cell r="N200" t="str">
            <v>Spending</v>
          </cell>
          <cell r="O200">
            <v>71120080</v>
          </cell>
          <cell r="P200">
            <v>600014</v>
          </cell>
          <cell r="Q200" t="str">
            <v>Fringe Benefits</v>
          </cell>
        </row>
        <row r="201">
          <cell r="J201">
            <v>607201</v>
          </cell>
          <cell r="K201" t="str">
            <v>D&amp;O Insurance</v>
          </cell>
          <cell r="L201">
            <v>71120120</v>
          </cell>
          <cell r="M201" t="str">
            <v>D&amp;O Insurance</v>
          </cell>
          <cell r="N201" t="str">
            <v>Spending</v>
          </cell>
          <cell r="O201">
            <v>71120120</v>
          </cell>
          <cell r="P201">
            <v>607201</v>
          </cell>
          <cell r="Q201" t="str">
            <v>Fringe Benefits</v>
          </cell>
        </row>
        <row r="202">
          <cell r="J202">
            <v>607006</v>
          </cell>
          <cell r="K202" t="str">
            <v>Promotional</v>
          </cell>
          <cell r="L202">
            <v>71320040</v>
          </cell>
          <cell r="M202" t="str">
            <v>Promotional</v>
          </cell>
          <cell r="N202" t="str">
            <v>Spending</v>
          </cell>
          <cell r="O202">
            <v>71320040</v>
          </cell>
          <cell r="P202">
            <v>607006</v>
          </cell>
          <cell r="Q202" t="str">
            <v>Outside Services</v>
          </cell>
        </row>
        <row r="203">
          <cell r="J203">
            <v>607009</v>
          </cell>
          <cell r="K203" t="str">
            <v>Subscriptions</v>
          </cell>
          <cell r="L203">
            <v>71330030</v>
          </cell>
          <cell r="M203" t="str">
            <v>Subscriptions</v>
          </cell>
          <cell r="N203" t="str">
            <v>Spending</v>
          </cell>
          <cell r="O203">
            <v>71330030</v>
          </cell>
          <cell r="P203">
            <v>607009</v>
          </cell>
          <cell r="Q203" t="str">
            <v>Employee Related Expenses</v>
          </cell>
        </row>
        <row r="204">
          <cell r="J204">
            <v>607031</v>
          </cell>
          <cell r="K204" t="str">
            <v>Mngd Services - Buil</v>
          </cell>
          <cell r="L204">
            <v>71362180</v>
          </cell>
          <cell r="M204" t="str">
            <v>Mngd Services - Buil</v>
          </cell>
          <cell r="N204" t="str">
            <v>Spending</v>
          </cell>
          <cell r="O204">
            <v>71362180</v>
          </cell>
          <cell r="P204">
            <v>607031</v>
          </cell>
          <cell r="Q204" t="str">
            <v>Other</v>
          </cell>
        </row>
        <row r="205">
          <cell r="J205">
            <v>607039</v>
          </cell>
          <cell r="K205" t="str">
            <v>Bank Fees-Electronic</v>
          </cell>
          <cell r="L205">
            <v>71361010</v>
          </cell>
          <cell r="M205" t="str">
            <v>Bank Fees-Electronic</v>
          </cell>
          <cell r="N205" t="str">
            <v>Spending</v>
          </cell>
          <cell r="O205">
            <v>71361010</v>
          </cell>
          <cell r="P205">
            <v>607039</v>
          </cell>
          <cell r="Q205" t="str">
            <v>Other</v>
          </cell>
        </row>
        <row r="206">
          <cell r="J206">
            <v>607050</v>
          </cell>
          <cell r="K206" t="str">
            <v>IC Management Fees</v>
          </cell>
          <cell r="L206">
            <v>71360000</v>
          </cell>
          <cell r="M206" t="str">
            <v>IC Management Fees</v>
          </cell>
          <cell r="N206" t="str">
            <v>Spending</v>
          </cell>
          <cell r="O206">
            <v>71360000</v>
          </cell>
          <cell r="P206">
            <v>607050</v>
          </cell>
          <cell r="Q206" t="str">
            <v>Other</v>
          </cell>
        </row>
        <row r="207">
          <cell r="J207">
            <v>607128</v>
          </cell>
          <cell r="K207" t="str">
            <v>VAT Expense</v>
          </cell>
          <cell r="L207">
            <v>71231000</v>
          </cell>
          <cell r="M207" t="str">
            <v>VAT Expense</v>
          </cell>
          <cell r="N207" t="str">
            <v>Spending</v>
          </cell>
          <cell r="O207">
            <v>71231000</v>
          </cell>
          <cell r="P207">
            <v>607128</v>
          </cell>
          <cell r="Q207" t="str">
            <v>Other</v>
          </cell>
        </row>
        <row r="208">
          <cell r="J208">
            <v>608000</v>
          </cell>
          <cell r="K208" t="str">
            <v>Depr-Leasehold Impr</v>
          </cell>
          <cell r="L208">
            <v>71210100</v>
          </cell>
          <cell r="M208" t="str">
            <v>Depr-Leasehold Impr</v>
          </cell>
          <cell r="N208" t="str">
            <v>Depreciation</v>
          </cell>
          <cell r="O208">
            <v>71210100</v>
          </cell>
          <cell r="P208">
            <v>608000</v>
          </cell>
          <cell r="Q208" t="str">
            <v>Depreciation</v>
          </cell>
        </row>
        <row r="209">
          <cell r="J209">
            <v>501207</v>
          </cell>
          <cell r="K209" t="str">
            <v>Storage Rental Exp</v>
          </cell>
          <cell r="L209" t="str">
            <v>71211100</v>
          </cell>
          <cell r="M209" t="str">
            <v>Facilities &amp; Utilities</v>
          </cell>
          <cell r="N209" t="str">
            <v>Spending</v>
          </cell>
          <cell r="O209" t="str">
            <v>71211100</v>
          </cell>
          <cell r="P209">
            <v>501207</v>
          </cell>
          <cell r="Q209" t="str">
            <v>Other</v>
          </cell>
        </row>
        <row r="210">
          <cell r="J210">
            <v>608002</v>
          </cell>
          <cell r="K210" t="str">
            <v>Depr-Machine &amp; Equip</v>
          </cell>
          <cell r="L210">
            <v>71211240</v>
          </cell>
          <cell r="M210" t="str">
            <v>Depr-Machine &amp; Equip</v>
          </cell>
          <cell r="N210" t="str">
            <v>Depreciation</v>
          </cell>
          <cell r="O210">
            <v>71211240</v>
          </cell>
          <cell r="P210">
            <v>608002</v>
          </cell>
          <cell r="Q210" t="str">
            <v>Depreciation</v>
          </cell>
        </row>
        <row r="211">
          <cell r="J211">
            <v>600052</v>
          </cell>
          <cell r="K211" t="str">
            <v>Vendor/Other Third Party</v>
          </cell>
          <cell r="M211" t="str">
            <v>Vendor/Other Third Party</v>
          </cell>
          <cell r="N211" t="str">
            <v>Spending</v>
          </cell>
          <cell r="P211">
            <v>600052</v>
          </cell>
          <cell r="Q211" t="str">
            <v>Employee Related Expenses</v>
          </cell>
        </row>
        <row r="212">
          <cell r="J212">
            <v>607028</v>
          </cell>
          <cell r="K212" t="str">
            <v>IT Fees</v>
          </cell>
          <cell r="M212" t="str">
            <v>IT Fees</v>
          </cell>
          <cell r="N212" t="str">
            <v>Spending</v>
          </cell>
          <cell r="P212">
            <v>607028</v>
          </cell>
          <cell r="Q212" t="str">
            <v>Other</v>
          </cell>
        </row>
        <row r="213">
          <cell r="J213">
            <v>607041</v>
          </cell>
          <cell r="K213" t="str">
            <v>PEO Fees</v>
          </cell>
          <cell r="M213" t="str">
            <v>PEO Fees</v>
          </cell>
          <cell r="N213" t="str">
            <v>Spending</v>
          </cell>
          <cell r="P213">
            <v>607041</v>
          </cell>
          <cell r="Q213" t="str">
            <v>Other</v>
          </cell>
        </row>
        <row r="214">
          <cell r="J214">
            <v>607200</v>
          </cell>
          <cell r="K214" t="str">
            <v>Liability Insurance</v>
          </cell>
          <cell r="M214" t="str">
            <v>Liability Insurance</v>
          </cell>
          <cell r="N214" t="str">
            <v>Spending</v>
          </cell>
          <cell r="P214">
            <v>607200</v>
          </cell>
          <cell r="Q214" t="str">
            <v>Other</v>
          </cell>
        </row>
        <row r="215">
          <cell r="J215">
            <v>607203</v>
          </cell>
          <cell r="K215" t="str">
            <v>Other Insurance</v>
          </cell>
          <cell r="M215" t="str">
            <v>Other Insurance</v>
          </cell>
          <cell r="N215" t="str">
            <v>Spending</v>
          </cell>
          <cell r="P215">
            <v>607203</v>
          </cell>
          <cell r="Q215" t="str">
            <v>Other</v>
          </cell>
        </row>
        <row r="216">
          <cell r="J216">
            <v>608005</v>
          </cell>
          <cell r="K216" t="str">
            <v>Depr-Build Improve</v>
          </cell>
          <cell r="M216" t="str">
            <v>Depr-Build Improve</v>
          </cell>
          <cell r="N216" t="str">
            <v>Depreciation</v>
          </cell>
          <cell r="P216">
            <v>608005</v>
          </cell>
          <cell r="Q216" t="str">
            <v>Depreciation</v>
          </cell>
        </row>
        <row r="217">
          <cell r="J217">
            <v>608010</v>
          </cell>
          <cell r="K217" t="str">
            <v>Depr-Software Extern</v>
          </cell>
          <cell r="M217" t="str">
            <v>Depr-Software Extern</v>
          </cell>
          <cell r="N217" t="str">
            <v>Depreciation</v>
          </cell>
          <cell r="P217">
            <v>608010</v>
          </cell>
          <cell r="Q217" t="str">
            <v>Depreciation</v>
          </cell>
        </row>
        <row r="218">
          <cell r="J218">
            <v>608012</v>
          </cell>
          <cell r="K218" t="str">
            <v>Depr-Furn &amp; Fixtures</v>
          </cell>
          <cell r="M218" t="str">
            <v>Depr-Furn &amp; Fixtures</v>
          </cell>
          <cell r="N218" t="str">
            <v>Depreciation</v>
          </cell>
          <cell r="P218">
            <v>608012</v>
          </cell>
          <cell r="Q218" t="str">
            <v>Depreciation</v>
          </cell>
        </row>
        <row r="219">
          <cell r="J219">
            <v>607130</v>
          </cell>
          <cell r="K219" t="str">
            <v>Sales Tax Expense</v>
          </cell>
          <cell r="L219">
            <v>71230000</v>
          </cell>
          <cell r="M219" t="str">
            <v>Sales Tax Expense</v>
          </cell>
          <cell r="N219" t="str">
            <v>Spending</v>
          </cell>
          <cell r="O219">
            <v>71230000</v>
          </cell>
          <cell r="P219">
            <v>607130</v>
          </cell>
          <cell r="Q219" t="str">
            <v>Other</v>
          </cell>
        </row>
        <row r="220">
          <cell r="J220">
            <v>607132</v>
          </cell>
          <cell r="K220" t="str">
            <v>Personal Property Taxes</v>
          </cell>
          <cell r="M220" t="str">
            <v>Personal Property Taxes</v>
          </cell>
          <cell r="N220" t="str">
            <v>Spending</v>
          </cell>
          <cell r="P220">
            <v>607132</v>
          </cell>
          <cell r="Q220" t="str">
            <v>Other</v>
          </cell>
        </row>
        <row r="221">
          <cell r="J221">
            <v>501720</v>
          </cell>
          <cell r="K221" t="str">
            <v>Sales Tax</v>
          </cell>
          <cell r="L221">
            <v>71230000</v>
          </cell>
          <cell r="M221" t="str">
            <v>Sales Tax</v>
          </cell>
          <cell r="N221" t="str">
            <v>Spending</v>
          </cell>
          <cell r="O221">
            <v>71230000</v>
          </cell>
          <cell r="P221">
            <v>501720</v>
          </cell>
          <cell r="Q221" t="str">
            <v>Other</v>
          </cell>
        </row>
        <row r="222">
          <cell r="J222">
            <v>607056</v>
          </cell>
          <cell r="K222" t="str">
            <v>Fines and Penalties</v>
          </cell>
          <cell r="L222">
            <v>71511000</v>
          </cell>
          <cell r="M222" t="str">
            <v>Fines and Penalties</v>
          </cell>
          <cell r="N222" t="str">
            <v>Spending</v>
          </cell>
          <cell r="O222">
            <v>71511000</v>
          </cell>
          <cell r="P222">
            <v>607056</v>
          </cell>
          <cell r="Q222" t="str">
            <v>Outside Services</v>
          </cell>
        </row>
        <row r="223">
          <cell r="J223">
            <v>505050</v>
          </cell>
          <cell r="K223" t="str">
            <v>Miscellaneous Exp</v>
          </cell>
          <cell r="L223">
            <v>71511020</v>
          </cell>
          <cell r="M223" t="str">
            <v>Miscellaneous Exp</v>
          </cell>
          <cell r="N223" t="str">
            <v>Appropriation Expense</v>
          </cell>
          <cell r="O223">
            <v>71511020</v>
          </cell>
          <cell r="P223">
            <v>505050</v>
          </cell>
          <cell r="Q223" t="str">
            <v>Appropriation Expense</v>
          </cell>
        </row>
        <row r="224">
          <cell r="J224">
            <v>501806</v>
          </cell>
          <cell r="K224" t="str">
            <v>Training Expense</v>
          </cell>
          <cell r="L224">
            <v>71150000</v>
          </cell>
          <cell r="M224" t="str">
            <v>Training Expense</v>
          </cell>
          <cell r="N224" t="str">
            <v>Spending</v>
          </cell>
          <cell r="O224">
            <v>71150000</v>
          </cell>
          <cell r="P224">
            <v>501806</v>
          </cell>
          <cell r="Q224" t="str">
            <v>Employee Related Expenses</v>
          </cell>
        </row>
        <row r="225">
          <cell r="J225">
            <v>501711</v>
          </cell>
          <cell r="K225" t="str">
            <v>Out Service-Off Shor</v>
          </cell>
          <cell r="L225">
            <v>71362090</v>
          </cell>
          <cell r="M225" t="str">
            <v>Professional Services</v>
          </cell>
          <cell r="N225" t="str">
            <v>Spending</v>
          </cell>
          <cell r="O225">
            <v>71362090</v>
          </cell>
          <cell r="P225">
            <v>501711</v>
          </cell>
          <cell r="Q225" t="str">
            <v>Outside Services</v>
          </cell>
        </row>
        <row r="226">
          <cell r="J226">
            <v>500100</v>
          </cell>
          <cell r="K226" t="str">
            <v>COGS-Phys Inv Adj</v>
          </cell>
          <cell r="L226">
            <v>51115000</v>
          </cell>
          <cell r="M226" t="str">
            <v>COGS-Phys Inv Adj</v>
          </cell>
          <cell r="N226" t="str">
            <v>Inventory</v>
          </cell>
          <cell r="O226">
            <v>51115000</v>
          </cell>
          <cell r="P226">
            <v>500100</v>
          </cell>
          <cell r="Q226" t="str">
            <v>Inv Adj</v>
          </cell>
        </row>
        <row r="227">
          <cell r="J227">
            <v>500550</v>
          </cell>
          <cell r="K227" t="str">
            <v>COGS-Scrap</v>
          </cell>
          <cell r="L227">
            <v>51120030</v>
          </cell>
          <cell r="M227" t="str">
            <v>COGS-Scrap</v>
          </cell>
          <cell r="N227" t="str">
            <v>Inventory</v>
          </cell>
          <cell r="O227">
            <v>51120030</v>
          </cell>
          <cell r="P227">
            <v>500550</v>
          </cell>
          <cell r="Q227" t="str">
            <v>Inv Adj</v>
          </cell>
        </row>
        <row r="228">
          <cell r="J228">
            <v>607152</v>
          </cell>
          <cell r="K228" t="str">
            <v>ProSvc–OutSvcHrlyLab</v>
          </cell>
          <cell r="L228">
            <v>71110140</v>
          </cell>
          <cell r="M228" t="str">
            <v>ProSvc–OutSvcHrlyLab</v>
          </cell>
          <cell r="N228" t="str">
            <v>Spending</v>
          </cell>
          <cell r="O228">
            <v>71110140</v>
          </cell>
          <cell r="P228">
            <v>607152</v>
          </cell>
          <cell r="Q228" t="str">
            <v>Outside Services</v>
          </cell>
        </row>
        <row r="229">
          <cell r="J229">
            <v>501712</v>
          </cell>
          <cell r="K229" t="str">
            <v>Regulatory Fee Exp</v>
          </cell>
          <cell r="L229">
            <v>71362100</v>
          </cell>
          <cell r="M229" t="str">
            <v>Regulatory Fee Exp</v>
          </cell>
          <cell r="N229" t="str">
            <v>Spending</v>
          </cell>
          <cell r="O229">
            <v>71362100</v>
          </cell>
          <cell r="P229">
            <v>501712</v>
          </cell>
          <cell r="Q229" t="str">
            <v>Outside Services</v>
          </cell>
        </row>
        <row r="230">
          <cell r="J230">
            <v>607151</v>
          </cell>
          <cell r="K230" t="str">
            <v>Build Lease</v>
          </cell>
          <cell r="L230">
            <v>71210010</v>
          </cell>
          <cell r="M230" t="str">
            <v>Build Lease Contra</v>
          </cell>
          <cell r="N230" t="str">
            <v>Spending</v>
          </cell>
          <cell r="O230">
            <v>71210010</v>
          </cell>
          <cell r="P230">
            <v>607151</v>
          </cell>
          <cell r="Q230" t="str">
            <v>Other</v>
          </cell>
        </row>
        <row r="231">
          <cell r="J231">
            <v>607038</v>
          </cell>
          <cell r="K231" t="str">
            <v>Regulatory Fee Exp</v>
          </cell>
          <cell r="L231">
            <v>71362100</v>
          </cell>
          <cell r="M231" t="str">
            <v>Regulatory Fee Exp</v>
          </cell>
          <cell r="N231" t="str">
            <v>Spending</v>
          </cell>
          <cell r="O231">
            <v>71362100</v>
          </cell>
          <cell r="P231">
            <v>607038</v>
          </cell>
          <cell r="Q231" t="str">
            <v>Outside Services</v>
          </cell>
        </row>
        <row r="232">
          <cell r="J232">
            <v>600022</v>
          </cell>
          <cell r="K232" t="str">
            <v>Disability ER</v>
          </cell>
          <cell r="L232">
            <v>63115600</v>
          </cell>
          <cell r="M232" t="str">
            <v>Disability ER</v>
          </cell>
          <cell r="N232" t="str">
            <v>Spending</v>
          </cell>
          <cell r="O232">
            <v>63115600</v>
          </cell>
          <cell r="P232">
            <v>600022</v>
          </cell>
          <cell r="Q232" t="str">
            <v>Fringe Benefits</v>
          </cell>
        </row>
        <row r="233">
          <cell r="J233">
            <v>501813</v>
          </cell>
          <cell r="K233" t="str">
            <v>Temporary Staffing Expenses</v>
          </cell>
          <cell r="M233" t="str">
            <v>Temporary Staffing Expenses</v>
          </cell>
          <cell r="N233" t="str">
            <v>Spending</v>
          </cell>
          <cell r="P233">
            <v>501813</v>
          </cell>
          <cell r="Q233" t="str">
            <v>Outside Services</v>
          </cell>
        </row>
        <row r="234">
          <cell r="J234">
            <v>501013</v>
          </cell>
          <cell r="K234" t="str">
            <v>DL - WF Tax</v>
          </cell>
          <cell r="M234" t="str">
            <v>DL - WF Tax</v>
          </cell>
          <cell r="N234" t="str">
            <v>Spending</v>
          </cell>
          <cell r="P234">
            <v>501013</v>
          </cell>
          <cell r="Q234" t="str">
            <v>Fringe Benefits</v>
          </cell>
        </row>
        <row r="235">
          <cell r="J235">
            <v>501017</v>
          </cell>
          <cell r="K235" t="str">
            <v>DL - HSA / FSA</v>
          </cell>
          <cell r="M235" t="str">
            <v>DL - HSA / FSA</v>
          </cell>
          <cell r="N235" t="str">
            <v>Spending</v>
          </cell>
          <cell r="P235">
            <v>501017</v>
          </cell>
          <cell r="Q235" t="str">
            <v>Fringe Benefits</v>
          </cell>
        </row>
        <row r="236">
          <cell r="J236">
            <v>501802</v>
          </cell>
          <cell r="K236" t="str">
            <v>Employee Wellness</v>
          </cell>
          <cell r="M236" t="str">
            <v>Employee Wellness</v>
          </cell>
          <cell r="N236" t="str">
            <v>Spending</v>
          </cell>
          <cell r="P236">
            <v>501802</v>
          </cell>
          <cell r="Q236" t="str">
            <v>Fringe Benefits</v>
          </cell>
        </row>
        <row r="237">
          <cell r="J237">
            <v>501807</v>
          </cell>
          <cell r="K237" t="str">
            <v>Auto Expense</v>
          </cell>
          <cell r="M237" t="str">
            <v>Auto Expense</v>
          </cell>
          <cell r="N237" t="str">
            <v>Spending</v>
          </cell>
          <cell r="P237">
            <v>501807</v>
          </cell>
          <cell r="Q237" t="str">
            <v>Travel &amp; Entertainment</v>
          </cell>
        </row>
        <row r="238">
          <cell r="J238">
            <v>501808</v>
          </cell>
          <cell r="K238" t="str">
            <v>Lodging Expense</v>
          </cell>
          <cell r="M238" t="str">
            <v>Lodging Expense</v>
          </cell>
          <cell r="N238" t="str">
            <v>Spending</v>
          </cell>
          <cell r="P238">
            <v>501808</v>
          </cell>
          <cell r="Q238" t="str">
            <v>Travel &amp; Entertainment</v>
          </cell>
        </row>
        <row r="239">
          <cell r="J239">
            <v>607064</v>
          </cell>
          <cell r="K239" t="str">
            <v>Software Licenses</v>
          </cell>
          <cell r="M239" t="str">
            <v>Software Licenses</v>
          </cell>
          <cell r="N239" t="str">
            <v>Spending</v>
          </cell>
          <cell r="P239">
            <v>607064</v>
          </cell>
          <cell r="Q239" t="str">
            <v>Supplies Expenses</v>
          </cell>
        </row>
        <row r="240">
          <cell r="J240">
            <v>605005</v>
          </cell>
          <cell r="K240" t="str">
            <v>Small Parts Expense</v>
          </cell>
          <cell r="M240" t="str">
            <v>Small Parts Expense</v>
          </cell>
          <cell r="N240" t="str">
            <v>Spending</v>
          </cell>
          <cell r="P240">
            <v>605005</v>
          </cell>
          <cell r="Q240" t="str">
            <v>Supplies Expenses</v>
          </cell>
        </row>
        <row r="241">
          <cell r="J241">
            <v>501067</v>
          </cell>
          <cell r="K241" t="str">
            <v>IDL Other Taxes - ER</v>
          </cell>
          <cell r="M241" t="str">
            <v>IDL Other Taxes - ER</v>
          </cell>
          <cell r="N241" t="str">
            <v>Spending</v>
          </cell>
          <cell r="P241">
            <v>501067</v>
          </cell>
          <cell r="Q241" t="str">
            <v>Fringe Benefits</v>
          </cell>
        </row>
        <row r="242">
          <cell r="J242">
            <v>501805</v>
          </cell>
          <cell r="K242" t="str">
            <v>Training Materials</v>
          </cell>
          <cell r="L242">
            <v>71150010</v>
          </cell>
          <cell r="M242" t="str">
            <v>Training Materials</v>
          </cell>
          <cell r="N242" t="str">
            <v>Spending</v>
          </cell>
          <cell r="O242">
            <v>71150010</v>
          </cell>
          <cell r="P242">
            <v>501805</v>
          </cell>
          <cell r="Q242" t="str">
            <v>Employee Related Expenses</v>
          </cell>
        </row>
        <row r="243">
          <cell r="J243">
            <v>600040</v>
          </cell>
          <cell r="K243" t="str">
            <v>Training Materials</v>
          </cell>
          <cell r="M243" t="str">
            <v>Training Materials</v>
          </cell>
          <cell r="N243" t="str">
            <v>Spending</v>
          </cell>
          <cell r="P243">
            <v>600040</v>
          </cell>
          <cell r="Q243" t="str">
            <v>Employee Related Expenses</v>
          </cell>
        </row>
        <row r="244">
          <cell r="J244">
            <v>501805</v>
          </cell>
          <cell r="K244" t="str">
            <v>Training Materials</v>
          </cell>
          <cell r="M244" t="str">
            <v>Training Materials</v>
          </cell>
          <cell r="N244" t="str">
            <v>Spending</v>
          </cell>
          <cell r="P244">
            <v>501805</v>
          </cell>
          <cell r="Q244" t="str">
            <v>Employee Related Expenses</v>
          </cell>
        </row>
        <row r="245">
          <cell r="J245">
            <v>600006</v>
          </cell>
          <cell r="K245" t="str">
            <v>Severance Expense</v>
          </cell>
          <cell r="M245" t="str">
            <v>Severance Expense</v>
          </cell>
          <cell r="N245" t="str">
            <v>Spending</v>
          </cell>
          <cell r="P245">
            <v>600006</v>
          </cell>
          <cell r="Q245" t="str">
            <v>Fringe Benefits</v>
          </cell>
        </row>
        <row r="246">
          <cell r="J246">
            <v>600036</v>
          </cell>
          <cell r="K246" t="str">
            <v>Employee Related Expenses</v>
          </cell>
          <cell r="L246">
            <v>71151010</v>
          </cell>
          <cell r="M246" t="str">
            <v>Maeeting Exp-Internal</v>
          </cell>
          <cell r="N246" t="str">
            <v>Spending</v>
          </cell>
          <cell r="O246">
            <v>71151010</v>
          </cell>
          <cell r="P246">
            <v>600036</v>
          </cell>
          <cell r="Q246" t="str">
            <v>Employee Related Expenses</v>
          </cell>
        </row>
        <row r="247">
          <cell r="J247">
            <v>501061</v>
          </cell>
          <cell r="K247" t="str">
            <v>Fringe Benefits</v>
          </cell>
          <cell r="L247">
            <v>71152050</v>
          </cell>
          <cell r="M247" t="str">
            <v>Education Reimburse</v>
          </cell>
          <cell r="N247" t="str">
            <v>Spending</v>
          </cell>
          <cell r="O247">
            <v>71152050</v>
          </cell>
          <cell r="P247">
            <v>501061</v>
          </cell>
          <cell r="Q247" t="str">
            <v>Employee Related Expenses</v>
          </cell>
        </row>
        <row r="248">
          <cell r="J248">
            <v>501652</v>
          </cell>
          <cell r="K248" t="str">
            <v>Inbound Freight</v>
          </cell>
          <cell r="L248">
            <v>71243310</v>
          </cell>
          <cell r="M248" t="str">
            <v>Freight In</v>
          </cell>
          <cell r="N248" t="str">
            <v>Spending</v>
          </cell>
          <cell r="O248">
            <v>71243310</v>
          </cell>
          <cell r="P248">
            <v>501652</v>
          </cell>
          <cell r="Q248" t="str">
            <v>Inbound Freight</v>
          </cell>
        </row>
        <row r="249">
          <cell r="J249">
            <v>501816</v>
          </cell>
          <cell r="K249" t="str">
            <v>Seminar &amp; Conf Exp</v>
          </cell>
          <cell r="M249" t="str">
            <v>Seminar &amp; Conf Exp</v>
          </cell>
          <cell r="N249" t="str">
            <v>Spending</v>
          </cell>
          <cell r="O249">
            <v>0</v>
          </cell>
          <cell r="P249">
            <v>501816</v>
          </cell>
          <cell r="Q249" t="str">
            <v>Outside Services</v>
          </cell>
        </row>
        <row r="250">
          <cell r="J250">
            <v>608007</v>
          </cell>
          <cell r="K250" t="str">
            <v>Depr-Office Equip</v>
          </cell>
          <cell r="N250" t="str">
            <v>Spending</v>
          </cell>
          <cell r="O250">
            <v>0</v>
          </cell>
          <cell r="P250">
            <v>608007</v>
          </cell>
          <cell r="Q250" t="str">
            <v>Depreciation</v>
          </cell>
        </row>
        <row r="251">
          <cell r="J251">
            <v>501719</v>
          </cell>
          <cell r="K251" t="str">
            <v>Other Insurance Expense</v>
          </cell>
          <cell r="L251">
            <v>71120080</v>
          </cell>
          <cell r="M251" t="str">
            <v>Other Insurance Expense</v>
          </cell>
          <cell r="N251" t="str">
            <v>Spending</v>
          </cell>
          <cell r="O251">
            <v>71120080</v>
          </cell>
          <cell r="P251">
            <v>501719</v>
          </cell>
          <cell r="Q251" t="str">
            <v>Other</v>
          </cell>
        </row>
        <row r="252">
          <cell r="J252">
            <v>501811</v>
          </cell>
          <cell r="K252" t="str">
            <v>Vendor Credentialing</v>
          </cell>
          <cell r="M252" t="str">
            <v>Vendor Credentialing</v>
          </cell>
          <cell r="N252" t="str">
            <v>Spending</v>
          </cell>
          <cell r="O252">
            <v>0</v>
          </cell>
          <cell r="P252">
            <v>501811</v>
          </cell>
          <cell r="Q252" t="str">
            <v>Outside Services</v>
          </cell>
        </row>
        <row r="253">
          <cell r="J253">
            <v>607010</v>
          </cell>
          <cell r="K253" t="str">
            <v>Postage</v>
          </cell>
          <cell r="L253">
            <v>71310010</v>
          </cell>
          <cell r="M253" t="str">
            <v>Postage</v>
          </cell>
          <cell r="N253" t="str">
            <v>Spending</v>
          </cell>
          <cell r="O253">
            <v>71310010</v>
          </cell>
          <cell r="P253">
            <v>607010</v>
          </cell>
          <cell r="Q253" t="str">
            <v>Inbound Freight</v>
          </cell>
        </row>
        <row r="254">
          <cell r="J254">
            <v>607091</v>
          </cell>
          <cell r="K254" t="str">
            <v>Freight In</v>
          </cell>
          <cell r="N254" t="str">
            <v>Spending</v>
          </cell>
          <cell r="P254">
            <v>607091</v>
          </cell>
          <cell r="Q254" t="str">
            <v>Inbound Freight</v>
          </cell>
        </row>
        <row r="255">
          <cell r="J255">
            <v>605004</v>
          </cell>
          <cell r="K255" t="str">
            <v>Small Tools Expense</v>
          </cell>
          <cell r="L255">
            <v>71241000</v>
          </cell>
          <cell r="M255" t="str">
            <v>Small Tools Expense</v>
          </cell>
          <cell r="N255" t="str">
            <v>Spending</v>
          </cell>
          <cell r="O255">
            <v>71241000</v>
          </cell>
          <cell r="P255">
            <v>605004</v>
          </cell>
          <cell r="Q255" t="str">
            <v>Supplies Expenses</v>
          </cell>
        </row>
        <row r="256">
          <cell r="J256">
            <v>501222</v>
          </cell>
          <cell r="K256" t="str">
            <v>Inbound Steril Costs</v>
          </cell>
          <cell r="L256">
            <v>61310090</v>
          </cell>
          <cell r="M256" t="str">
            <v>Inbound Steril Costs</v>
          </cell>
          <cell r="N256" t="str">
            <v>Spending</v>
          </cell>
          <cell r="O256">
            <v>61310090</v>
          </cell>
          <cell r="P256">
            <v>501222</v>
          </cell>
          <cell r="Q256" t="str">
            <v>Outside Services</v>
          </cell>
        </row>
        <row r="257">
          <cell r="J257">
            <v>501253</v>
          </cell>
          <cell r="K257" t="str">
            <v>Software as Service</v>
          </cell>
          <cell r="L257">
            <v>71212040</v>
          </cell>
          <cell r="M257" t="str">
            <v>Software as Service</v>
          </cell>
          <cell r="N257" t="str">
            <v>Spending</v>
          </cell>
          <cell r="O257">
            <v>71212040</v>
          </cell>
          <cell r="P257">
            <v>501253</v>
          </cell>
          <cell r="Q257" t="str">
            <v>Outside Services</v>
          </cell>
        </row>
        <row r="258">
          <cell r="J258">
            <v>605007</v>
          </cell>
          <cell r="K258" t="str">
            <v>Lab Supplies Expense</v>
          </cell>
          <cell r="L258">
            <v>71241040</v>
          </cell>
          <cell r="M258" t="str">
            <v>Lab Supplies Expense</v>
          </cell>
          <cell r="N258" t="str">
            <v>Spending</v>
          </cell>
          <cell r="O258">
            <v>71241040</v>
          </cell>
          <cell r="P258">
            <v>605007</v>
          </cell>
          <cell r="Q258" t="str">
            <v>Supplies Expenses</v>
          </cell>
        </row>
        <row r="259">
          <cell r="J259">
            <v>607090</v>
          </cell>
          <cell r="K259" t="str">
            <v>Freight Out</v>
          </cell>
          <cell r="L259">
            <v>71243300</v>
          </cell>
          <cell r="M259" t="str">
            <v>Freight Out</v>
          </cell>
          <cell r="N259" t="str">
            <v>Spending</v>
          </cell>
          <cell r="O259">
            <v>71243300</v>
          </cell>
          <cell r="P259">
            <v>607090</v>
          </cell>
          <cell r="Q259" t="str">
            <v>Supplies Expenses</v>
          </cell>
        </row>
        <row r="260">
          <cell r="J260">
            <v>501203</v>
          </cell>
          <cell r="K260" t="str">
            <v>Prop &amp; Casualty Ins</v>
          </cell>
          <cell r="L260">
            <v>71210040</v>
          </cell>
          <cell r="M260" t="str">
            <v>Prop &amp; Casualty Ins</v>
          </cell>
          <cell r="N260" t="str">
            <v>Spending</v>
          </cell>
          <cell r="O260">
            <v>71210040</v>
          </cell>
          <cell r="P260">
            <v>501203</v>
          </cell>
          <cell r="Q260" t="str">
            <v>Other</v>
          </cell>
        </row>
        <row r="261">
          <cell r="J261">
            <v>501651</v>
          </cell>
          <cell r="K261" t="str">
            <v>Other Operationl Exp</v>
          </cell>
          <cell r="L261">
            <v>71243091</v>
          </cell>
          <cell r="M261" t="str">
            <v>Other Op Expenses</v>
          </cell>
          <cell r="N261" t="str">
            <v>Spending</v>
          </cell>
          <cell r="O261">
            <v>71243091</v>
          </cell>
          <cell r="P261">
            <v>501651</v>
          </cell>
          <cell r="Q261" t="str">
            <v>Other</v>
          </cell>
        </row>
        <row r="262">
          <cell r="J262">
            <v>608533</v>
          </cell>
          <cell r="K262" t="str">
            <v>Miscellaneous Expense</v>
          </cell>
          <cell r="L262">
            <v>71511020</v>
          </cell>
          <cell r="M262" t="str">
            <v>Miscellaneous Exp</v>
          </cell>
          <cell r="N262" t="str">
            <v>Spending</v>
          </cell>
          <cell r="O262">
            <v>71511020</v>
          </cell>
          <cell r="P262">
            <v>608533</v>
          </cell>
          <cell r="Q262" t="str">
            <v>Other</v>
          </cell>
        </row>
        <row r="263">
          <cell r="J263">
            <v>201450</v>
          </cell>
          <cell r="K263" t="str">
            <v>Other ER Taxes Payable</v>
          </cell>
          <cell r="M263" t="str">
            <v>No current Account</v>
          </cell>
          <cell r="N263" t="str">
            <v>Spending</v>
          </cell>
          <cell r="P263">
            <v>201450</v>
          </cell>
          <cell r="Q263" t="str">
            <v>Wages &amp; Salaries</v>
          </cell>
        </row>
        <row r="264">
          <cell r="J264">
            <v>201460</v>
          </cell>
          <cell r="K264" t="str">
            <v>Other EE Taxes Payable</v>
          </cell>
          <cell r="M264" t="str">
            <v>No current Account</v>
          </cell>
          <cell r="N264" t="str">
            <v>Spending</v>
          </cell>
          <cell r="P264">
            <v>201460</v>
          </cell>
          <cell r="Q264" t="str">
            <v>Wages &amp; Salaries</v>
          </cell>
        </row>
        <row r="265">
          <cell r="J265">
            <v>201490</v>
          </cell>
          <cell r="K265" t="str">
            <v>Employee Net Pay Payable</v>
          </cell>
          <cell r="M265" t="str">
            <v>No current Account</v>
          </cell>
          <cell r="N265" t="str">
            <v>Spending</v>
          </cell>
          <cell r="P265">
            <v>201490</v>
          </cell>
          <cell r="Q265" t="str">
            <v>Wages &amp; Salaries</v>
          </cell>
        </row>
        <row r="266">
          <cell r="J266">
            <v>201409</v>
          </cell>
          <cell r="K266" t="str">
            <v>Other Benefits Payable</v>
          </cell>
          <cell r="M266" t="str">
            <v>No current Account</v>
          </cell>
          <cell r="N266" t="str">
            <v>Spending</v>
          </cell>
          <cell r="P266">
            <v>201409</v>
          </cell>
          <cell r="Q266" t="str">
            <v>Fringe Benefits</v>
          </cell>
        </row>
        <row r="267">
          <cell r="J267">
            <v>201410</v>
          </cell>
          <cell r="K267" t="str">
            <v>Imputed Benefits Payable</v>
          </cell>
          <cell r="M267" t="str">
            <v>No current Account</v>
          </cell>
          <cell r="N267" t="str">
            <v>Spending</v>
          </cell>
          <cell r="P267">
            <v>201410</v>
          </cell>
          <cell r="Q267" t="str">
            <v>Fringe Benefits</v>
          </cell>
        </row>
        <row r="268">
          <cell r="J268">
            <v>201414</v>
          </cell>
          <cell r="K268" t="str">
            <v>Pension/Retirement Payable</v>
          </cell>
          <cell r="M268" t="str">
            <v>No current Account</v>
          </cell>
          <cell r="N268" t="str">
            <v>Spending</v>
          </cell>
          <cell r="P268">
            <v>201414</v>
          </cell>
          <cell r="Q268" t="str">
            <v>Fringe Benefits</v>
          </cell>
        </row>
        <row r="269">
          <cell r="J269">
            <v>600010</v>
          </cell>
          <cell r="K269" t="str">
            <v>Pension Expense</v>
          </cell>
          <cell r="L269">
            <v>71120020</v>
          </cell>
          <cell r="M269" t="str">
            <v>Pension Expense</v>
          </cell>
          <cell r="N269" t="str">
            <v>Spending</v>
          </cell>
          <cell r="O269">
            <v>71120020</v>
          </cell>
          <cell r="P269">
            <v>600010</v>
          </cell>
          <cell r="Q269" t="str">
            <v>Fringe Benefits</v>
          </cell>
        </row>
        <row r="270">
          <cell r="J270">
            <v>600055</v>
          </cell>
          <cell r="K270" t="str">
            <v>MIP Bonus Fringe Exp</v>
          </cell>
          <cell r="L270">
            <v>71121000</v>
          </cell>
          <cell r="M270" t="str">
            <v>MIP Bonus Expense</v>
          </cell>
          <cell r="N270" t="str">
            <v>Spending</v>
          </cell>
          <cell r="O270">
            <v>71121000</v>
          </cell>
          <cell r="P270">
            <v>600020</v>
          </cell>
          <cell r="Q270" t="str">
            <v>Fringe Benefits</v>
          </cell>
        </row>
        <row r="271">
          <cell r="J271">
            <v>501072</v>
          </cell>
          <cell r="K271" t="str">
            <v>IDL MIP Bonus Expense</v>
          </cell>
          <cell r="L271">
            <v>71121000</v>
          </cell>
          <cell r="M271" t="str">
            <v>MIP Bonus Expense</v>
          </cell>
          <cell r="N271" t="str">
            <v>Spending</v>
          </cell>
          <cell r="O271">
            <v>71121000</v>
          </cell>
          <cell r="P271">
            <v>600020</v>
          </cell>
          <cell r="Q271" t="str">
            <v>Fringe Benefits</v>
          </cell>
        </row>
        <row r="272">
          <cell r="J272">
            <v>501073</v>
          </cell>
          <cell r="K272" t="str">
            <v>IDL MIP Bonus Fringe Exp</v>
          </cell>
          <cell r="L272">
            <v>71121000</v>
          </cell>
          <cell r="M272" t="str">
            <v>MIP Bonus Expense</v>
          </cell>
          <cell r="N272" t="str">
            <v>Spending</v>
          </cell>
          <cell r="O272">
            <v>71121000</v>
          </cell>
          <cell r="P272">
            <v>600020</v>
          </cell>
          <cell r="Q272" t="str">
            <v>Fringe Benefits</v>
          </cell>
        </row>
        <row r="273">
          <cell r="J273">
            <v>607228</v>
          </cell>
          <cell r="K273" t="str">
            <v>Software as a Service</v>
          </cell>
          <cell r="L273">
            <v>71212040</v>
          </cell>
          <cell r="M273" t="str">
            <v>Software as Service</v>
          </cell>
          <cell r="N273" t="str">
            <v>Spending</v>
          </cell>
          <cell r="O273">
            <v>71212040</v>
          </cell>
          <cell r="P273">
            <v>607228</v>
          </cell>
          <cell r="Q273" t="str">
            <v>Outside Services</v>
          </cell>
        </row>
        <row r="274">
          <cell r="J274">
            <v>607063</v>
          </cell>
          <cell r="K274" t="str">
            <v>Computer Hardware Supplies</v>
          </cell>
          <cell r="L274">
            <v>71340000</v>
          </cell>
          <cell r="M274" t="str">
            <v>Computer Hardware</v>
          </cell>
          <cell r="N274" t="str">
            <v>Spending</v>
          </cell>
          <cell r="O274">
            <v>71340000</v>
          </cell>
          <cell r="P274">
            <v>607063</v>
          </cell>
          <cell r="Q274" t="str">
            <v>Other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>
        <row r="4">
          <cell r="BX4" t="str">
            <v>From Curr</v>
          </cell>
          <cell r="BZ4" t="str">
            <v>Rt Ty</v>
          </cell>
          <cell r="CC4" t="str">
            <v>Currency Conversion Rate - Spot Rate</v>
          </cell>
          <cell r="CE4" t="str">
            <v>Period</v>
          </cell>
        </row>
        <row r="5">
          <cell r="BX5" t="str">
            <v>CAD</v>
          </cell>
          <cell r="BZ5" t="str">
            <v>A</v>
          </cell>
          <cell r="CC5">
            <v>0.73090999999999995</v>
          </cell>
          <cell r="CE5">
            <v>1</v>
          </cell>
        </row>
        <row r="6">
          <cell r="BX6" t="str">
            <v>CAD</v>
          </cell>
          <cell r="BZ6" t="str">
            <v>M</v>
          </cell>
          <cell r="CC6">
            <v>0.72262400000000004</v>
          </cell>
          <cell r="CE6">
            <v>1</v>
          </cell>
        </row>
        <row r="7">
          <cell r="BX7" t="str">
            <v>EUR</v>
          </cell>
          <cell r="BZ7" t="str">
            <v>A</v>
          </cell>
          <cell r="CC7">
            <v>1.1689799999999999</v>
          </cell>
          <cell r="CE7">
            <v>1</v>
          </cell>
        </row>
        <row r="8">
          <cell r="BX8" t="str">
            <v>EUR</v>
          </cell>
          <cell r="BZ8" t="str">
            <v>M</v>
          </cell>
          <cell r="CC8">
            <v>1.1430899999999999</v>
          </cell>
          <cell r="CE8">
            <v>1</v>
          </cell>
        </row>
        <row r="9">
          <cell r="BX9" t="str">
            <v>JPY</v>
          </cell>
          <cell r="BZ9" t="str">
            <v>A</v>
          </cell>
          <cell r="CC9">
            <v>6.8045700000000002E-3</v>
          </cell>
          <cell r="CE9">
            <v>1</v>
          </cell>
        </row>
        <row r="10">
          <cell r="BX10" t="str">
            <v>JPY</v>
          </cell>
          <cell r="BZ10" t="str">
            <v>M</v>
          </cell>
          <cell r="CC10">
            <v>6.6699799999999998E-3</v>
          </cell>
          <cell r="CE10">
            <v>1</v>
          </cell>
        </row>
        <row r="11">
          <cell r="BX11" t="str">
            <v>CAD</v>
          </cell>
          <cell r="BZ11" t="str">
            <v>A</v>
          </cell>
          <cell r="CC11">
            <v>0.72486899999999999</v>
          </cell>
          <cell r="CE11">
            <v>2</v>
          </cell>
        </row>
        <row r="12">
          <cell r="BX12" t="str">
            <v>CAD</v>
          </cell>
          <cell r="BZ12" t="str">
            <v>M</v>
          </cell>
          <cell r="CC12">
            <v>0.72770800000000002</v>
          </cell>
          <cell r="CE12">
            <v>2</v>
          </cell>
        </row>
        <row r="13">
          <cell r="BX13" t="str">
            <v>EUR</v>
          </cell>
          <cell r="BZ13" t="str">
            <v>A</v>
          </cell>
          <cell r="CC13">
            <v>1.16499</v>
          </cell>
          <cell r="CE13">
            <v>2</v>
          </cell>
        </row>
        <row r="14">
          <cell r="BX14" t="str">
            <v>EUR</v>
          </cell>
          <cell r="BZ14" t="str">
            <v>M</v>
          </cell>
          <cell r="CC14">
            <v>1.16882</v>
          </cell>
          <cell r="CE14">
            <v>2</v>
          </cell>
        </row>
        <row r="15">
          <cell r="BX15" t="str">
            <v>JPY</v>
          </cell>
          <cell r="BZ15" t="str">
            <v>A</v>
          </cell>
          <cell r="CC15">
            <v>6.7814700000000004E-3</v>
          </cell>
          <cell r="CE15">
            <v>2</v>
          </cell>
        </row>
        <row r="16">
          <cell r="BX16" t="str">
            <v>JPY</v>
          </cell>
          <cell r="BZ16" t="str">
            <v>M</v>
          </cell>
          <cell r="CC16">
            <v>6.8012699999999999E-3</v>
          </cell>
          <cell r="CE16">
            <v>2</v>
          </cell>
        </row>
        <row r="17">
          <cell r="BX17" t="str">
            <v>CAD</v>
          </cell>
          <cell r="BZ17" t="str">
            <v>A</v>
          </cell>
          <cell r="CE17">
            <v>3</v>
          </cell>
        </row>
        <row r="18">
          <cell r="BX18" t="str">
            <v>CAD</v>
          </cell>
          <cell r="BZ18" t="str">
            <v>M</v>
          </cell>
          <cell r="CE18">
            <v>3</v>
          </cell>
        </row>
        <row r="19">
          <cell r="BX19" t="str">
            <v>EUR</v>
          </cell>
          <cell r="BZ19" t="str">
            <v>A</v>
          </cell>
          <cell r="CE19">
            <v>3</v>
          </cell>
        </row>
        <row r="20">
          <cell r="BX20" t="str">
            <v>EUR</v>
          </cell>
          <cell r="BZ20" t="str">
            <v>M</v>
          </cell>
          <cell r="CE20">
            <v>3</v>
          </cell>
        </row>
        <row r="21">
          <cell r="BX21" t="str">
            <v>JPY</v>
          </cell>
          <cell r="BZ21" t="str">
            <v>A</v>
          </cell>
          <cell r="CE21">
            <v>3</v>
          </cell>
        </row>
        <row r="22">
          <cell r="BX22" t="str">
            <v>JPY</v>
          </cell>
          <cell r="BZ22" t="str">
            <v>M</v>
          </cell>
          <cell r="CE22">
            <v>3</v>
          </cell>
        </row>
        <row r="23">
          <cell r="BX23" t="str">
            <v>CAD</v>
          </cell>
          <cell r="BZ23" t="str">
            <v>A</v>
          </cell>
          <cell r="CE23">
            <v>4</v>
          </cell>
        </row>
        <row r="24">
          <cell r="BX24" t="str">
            <v>CAD</v>
          </cell>
          <cell r="BZ24" t="str">
            <v>M</v>
          </cell>
          <cell r="CE24">
            <v>4</v>
          </cell>
        </row>
        <row r="25">
          <cell r="BX25" t="str">
            <v>EUR</v>
          </cell>
          <cell r="BZ25" t="str">
            <v>A</v>
          </cell>
          <cell r="CE25">
            <v>4</v>
          </cell>
        </row>
        <row r="26">
          <cell r="BX26" t="str">
            <v>EUR</v>
          </cell>
          <cell r="BZ26" t="str">
            <v>M</v>
          </cell>
          <cell r="CE26">
            <v>4</v>
          </cell>
        </row>
        <row r="27">
          <cell r="BX27" t="str">
            <v>JPY</v>
          </cell>
          <cell r="BZ27" t="str">
            <v>A</v>
          </cell>
          <cell r="CE27">
            <v>4</v>
          </cell>
        </row>
        <row r="28">
          <cell r="BX28" t="str">
            <v>JPY</v>
          </cell>
          <cell r="BZ28" t="str">
            <v>M</v>
          </cell>
          <cell r="CE28">
            <v>4</v>
          </cell>
        </row>
        <row r="29">
          <cell r="BX29" t="str">
            <v>CAD</v>
          </cell>
          <cell r="BZ29" t="str">
            <v>A</v>
          </cell>
          <cell r="CE29">
            <v>5</v>
          </cell>
        </row>
        <row r="30">
          <cell r="BX30" t="str">
            <v>CAD</v>
          </cell>
          <cell r="BZ30" t="str">
            <v>M</v>
          </cell>
          <cell r="CE30">
            <v>5</v>
          </cell>
        </row>
        <row r="31">
          <cell r="BX31" t="str">
            <v>EUR</v>
          </cell>
          <cell r="BZ31" t="str">
            <v>A</v>
          </cell>
          <cell r="CE31">
            <v>5</v>
          </cell>
        </row>
        <row r="32">
          <cell r="BX32" t="str">
            <v>EUR</v>
          </cell>
          <cell r="BZ32" t="str">
            <v>M</v>
          </cell>
          <cell r="CE32">
            <v>5</v>
          </cell>
        </row>
        <row r="33">
          <cell r="BX33" t="str">
            <v>JPY</v>
          </cell>
          <cell r="BZ33" t="str">
            <v>A</v>
          </cell>
          <cell r="CE33">
            <v>5</v>
          </cell>
        </row>
        <row r="34">
          <cell r="BX34" t="str">
            <v>JPY</v>
          </cell>
          <cell r="BZ34" t="str">
            <v>M</v>
          </cell>
          <cell r="CE34">
            <v>5</v>
          </cell>
        </row>
        <row r="35">
          <cell r="BX35" t="str">
            <v>CAD</v>
          </cell>
          <cell r="BZ35" t="str">
            <v>A</v>
          </cell>
          <cell r="CE35">
            <v>6</v>
          </cell>
        </row>
        <row r="36">
          <cell r="BX36" t="str">
            <v>CAD</v>
          </cell>
          <cell r="BZ36" t="str">
            <v>M</v>
          </cell>
          <cell r="CE36">
            <v>6</v>
          </cell>
        </row>
        <row r="37">
          <cell r="BX37" t="str">
            <v>EUR</v>
          </cell>
          <cell r="BZ37" t="str">
            <v>A</v>
          </cell>
          <cell r="CE37">
            <v>6</v>
          </cell>
        </row>
        <row r="38">
          <cell r="BX38" t="str">
            <v>EUR</v>
          </cell>
          <cell r="BZ38" t="str">
            <v>M</v>
          </cell>
          <cell r="CE38">
            <v>6</v>
          </cell>
        </row>
        <row r="39">
          <cell r="BX39" t="str">
            <v>JPY</v>
          </cell>
          <cell r="BZ39" t="str">
            <v>A</v>
          </cell>
          <cell r="CE39">
            <v>6</v>
          </cell>
        </row>
        <row r="40">
          <cell r="BX40" t="str">
            <v>JPY</v>
          </cell>
          <cell r="BZ40" t="str">
            <v>M</v>
          </cell>
          <cell r="CE40">
            <v>6</v>
          </cell>
        </row>
        <row r="41">
          <cell r="BX41" t="str">
            <v>CAD</v>
          </cell>
          <cell r="BZ41" t="str">
            <v>A</v>
          </cell>
          <cell r="CE41">
            <v>7</v>
          </cell>
        </row>
        <row r="42">
          <cell r="BX42" t="str">
            <v>CAD</v>
          </cell>
          <cell r="BZ42" t="str">
            <v>M</v>
          </cell>
          <cell r="CE42">
            <v>7</v>
          </cell>
        </row>
        <row r="43">
          <cell r="BX43" t="str">
            <v>EUR</v>
          </cell>
          <cell r="BZ43" t="str">
            <v>A</v>
          </cell>
          <cell r="CE43">
            <v>7</v>
          </cell>
        </row>
        <row r="44">
          <cell r="BX44" t="str">
            <v>EUR</v>
          </cell>
          <cell r="BZ44" t="str">
            <v>M</v>
          </cell>
          <cell r="CE44">
            <v>7</v>
          </cell>
        </row>
        <row r="45">
          <cell r="BX45" t="str">
            <v>JPY</v>
          </cell>
          <cell r="BZ45" t="str">
            <v>A</v>
          </cell>
          <cell r="CE45">
            <v>7</v>
          </cell>
        </row>
        <row r="46">
          <cell r="BX46" t="str">
            <v>JPY</v>
          </cell>
          <cell r="BZ46" t="str">
            <v>M</v>
          </cell>
          <cell r="CE46">
            <v>7</v>
          </cell>
        </row>
        <row r="47">
          <cell r="BX47" t="str">
            <v>CAD</v>
          </cell>
          <cell r="BZ47" t="str">
            <v>A</v>
          </cell>
          <cell r="CE47">
            <v>8</v>
          </cell>
        </row>
        <row r="48">
          <cell r="BX48" t="str">
            <v>CAD</v>
          </cell>
          <cell r="BZ48" t="str">
            <v>M</v>
          </cell>
          <cell r="CE48">
            <v>8</v>
          </cell>
        </row>
        <row r="49">
          <cell r="BX49" t="str">
            <v>EUR</v>
          </cell>
          <cell r="BZ49" t="str">
            <v>A</v>
          </cell>
          <cell r="CE49">
            <v>8</v>
          </cell>
        </row>
        <row r="50">
          <cell r="BX50" t="str">
            <v>EUR</v>
          </cell>
          <cell r="BZ50" t="str">
            <v>M</v>
          </cell>
          <cell r="CE50">
            <v>8</v>
          </cell>
        </row>
        <row r="51">
          <cell r="BX51" t="str">
            <v>JPY</v>
          </cell>
          <cell r="BZ51" t="str">
            <v>A</v>
          </cell>
          <cell r="CE51">
            <v>8</v>
          </cell>
        </row>
        <row r="52">
          <cell r="BX52" t="str">
            <v>JPY</v>
          </cell>
          <cell r="BZ52" t="str">
            <v>M</v>
          </cell>
          <cell r="CE52">
            <v>8</v>
          </cell>
        </row>
        <row r="53">
          <cell r="BX53" t="str">
            <v>CAD</v>
          </cell>
          <cell r="BZ53" t="str">
            <v>A</v>
          </cell>
          <cell r="CE53">
            <v>9</v>
          </cell>
        </row>
        <row r="54">
          <cell r="BX54" t="str">
            <v>CAD</v>
          </cell>
          <cell r="BZ54" t="str">
            <v>M</v>
          </cell>
          <cell r="CE54">
            <v>9</v>
          </cell>
        </row>
        <row r="55">
          <cell r="BX55" t="str">
            <v>EUR</v>
          </cell>
          <cell r="BZ55" t="str">
            <v>A</v>
          </cell>
          <cell r="CE55">
            <v>9</v>
          </cell>
        </row>
        <row r="56">
          <cell r="BX56" t="str">
            <v>EUR</v>
          </cell>
          <cell r="BZ56" t="str">
            <v>M</v>
          </cell>
          <cell r="CE56">
            <v>9</v>
          </cell>
        </row>
        <row r="57">
          <cell r="BX57" t="str">
            <v>JPY</v>
          </cell>
          <cell r="BZ57" t="str">
            <v>A</v>
          </cell>
          <cell r="CE57">
            <v>9</v>
          </cell>
        </row>
        <row r="58">
          <cell r="BX58" t="str">
            <v>JPY</v>
          </cell>
          <cell r="BZ58" t="str">
            <v>M</v>
          </cell>
          <cell r="CE58">
            <v>9</v>
          </cell>
        </row>
        <row r="59">
          <cell r="BX59" t="str">
            <v>CAD</v>
          </cell>
          <cell r="BZ59" t="str">
            <v>A</v>
          </cell>
          <cell r="CE59">
            <v>10</v>
          </cell>
        </row>
        <row r="60">
          <cell r="BX60" t="str">
            <v>CAD</v>
          </cell>
          <cell r="BZ60" t="str">
            <v>M</v>
          </cell>
          <cell r="CE60">
            <v>10</v>
          </cell>
        </row>
        <row r="61">
          <cell r="BX61" t="str">
            <v>EUR</v>
          </cell>
          <cell r="BZ61" t="str">
            <v>A</v>
          </cell>
          <cell r="CE61">
            <v>10</v>
          </cell>
        </row>
        <row r="62">
          <cell r="BX62" t="str">
            <v>EUR</v>
          </cell>
          <cell r="BZ62" t="str">
            <v>M</v>
          </cell>
          <cell r="CE62">
            <v>10</v>
          </cell>
        </row>
        <row r="63">
          <cell r="BX63" t="str">
            <v>JPY</v>
          </cell>
          <cell r="BZ63" t="str">
            <v>A</v>
          </cell>
          <cell r="CE63">
            <v>10</v>
          </cell>
        </row>
        <row r="64">
          <cell r="BX64" t="str">
            <v>JPY</v>
          </cell>
          <cell r="BZ64" t="str">
            <v>M</v>
          </cell>
          <cell r="CE64">
            <v>10</v>
          </cell>
        </row>
        <row r="65">
          <cell r="BX65" t="str">
            <v>CAD</v>
          </cell>
          <cell r="BZ65" t="str">
            <v>A</v>
          </cell>
          <cell r="CE65">
            <v>11</v>
          </cell>
        </row>
        <row r="66">
          <cell r="BX66" t="str">
            <v>CAD</v>
          </cell>
          <cell r="BZ66" t="str">
            <v>M</v>
          </cell>
          <cell r="CE66">
            <v>11</v>
          </cell>
        </row>
        <row r="67">
          <cell r="BX67" t="str">
            <v>EUR</v>
          </cell>
          <cell r="BZ67" t="str">
            <v>A</v>
          </cell>
          <cell r="CE67">
            <v>11</v>
          </cell>
        </row>
        <row r="68">
          <cell r="BX68" t="str">
            <v>EUR</v>
          </cell>
          <cell r="BZ68" t="str">
            <v>M</v>
          </cell>
          <cell r="CE68">
            <v>11</v>
          </cell>
        </row>
        <row r="69">
          <cell r="BX69" t="str">
            <v>JPY</v>
          </cell>
          <cell r="BZ69" t="str">
            <v>A</v>
          </cell>
          <cell r="CE69">
            <v>11</v>
          </cell>
        </row>
        <row r="70">
          <cell r="BX70" t="str">
            <v>JPY</v>
          </cell>
          <cell r="BZ70" t="str">
            <v>M</v>
          </cell>
          <cell r="CE70">
            <v>11</v>
          </cell>
        </row>
        <row r="71">
          <cell r="BX71" t="str">
            <v>CAD</v>
          </cell>
          <cell r="BZ71" t="str">
            <v>A</v>
          </cell>
          <cell r="CE71">
            <v>12</v>
          </cell>
        </row>
        <row r="72">
          <cell r="BX72" t="str">
            <v>CAD</v>
          </cell>
          <cell r="BZ72" t="str">
            <v>M</v>
          </cell>
          <cell r="CE72">
            <v>12</v>
          </cell>
        </row>
        <row r="73">
          <cell r="BX73" t="str">
            <v>EUR</v>
          </cell>
          <cell r="BZ73" t="str">
            <v>A</v>
          </cell>
          <cell r="CE73">
            <v>12</v>
          </cell>
        </row>
        <row r="74">
          <cell r="BX74" t="str">
            <v>EUR</v>
          </cell>
          <cell r="BZ74" t="str">
            <v>M</v>
          </cell>
          <cell r="CE74">
            <v>12</v>
          </cell>
        </row>
        <row r="75">
          <cell r="BX75" t="str">
            <v>JPY</v>
          </cell>
          <cell r="BZ75" t="str">
            <v>A</v>
          </cell>
          <cell r="CE75">
            <v>12</v>
          </cell>
        </row>
        <row r="76">
          <cell r="BX76" t="str">
            <v>JPY</v>
          </cell>
          <cell r="BZ76" t="str">
            <v>M</v>
          </cell>
          <cell r="CE76">
            <v>12</v>
          </cell>
        </row>
        <row r="77">
          <cell r="BX77" t="str">
            <v>CAD</v>
          </cell>
          <cell r="BZ77" t="str">
            <v>A</v>
          </cell>
          <cell r="CE77">
            <v>1</v>
          </cell>
        </row>
        <row r="78">
          <cell r="BX78" t="str">
            <v>CAD</v>
          </cell>
          <cell r="BZ78" t="str">
            <v>M</v>
          </cell>
          <cell r="CE78">
            <v>1</v>
          </cell>
        </row>
        <row r="79">
          <cell r="BX79" t="str">
            <v>EUR</v>
          </cell>
          <cell r="BZ79" t="str">
            <v>A</v>
          </cell>
          <cell r="CE79">
            <v>1</v>
          </cell>
        </row>
        <row r="80">
          <cell r="BX80" t="str">
            <v>EUR</v>
          </cell>
          <cell r="BZ80" t="str">
            <v>M</v>
          </cell>
          <cell r="CE80">
            <v>1</v>
          </cell>
        </row>
        <row r="81">
          <cell r="BX81" t="str">
            <v>JPY</v>
          </cell>
          <cell r="BZ81" t="str">
            <v>A</v>
          </cell>
          <cell r="CE81">
            <v>1</v>
          </cell>
        </row>
        <row r="82">
          <cell r="BX82" t="str">
            <v>JPY</v>
          </cell>
          <cell r="BZ82" t="str">
            <v>M</v>
          </cell>
          <cell r="CE82">
            <v>1</v>
          </cell>
        </row>
      </sheetData>
      <sheetData sheetId="149"/>
      <sheetData sheetId="150"/>
      <sheetData sheetId="15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 updates"/>
      <sheetName val="1 SETUP"/>
      <sheetName val="Data"/>
      <sheetName val="2 WACC"/>
      <sheetName val="2a Beta"/>
      <sheetName val="3 Spreads"/>
      <sheetName val="4a Historical"/>
      <sheetName val="4b Restated"/>
      <sheetName val="5 ROIC Tree"/>
      <sheetName val="6 TRS"/>
      <sheetName val="7 SVC"/>
      <sheetName val="8 Worm"/>
      <sheetName val="9 SCM"/>
      <sheetName val="10 Multiples"/>
      <sheetName val="BU historical"/>
      <sheetName val="BU forecast"/>
      <sheetName val="Sheet1"/>
      <sheetName val="BU 1"/>
      <sheetName val="BU 2"/>
      <sheetName val="BU 3"/>
      <sheetName val="BU 4"/>
      <sheetName val="BU 5"/>
      <sheetName val="BU 6"/>
      <sheetName val="Corp"/>
      <sheetName val="Sum of Parts"/>
      <sheetName val="MultiVal"/>
      <sheetName val="11 Shift int economics"/>
      <sheetName val="11 Valuation - base"/>
      <sheetName val="Summary page 1"/>
      <sheetName val="Summary page 2"/>
      <sheetName val="Summary page 3"/>
      <sheetName val="Growth Spread for VA"/>
      <sheetName val="Data overview 1"/>
      <sheetName val="11 Valuation - restore ec"/>
      <sheetName val="12a Growth-Spread"/>
      <sheetName val="12b BU Growth-Spread"/>
      <sheetName val="13 3-Bucket"/>
      <sheetName val="14 Summary"/>
      <sheetName val="Setting"/>
      <sheetName val="Example data"/>
      <sheetName val="C. TERRITORY_MANAGERS"/>
      <sheetName val="PDP"/>
      <sheetName val="Control"/>
      <sheetName val="Sheet3"/>
      <sheetName val="Instructions"/>
      <sheetName val="Proyectos"/>
      <sheetName val="Settings"/>
      <sheetName val="Drop Down Lists"/>
      <sheetName val="Lists"/>
      <sheetName val="Mapping"/>
      <sheetName val="Sheet2"/>
      <sheetName val="集計"/>
      <sheetName val="Categories"/>
      <sheetName val="Europe Growth Drivers"/>
      <sheetName val="Sales Snapshot ET WE"/>
      <sheetName val="OpenOrderData"/>
      <sheetName val="Feuil3"/>
      <sheetName val="Worksheet"/>
      <sheetName val="Allocation Table"/>
      <sheetName val="1) PM Input Tab"/>
      <sheetName val="Drop Down - DO NOT ERASE"/>
      <sheetName val="Class of Trade (COT)"/>
      <sheetName val="Proyección P&amp;L FY18"/>
      <sheetName val="Reference"/>
      <sheetName val="START"/>
      <sheetName val="PM Input Tab"/>
      <sheetName val="Heatmap"/>
      <sheetName val="Project Expenses"/>
      <sheetName val="Annual FCST"/>
      <sheetName val="PD Output Converter"/>
      <sheetName val="PD Output"/>
      <sheetName val="Expense Tool"/>
      <sheetName val="Charter"/>
      <sheetName val="Risk Adjustment Help"/>
      <sheetName val="Update Summary"/>
      <sheetName val="Capital Request Form"/>
      <sheetName val="CER Approval Entry Form"/>
      <sheetName val="One-Pager"/>
      <sheetName val="Alternative One-Pager"/>
      <sheetName val="Revision History"/>
      <sheetName val="4) Regional Conversion"/>
      <sheetName val="2) Qtr FCST (PD)"/>
      <sheetName val="Updated Forecast by Qtr"/>
      <sheetName val="3) Annual FCST"/>
      <sheetName val="4) PD Output Converter"/>
      <sheetName val="6) Heatmap"/>
      <sheetName val="7) Charter"/>
      <sheetName val="8) Update Summary"/>
      <sheetName val="Einstein Procedure Summary"/>
      <sheetName val="US List of Expense Categories"/>
      <sheetName val="Location"/>
      <sheetName val="List"/>
      <sheetName val="Filter Input"/>
      <sheetName val="Tables"/>
      <sheetName val="SourceTables"/>
      <sheetName val="Inputs"/>
      <sheetName val="0_updates"/>
      <sheetName val="1_SETUP"/>
      <sheetName val="2_WACC"/>
      <sheetName val="2a_Beta"/>
      <sheetName val="3_Spreads"/>
      <sheetName val="4a_Historical"/>
      <sheetName val="4b_Restated"/>
      <sheetName val="5_ROIC_Tree"/>
      <sheetName val="6_TRS"/>
      <sheetName val="7_SVC"/>
      <sheetName val="8_Worm"/>
      <sheetName val="9_SCM"/>
      <sheetName val="10_Multiples"/>
      <sheetName val="BU_historical"/>
      <sheetName val="BU_forecast"/>
      <sheetName val="BU_1"/>
      <sheetName val="BU_2"/>
      <sheetName val="BU_3"/>
      <sheetName val="BU_4"/>
      <sheetName val="BU_5"/>
      <sheetName val="BU_6"/>
      <sheetName val="Sum_of_Parts"/>
      <sheetName val="11_Shift_int_economics"/>
      <sheetName val="11_Valuation_-_base"/>
      <sheetName val="Summary_page_1"/>
      <sheetName val="Summary_page_2"/>
      <sheetName val="Summary_page_3"/>
      <sheetName val="Growth_Spread_for_VA"/>
      <sheetName val="Data_overview_1"/>
      <sheetName val="11_Valuation_-_restore_ec"/>
      <sheetName val="12a_Growth-Spread"/>
      <sheetName val="12b_BU_Growth-Spread"/>
      <sheetName val="13_3-Bucket"/>
      <sheetName val="14_Summary"/>
      <sheetName val="Example_data"/>
      <sheetName val="C__TERRITORY_MANAGERS"/>
      <sheetName val="Drop_Down_Lists"/>
      <sheetName val="Europe_Growth_Drivers"/>
      <sheetName val="Sales_Snapshot_ET_WE"/>
      <sheetName val="Allocation_Table"/>
      <sheetName val="Drop_Down_-_DO_NOT_ERASE"/>
      <sheetName val="1)_PM_Input_Tab"/>
      <sheetName val="Class_of_Trade_(COT)"/>
      <sheetName val="Proyección_P&amp;L_FY18"/>
      <sheetName val="PM_Input_Tab"/>
      <sheetName val="Project_Expenses"/>
      <sheetName val="Annual_FCST"/>
      <sheetName val="PD_Output_Converter"/>
      <sheetName val="PD_Output"/>
      <sheetName val="Expense_Tool"/>
      <sheetName val="Risk_Adjustment_Help"/>
      <sheetName val="Update_Summary"/>
      <sheetName val="Capital_Request_Form"/>
      <sheetName val="CER_Approval_Entry_Form"/>
      <sheetName val="Alternative_One-Pager"/>
      <sheetName val="Revision_History"/>
      <sheetName val="4)_Regional_Conversion"/>
      <sheetName val="2)_Qtr_FCST_(PD)"/>
      <sheetName val="Updated_Forecast_by_Qtr"/>
      <sheetName val="3)_Annual_FCST"/>
      <sheetName val="4)_PD_Output_Converter"/>
      <sheetName val="6)_Heatmap"/>
      <sheetName val="7)_Charter"/>
      <sheetName val="8)_Update_Summary"/>
      <sheetName val="Einstein_Procedure_Summary"/>
      <sheetName val="US_List_of_Expense_Categories"/>
      <sheetName val="Filter_Input"/>
      <sheetName val="Validations"/>
      <sheetName val="Table"/>
      <sheetName val="S&amp;P"/>
      <sheetName val="0_updates1"/>
      <sheetName val="1_SETUP1"/>
      <sheetName val="2_WACC1"/>
      <sheetName val="2a_Beta1"/>
      <sheetName val="3_Spreads1"/>
      <sheetName val="4a_Historical1"/>
      <sheetName val="4b_Restated1"/>
      <sheetName val="5_ROIC_Tree1"/>
      <sheetName val="6_TRS1"/>
      <sheetName val="7_SVC1"/>
      <sheetName val="8_Worm1"/>
      <sheetName val="9_SCM1"/>
      <sheetName val="10_Multiples1"/>
      <sheetName val="BU_historical1"/>
      <sheetName val="BU_forecast1"/>
      <sheetName val="BU_11"/>
      <sheetName val="BU_21"/>
      <sheetName val="BU_31"/>
      <sheetName val="BU_41"/>
      <sheetName val="BU_51"/>
      <sheetName val="BU_61"/>
      <sheetName val="Sum_of_Parts1"/>
      <sheetName val="11_Shift_int_economics1"/>
      <sheetName val="11_Valuation_-_base1"/>
      <sheetName val="Summary_page_11"/>
      <sheetName val="Summary_page_21"/>
      <sheetName val="Summary_page_31"/>
      <sheetName val="Growth_Spread_for_VA1"/>
      <sheetName val="Data_overview_11"/>
      <sheetName val="11_Valuation_-_restore_ec1"/>
      <sheetName val="12a_Growth-Spread1"/>
      <sheetName val="12b_BU_Growth-Spread1"/>
      <sheetName val="13_3-Bucket1"/>
      <sheetName val="14_Summary1"/>
      <sheetName val="Example_data1"/>
      <sheetName val="C__TERRITORY_MANAGERS1"/>
      <sheetName val="Drop_Down_Lists1"/>
      <sheetName val="Europe_Growth_Drivers1"/>
      <sheetName val="Sales_Snapshot_ET_WE1"/>
      <sheetName val="Allocation_Table1"/>
      <sheetName val="1)_PM_Input_Tab1"/>
      <sheetName val="Drop_Down_-_DO_NOT_ERASE1"/>
      <sheetName val="Class_of_Trade_(COT)1"/>
      <sheetName val="Proyección_P&amp;L_FY181"/>
      <sheetName val="PM_Input_Tab1"/>
      <sheetName val="Project_Expenses1"/>
      <sheetName val="Annual_FCST1"/>
      <sheetName val="PD_Output_Converter1"/>
      <sheetName val="PD_Output1"/>
      <sheetName val="Expense_Tool1"/>
      <sheetName val="Risk_Adjustment_Help1"/>
      <sheetName val="Update_Summary1"/>
      <sheetName val="Capital_Request_Form1"/>
      <sheetName val="CER_Approval_Entry_Form1"/>
      <sheetName val="Alternative_One-Pager1"/>
      <sheetName val="Revision_History1"/>
      <sheetName val="4)_Regional_Conversion1"/>
      <sheetName val="2)_Qtr_FCST_(PD)1"/>
      <sheetName val="Updated_Forecast_by_Qtr1"/>
      <sheetName val="3)_Annual_FCST1"/>
      <sheetName val="4)_PD_Output_Converter1"/>
      <sheetName val="6)_Heatmap1"/>
      <sheetName val="7)_Charter1"/>
      <sheetName val="8)_Update_Summary1"/>
      <sheetName val="Einstein_Procedure_Summary1"/>
      <sheetName val="US_List_of_Expense_Categories1"/>
      <sheetName val="Filter_Input1"/>
      <sheetName val="FY21 YE Result Belgium"/>
      <sheetName val="Budget 2009"/>
      <sheetName val="YTD Actual"/>
      <sheetName val="Ref"/>
      <sheetName val="Jul 08"/>
      <sheetName val="Jun 08"/>
      <sheetName val="help"/>
      <sheetName val="how to pull FCST from PD System"/>
      <sheetName val="Selections"/>
      <sheetName val="PY_AOP_FCST"/>
      <sheetName val="INPUT"/>
      <sheetName val="New Products by Month"/>
      <sheetName val="FY18 YoY Comp"/>
      <sheetName val="FY19 YoY Comp"/>
      <sheetName val="CY Gross Rev vs Prior Year"/>
      <sheetName val="CY Net Rev vs Prior Year"/>
      <sheetName val="CY Gross Rev vs Prior Fcst"/>
      <sheetName val="CY Net Rev vs Prior Fcst"/>
      <sheetName val="NY Gross Rev vs CY Fcst"/>
      <sheetName val="NY Net Rev vs CY Fcst"/>
      <sheetName val="NY+1 Gross Rev vs NY Fcst"/>
      <sheetName val="NY+1 Net Rev vs NY Fcst"/>
      <sheetName val="FY20 YoY Comp"/>
      <sheetName val="PDFY19Q1-Q3 Act"/>
      <sheetName val="FY20 YoY Comp Old"/>
      <sheetName val="Strat Plan Comp"/>
      <sheetName val="PDFY19OctFcst"/>
      <sheetName val="Hernia 4 Blocker"/>
      <sheetName val="stapling"/>
      <sheetName val="VS 4 Blocker"/>
      <sheetName val="Summary"/>
      <sheetName val="Total Revenue"/>
      <sheetName val="Customer Ranking"/>
      <sheetName val="Customer Details"/>
      <sheetName val="Customer Performance"/>
      <sheetName val="Raktiboon"/>
      <sheetName val="Attakorn"/>
      <sheetName val="Pivot"/>
      <sheetName val="how_to_pull_FCST_from_PD_System"/>
      <sheetName val="New_Products_by_Month"/>
      <sheetName val="FY18_YoY_Comp"/>
      <sheetName val="FY19_YoY_Comp"/>
      <sheetName val="CY_Gross_Rev_vs_Prior_Year"/>
      <sheetName val="CY_Net_Rev_vs_Prior_Year"/>
      <sheetName val="CY_Gross_Rev_vs_Prior_Fcst"/>
      <sheetName val="CY_Net_Rev_vs_Prior_Fcst"/>
      <sheetName val="NY_Gross_Rev_vs_CY_Fcst"/>
      <sheetName val="NY_Net_Rev_vs_CY_Fcst"/>
      <sheetName val="NY+1_Gross_Rev_vs_NY_Fcst"/>
      <sheetName val="NY+1_Net_Rev_vs_NY_Fcst"/>
      <sheetName val="FY20_YoY_Comp"/>
      <sheetName val="PDFY19Q1-Q3_Act"/>
      <sheetName val="FY20_YoY_Comp_Old"/>
      <sheetName val="Strat_Plan_Comp"/>
      <sheetName val="Hernia_4_Blocker"/>
      <sheetName val="VS_4_Blocker"/>
      <sheetName val="Total_Revenue"/>
      <sheetName val="Customer_Ranking"/>
      <sheetName val="Customer_Details"/>
      <sheetName val="Customer_Performance"/>
      <sheetName val="CHARTS"/>
      <sheetName val="0_updates2"/>
      <sheetName val="1_SETUP2"/>
      <sheetName val="2_WACC2"/>
      <sheetName val="2a_Beta2"/>
      <sheetName val="3_Spreads2"/>
      <sheetName val="4a_Historical2"/>
      <sheetName val="4b_Restated2"/>
      <sheetName val="5_ROIC_Tree2"/>
      <sheetName val="6_TRS2"/>
      <sheetName val="7_SVC2"/>
      <sheetName val="8_Worm2"/>
      <sheetName val="9_SCM2"/>
      <sheetName val="10_Multiples2"/>
      <sheetName val="BU_historical2"/>
      <sheetName val="BU_forecast2"/>
      <sheetName val="BU_12"/>
      <sheetName val="BU_22"/>
      <sheetName val="BU_32"/>
      <sheetName val="BU_42"/>
      <sheetName val="BU_52"/>
      <sheetName val="BU_62"/>
      <sheetName val="Sum_of_Parts2"/>
      <sheetName val="11_Shift_int_economics2"/>
      <sheetName val="11_Valuation_-_base2"/>
      <sheetName val="Summary_page_12"/>
      <sheetName val="Summary_page_22"/>
      <sheetName val="Summary_page_32"/>
      <sheetName val="Growth_Spread_for_VA2"/>
      <sheetName val="Data_overview_12"/>
      <sheetName val="11_Valuation_-_restore_ec2"/>
      <sheetName val="12a_Growth-Spread2"/>
      <sheetName val="12b_BU_Growth-Spread2"/>
      <sheetName val="13_3-Bucket2"/>
      <sheetName val="14_Summary2"/>
      <sheetName val="Example_data2"/>
      <sheetName val="C__TERRITORY_MANAGERS2"/>
      <sheetName val="Drop_Down_Lists2"/>
      <sheetName val="Europe_Growth_Drivers2"/>
      <sheetName val="Sales_Snapshot_ET_WE2"/>
      <sheetName val="Allocation_Table2"/>
      <sheetName val="1)_PM_Input_Tab2"/>
      <sheetName val="Drop_Down_-_DO_NOT_ERASE2"/>
      <sheetName val="Class_of_Trade_(COT)2"/>
      <sheetName val="Proyección_P&amp;L_FY182"/>
      <sheetName val="PM_Input_Tab2"/>
      <sheetName val="Project_Expenses2"/>
      <sheetName val="Annual_FCST2"/>
      <sheetName val="PD_Output_Converter2"/>
      <sheetName val="PD_Output2"/>
      <sheetName val="Expense_Tool2"/>
      <sheetName val="Risk_Adjustment_Help2"/>
      <sheetName val="Update_Summary2"/>
      <sheetName val="Capital_Request_Form2"/>
      <sheetName val="CER_Approval_Entry_Form2"/>
      <sheetName val="Alternative_One-Pager2"/>
      <sheetName val="Revision_History2"/>
      <sheetName val="4)_Regional_Conversion2"/>
      <sheetName val="2)_Qtr_FCST_(PD)2"/>
      <sheetName val="Updated_Forecast_by_Qtr2"/>
      <sheetName val="3)_Annual_FCST2"/>
      <sheetName val="4)_PD_Output_Converter2"/>
      <sheetName val="6)_Heatmap2"/>
      <sheetName val="7)_Charter2"/>
      <sheetName val="8)_Update_Summary2"/>
      <sheetName val="Einstein_Procedure_Summary2"/>
      <sheetName val="US_List_of_Expense_Categories2"/>
      <sheetName val="Filter_Input2"/>
      <sheetName val="how_to_pull_FCST_from_PD_Syste1"/>
      <sheetName val="New_Products_by_Month1"/>
      <sheetName val="FY18_YoY_Comp1"/>
      <sheetName val="FY19_YoY_Comp1"/>
      <sheetName val="CY_Gross_Rev_vs_Prior_Year1"/>
      <sheetName val="CY_Net_Rev_vs_Prior_Year1"/>
      <sheetName val="CY_Gross_Rev_vs_Prior_Fcst1"/>
      <sheetName val="CY_Net_Rev_vs_Prior_Fcst1"/>
      <sheetName val="NY_Gross_Rev_vs_CY_Fcst1"/>
      <sheetName val="NY_Net_Rev_vs_CY_Fcst1"/>
      <sheetName val="NY+1_Gross_Rev_vs_NY_Fcst1"/>
      <sheetName val="NY+1_Net_Rev_vs_NY_Fcst1"/>
      <sheetName val="FY20_YoY_Comp1"/>
      <sheetName val="PDFY19Q1-Q3_Act1"/>
      <sheetName val="FY20_YoY_Comp_Old1"/>
      <sheetName val="Strat_Plan_Comp1"/>
      <sheetName val="Hernia_4_Blocker1"/>
      <sheetName val="VS_4_Blocker1"/>
      <sheetName val="Total_Revenue1"/>
      <sheetName val="Customer_Ranking1"/>
      <sheetName val="Customer_Details1"/>
      <sheetName val="Customer_Performance1"/>
      <sheetName val="US (NEW)"/>
      <sheetName val="0_updates3"/>
      <sheetName val="1_SETUP3"/>
      <sheetName val="2_WACC3"/>
      <sheetName val="2a_Beta3"/>
      <sheetName val="3_Spreads3"/>
      <sheetName val="4a_Historical3"/>
      <sheetName val="4b_Restated3"/>
      <sheetName val="5_ROIC_Tree3"/>
      <sheetName val="6_TRS3"/>
      <sheetName val="7_SVC3"/>
      <sheetName val="8_Worm3"/>
      <sheetName val="9_SCM3"/>
      <sheetName val="10_Multiples3"/>
      <sheetName val="BU_historical3"/>
      <sheetName val="BU_forecast3"/>
      <sheetName val="BU_13"/>
      <sheetName val="BU_23"/>
      <sheetName val="BU_33"/>
      <sheetName val="BU_43"/>
      <sheetName val="BU_53"/>
      <sheetName val="BU_63"/>
      <sheetName val="Sum_of_Parts3"/>
      <sheetName val="11_Shift_int_economics3"/>
      <sheetName val="11_Valuation_-_base3"/>
      <sheetName val="Summary_page_13"/>
      <sheetName val="Summary_page_23"/>
      <sheetName val="Summary_page_33"/>
      <sheetName val="Growth_Spread_for_VA3"/>
      <sheetName val="Data_overview_13"/>
      <sheetName val="11_Valuation_-_restore_ec3"/>
      <sheetName val="12a_Growth-Spread3"/>
      <sheetName val="12b_BU_Growth-Spread3"/>
      <sheetName val="13_3-Bucket3"/>
      <sheetName val="14_Summary3"/>
      <sheetName val="Example_data3"/>
      <sheetName val="C__TERRITORY_MANAGERS3"/>
      <sheetName val="Drop_Down_Lists3"/>
      <sheetName val="Europe_Growth_Drivers3"/>
      <sheetName val="Sales_Snapshot_ET_WE3"/>
      <sheetName val="Allocation_Table3"/>
      <sheetName val="1)_PM_Input_Tab3"/>
      <sheetName val="Drop_Down_-_DO_NOT_ERASE3"/>
      <sheetName val="Class_of_Trade_(COT)3"/>
      <sheetName val="Proyección_P&amp;L_FY183"/>
      <sheetName val="PM_Input_Tab3"/>
      <sheetName val="Project_Expenses3"/>
      <sheetName val="Annual_FCST3"/>
      <sheetName val="PD_Output_Converter3"/>
      <sheetName val="PD_Output3"/>
      <sheetName val="Expense_Tool3"/>
      <sheetName val="Risk_Adjustment_Help3"/>
      <sheetName val="Update_Summary3"/>
      <sheetName val="Capital_Request_Form3"/>
      <sheetName val="CER_Approval_Entry_Form3"/>
      <sheetName val="Alternative_One-Pager3"/>
      <sheetName val="Revision_History3"/>
      <sheetName val="4)_Regional_Conversion3"/>
      <sheetName val="2)_Qtr_FCST_(PD)3"/>
      <sheetName val="Updated_Forecast_by_Qtr3"/>
      <sheetName val="3)_Annual_FCST3"/>
      <sheetName val="4)_PD_Output_Converter3"/>
      <sheetName val="6)_Heatmap3"/>
      <sheetName val="7)_Charter3"/>
      <sheetName val="8)_Update_Summary3"/>
      <sheetName val="Einstein_Procedure_Summary3"/>
      <sheetName val="US_List_of_Expense_Categories3"/>
      <sheetName val="Filter_Input3"/>
      <sheetName val="how_to_pull_FCST_from_PD_Syste2"/>
      <sheetName val="New_Products_by_Month2"/>
      <sheetName val="FY18_YoY_Comp2"/>
      <sheetName val="FY19_YoY_Comp2"/>
      <sheetName val="CY_Gross_Rev_vs_Prior_Year2"/>
      <sheetName val="CY_Net_Rev_vs_Prior_Year2"/>
      <sheetName val="CY_Gross_Rev_vs_Prior_Fcst2"/>
      <sheetName val="CY_Net_Rev_vs_Prior_Fcst2"/>
      <sheetName val="NY_Gross_Rev_vs_CY_Fcst2"/>
      <sheetName val="NY_Net_Rev_vs_CY_Fcst2"/>
      <sheetName val="NY+1_Gross_Rev_vs_NY_Fcst2"/>
      <sheetName val="NY+1_Net_Rev_vs_NY_Fcst2"/>
      <sheetName val="FY20_YoY_Comp2"/>
      <sheetName val="PDFY19Q1-Q3_Act2"/>
      <sheetName val="FY20_YoY_Comp_Old2"/>
      <sheetName val="Strat_Plan_Comp2"/>
      <sheetName val="Hernia_4_Blocker2"/>
      <sheetName val="VS_4_Blocker2"/>
      <sheetName val="Total_Revenue2"/>
      <sheetName val="Customer_Ranking2"/>
      <sheetName val="Customer_Details2"/>
      <sheetName val="Customer_Performanc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 updates"/>
      <sheetName val="1 SETUP"/>
      <sheetName val="2 Cost of Equity"/>
      <sheetName val="3 Yield Curve"/>
      <sheetName val="4a Historical"/>
      <sheetName val="4b Restated"/>
      <sheetName val="5 ROE Tree"/>
      <sheetName val="6 TRS"/>
      <sheetName val="7 SVC"/>
      <sheetName val="8 Worm"/>
      <sheetName val="9 SCM"/>
      <sheetName val="10 Multiples"/>
      <sheetName val="BU1"/>
      <sheetName val="BU2"/>
      <sheetName val="BU3"/>
      <sheetName val="BU4"/>
      <sheetName val="BU5"/>
      <sheetName val="BU6"/>
      <sheetName val="BU7"/>
      <sheetName val="BU4 (old)"/>
      <sheetName val="BU5 (old)"/>
      <sheetName val="BU6 (old)"/>
      <sheetName val="BU7 (old)"/>
      <sheetName val="Corp (old)"/>
      <sheetName val="Elim (old)"/>
      <sheetName val="Corp"/>
      <sheetName val="Elim"/>
      <sheetName val="Sum of Parts"/>
      <sheetName val="Proj"/>
      <sheetName val="11 Valuation"/>
      <sheetName val="12 Growth-Spread"/>
      <sheetName val="13 3-Bucket"/>
      <sheetName val="14 Summary"/>
      <sheetName val="Sales 2009 US$"/>
      <sheetName val="Func"/>
      <sheetName val="Map"/>
      <sheetName val="Sheet2"/>
      <sheetName val="Control"/>
      <sheetName val="Lists"/>
      <sheetName val="CMD FINCO ZFS 02_25_05"/>
      <sheetName val="Function Map"/>
      <sheetName val="FieldKeyMapping"/>
      <sheetName val="Settings"/>
      <sheetName val="Worksheet"/>
      <sheetName val="Mapping"/>
      <sheetName val="Enrich Input Tab"/>
      <sheetName val="Sheet9"/>
      <sheetName val="ITEM MASTER"/>
      <sheetName val="OpenOrderData"/>
      <sheetName val="1) PM Input Tab"/>
      <sheetName val="0_updates"/>
      <sheetName val="1_SETUP"/>
      <sheetName val="2_Cost_of_Equity"/>
      <sheetName val="3_Yield_Curve"/>
      <sheetName val="4a_Historical"/>
      <sheetName val="4b_Restated"/>
      <sheetName val="5_ROE_Tree"/>
      <sheetName val="6_TRS"/>
      <sheetName val="7_SVC"/>
      <sheetName val="8_Worm"/>
      <sheetName val="9_SCM"/>
      <sheetName val="10_Multiples"/>
      <sheetName val="BU4_(old)"/>
      <sheetName val="BU5_(old)"/>
      <sheetName val="BU6_(old)"/>
      <sheetName val="BU7_(old)"/>
      <sheetName val="Corp_(old)"/>
      <sheetName val="Elim_(old)"/>
      <sheetName val="Sum_of_Parts"/>
      <sheetName val="11_Valuation"/>
      <sheetName val="12_Growth-Spread"/>
      <sheetName val="13_3-Bucket"/>
      <sheetName val="14_Summary"/>
      <sheetName val="Sales_2009_US$"/>
      <sheetName val="CMD_FINCO_ZFS_02_25_05"/>
      <sheetName val="Function_Map"/>
      <sheetName val="Enrich_Input_Tab"/>
      <sheetName val="ITEM_MASTER"/>
      <sheetName val="1)_PM_Input_Tab"/>
      <sheetName val="Feb FC"/>
      <sheetName val="0_updates1"/>
      <sheetName val="1_SETUP1"/>
      <sheetName val="2_Cost_of_Equity1"/>
      <sheetName val="3_Yield_Curve1"/>
      <sheetName val="4a_Historical1"/>
      <sheetName val="4b_Restated1"/>
      <sheetName val="5_ROE_Tree1"/>
      <sheetName val="6_TRS1"/>
      <sheetName val="7_SVC1"/>
      <sheetName val="8_Worm1"/>
      <sheetName val="9_SCM1"/>
      <sheetName val="10_Multiples1"/>
      <sheetName val="BU4_(old)1"/>
      <sheetName val="BU5_(old)1"/>
      <sheetName val="BU6_(old)1"/>
      <sheetName val="BU7_(old)1"/>
      <sheetName val="Corp_(old)1"/>
      <sheetName val="Elim_(old)1"/>
      <sheetName val="Sum_of_Parts1"/>
      <sheetName val="11_Valuation1"/>
      <sheetName val="12_Growth-Spread1"/>
      <sheetName val="13_3-Bucket1"/>
      <sheetName val="14_Summary1"/>
      <sheetName val="Sales_2009_US$1"/>
      <sheetName val="CMD_FINCO_ZFS_02_25_051"/>
      <sheetName val="Function_Map1"/>
      <sheetName val="Enrich_Input_Tab1"/>
      <sheetName val="ITEM_MASTER1"/>
      <sheetName val="1)_PM_Input_Tab1"/>
      <sheetName val="YTD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Admin Allocations v1 jul 9 2003"/>
      <sheetName val="Volume Analysis"/>
      <sheetName val="Cover --&gt;"/>
      <sheetName val="Admin_Allocations_v1_jul_9_2003"/>
      <sheetName val="Volume_Analysis"/>
      <sheetName val="Cover_--&gt;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0001 140011"/>
      <sheetName val="140014"/>
      <sheetName val="140020"/>
      <sheetName val="140021"/>
      <sheetName val="140043 140050"/>
      <sheetName val="140046"/>
      <sheetName val="140048"/>
      <sheetName val="140063"/>
      <sheetName val="141001"/>
      <sheetName val="141086"/>
      <sheetName val="141103"/>
      <sheetName val="141071 141100"/>
      <sheetName val="141511"/>
      <sheetName val="140046 BM"/>
      <sheetName val="Sheet3"/>
      <sheetName val="140001_140011"/>
      <sheetName val="140043_140050"/>
      <sheetName val="141071_141100"/>
      <sheetName val="140046_B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Sales"/>
      <sheetName val="140046 BM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NDING"/>
      <sheetName val="SUMMARY BY CST DRIVER"/>
      <sheetName val="Bridge Schedules"/>
      <sheetName val="HEADREC"/>
      <sheetName val="HEADREC2-2"/>
      <sheetName val="HeadRec 3-3"/>
      <sheetName val="Prof. Services"/>
      <sheetName val="Travel"/>
      <sheetName val="Training"/>
      <sheetName val="BRIDGE"/>
      <sheetName val="OTHER ADMIN"/>
      <sheetName val="OPP_RISKS"/>
      <sheetName val="HC BP2000 QA-QC -UPDATED"/>
      <sheetName val="Lookups"/>
      <sheetName val="Mapping"/>
      <sheetName val="Headcount Drivers"/>
      <sheetName val="Scenarios"/>
      <sheetName val="Drop Down"/>
      <sheetName val="SUMMARY_BY_CST_DRIVER"/>
      <sheetName val="Bridge_Schedules"/>
      <sheetName val="HeadRec_3-3"/>
      <sheetName val="Prof__Services"/>
      <sheetName val="OTHER_ADMIN"/>
      <sheetName val="HC_BP2000_QA-QC_-UPDATED"/>
      <sheetName val="Headcount_Drivers"/>
      <sheetName val="Drop_Down"/>
      <sheetName val="Restricted"/>
      <sheetName val="Data"/>
      <sheetName val="TM1 Control"/>
      <sheetName val="INSTANTIS PROJECTS"/>
      <sheetName val="HILFSTAB"/>
      <sheetName val="Sheet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Facil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"/>
      <sheetName val="US IMAGING"/>
      <sheetName val="LRP DETAIL"/>
      <sheetName val="PROJ TOTALS"/>
      <sheetName val="DEPT OBJECT"/>
      <sheetName val="HEADCOUNT"/>
      <sheetName val="OVERHEADS"/>
      <sheetName val="Essbase Template"/>
      <sheetName val="Contingency Planning"/>
      <sheetName val="Sheet1"/>
      <sheetName val="6 TRS"/>
      <sheetName val="Sales by Month"/>
      <sheetName val="total"/>
      <sheetName val="Drop down"/>
      <sheetName val="FY2001 LRP New Org Rev5.xls"/>
      <sheetName val="FY2001 LRP New Org Rev5"/>
      <sheetName val="HFM Reporting Entity Source"/>
      <sheetName val="Lookup Lists"/>
      <sheetName val="Currency"/>
      <sheetName val="1175"/>
      <sheetName val="1176"/>
      <sheetName val="1177"/>
      <sheetName val="1179"/>
      <sheetName val="1206"/>
      <sheetName val="1181"/>
      <sheetName val="1195"/>
      <sheetName val="1227"/>
      <sheetName val="1271"/>
      <sheetName val="004"/>
      <sheetName val="Function_Type"/>
      <sheetName val="Control"/>
      <sheetName val="Categories"/>
      <sheetName val="sales vol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"/>
      <sheetName val="US IMAGING"/>
      <sheetName val="LRP DETAIL"/>
      <sheetName val="PROJ TOTALS"/>
      <sheetName val="DEPT OBJECT"/>
      <sheetName val="HEADCOUNT"/>
      <sheetName val="OVERHEADS"/>
      <sheetName val="Essbase Template"/>
      <sheetName val="Contingency Planning"/>
      <sheetName val="Sheet1"/>
      <sheetName val="6 TRS"/>
      <sheetName val="Sales by Month"/>
      <sheetName val="total"/>
      <sheetName val="Drop down"/>
      <sheetName val="FY2001 LRP New Org Rev5.xls"/>
      <sheetName val="FY2001 LRP New Org Rev5"/>
      <sheetName val="HFM Reporting Entity Source"/>
      <sheetName val="Lookup Lists"/>
      <sheetName val="Currency"/>
      <sheetName val="1175"/>
      <sheetName val="1176"/>
      <sheetName val="1177"/>
      <sheetName val="1179"/>
      <sheetName val="1206"/>
      <sheetName val="1181"/>
      <sheetName val="1195"/>
      <sheetName val="1227"/>
      <sheetName val="1271"/>
      <sheetName val="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 updates"/>
      <sheetName val="1 SETUP"/>
      <sheetName val="2 WACC"/>
      <sheetName val="3 Spreads"/>
      <sheetName val="4a Historical"/>
      <sheetName val="Finance Segment"/>
      <sheetName val="Pension Adj"/>
      <sheetName val="4b Restated"/>
      <sheetName val="5 ROIC Tree"/>
      <sheetName val="6 TRS"/>
      <sheetName val="7 SVC"/>
      <sheetName val="8 Worm"/>
      <sheetName val="9 SCM"/>
      <sheetName val="10 Multiples"/>
      <sheetName val="BU historical"/>
      <sheetName val="Segment Info"/>
      <sheetName val="Segment Forecast"/>
      <sheetName val="BU forecast"/>
      <sheetName val="BU 1"/>
      <sheetName val="BU 2"/>
      <sheetName val="BU 3"/>
      <sheetName val="BU 4"/>
      <sheetName val="BU 5"/>
      <sheetName val="BU 6"/>
      <sheetName val="Corp"/>
      <sheetName val="Sum of Parts"/>
      <sheetName val="MultiVal"/>
      <sheetName val="Equity Val"/>
      <sheetName val="11 Valuation"/>
      <sheetName val="EE"/>
      <sheetName val="12a Growth-Spread"/>
      <sheetName val="12b BU Growth-Spread"/>
      <sheetName val="13 3-Bucket"/>
      <sheetName val="14 Summary"/>
      <sheetName val="1175"/>
      <sheetName val="1176"/>
      <sheetName val="1177"/>
      <sheetName val="1179"/>
      <sheetName val="1206"/>
      <sheetName val="1181"/>
      <sheetName val="1195"/>
      <sheetName val="1227"/>
      <sheetName val="1271"/>
      <sheetName val="Func"/>
      <sheetName val="GLOBAL"/>
      <sheetName val="Control"/>
      <sheetName val="0_updates"/>
      <sheetName val="1_SETUP"/>
      <sheetName val="2_WACC"/>
      <sheetName val="3_Spreads"/>
      <sheetName val="4a_Historical"/>
      <sheetName val="Finance_Segment"/>
      <sheetName val="Pension_Adj"/>
      <sheetName val="4b_Restated"/>
      <sheetName val="5_ROIC_Tree"/>
      <sheetName val="6_TRS"/>
      <sheetName val="7_SVC"/>
      <sheetName val="8_Worm"/>
      <sheetName val="9_SCM"/>
      <sheetName val="10_Multiples"/>
      <sheetName val="BU_historical"/>
      <sheetName val="Segment_Info"/>
      <sheetName val="Segment_Forecast"/>
      <sheetName val="BU_forecast"/>
      <sheetName val="BU_1"/>
      <sheetName val="BU_2"/>
      <sheetName val="BU_3"/>
      <sheetName val="BU_4"/>
      <sheetName val="BU_5"/>
      <sheetName val="BU_6"/>
      <sheetName val="Sum_of_Parts"/>
      <sheetName val="Equity_Val"/>
      <sheetName val="11_Valuation"/>
      <sheetName val="12a_Growth-Spread"/>
      <sheetName val="12b_BU_Growth-Spread"/>
      <sheetName val="13_3-Bucket"/>
      <sheetName val="14_Summary"/>
      <sheetName val="Category Spend Summary"/>
      <sheetName val="0_updates1"/>
      <sheetName val="1_SETUP1"/>
      <sheetName val="2_WACC1"/>
      <sheetName val="3_Spreads1"/>
      <sheetName val="4a_Historical1"/>
      <sheetName val="Finance_Segment1"/>
      <sheetName val="Pension_Adj1"/>
      <sheetName val="4b_Restated1"/>
      <sheetName val="5_ROIC_Tree1"/>
      <sheetName val="6_TRS1"/>
      <sheetName val="7_SVC1"/>
      <sheetName val="8_Worm1"/>
      <sheetName val="9_SCM1"/>
      <sheetName val="10_Multiples1"/>
      <sheetName val="BU_historical1"/>
      <sheetName val="Segment_Info1"/>
      <sheetName val="Segment_Forecast1"/>
      <sheetName val="BU_forecast1"/>
      <sheetName val="BU_11"/>
      <sheetName val="BU_21"/>
      <sheetName val="BU_31"/>
      <sheetName val="BU_41"/>
      <sheetName val="BU_51"/>
      <sheetName val="BU_61"/>
      <sheetName val="Sum_of_Parts1"/>
      <sheetName val="Equity_Val1"/>
      <sheetName val="11_Valuation1"/>
      <sheetName val="12a_Growth-Spread1"/>
      <sheetName val="12b_BU_Growth-Spread1"/>
      <sheetName val="13_3-Bucket1"/>
      <sheetName val="14_Summary1"/>
      <sheetName val="FINANCIALS"/>
      <sheetName val="Start"/>
      <sheetName val="Category_Spend_Summary"/>
      <sheetName val="0_updates2"/>
      <sheetName val="1_SETUP2"/>
      <sheetName val="2_WACC2"/>
      <sheetName val="3_Spreads2"/>
      <sheetName val="4a_Historical2"/>
      <sheetName val="Finance_Segment2"/>
      <sheetName val="Pension_Adj2"/>
      <sheetName val="4b_Restated2"/>
      <sheetName val="5_ROIC_Tree2"/>
      <sheetName val="6_TRS2"/>
      <sheetName val="7_SVC2"/>
      <sheetName val="8_Worm2"/>
      <sheetName val="9_SCM2"/>
      <sheetName val="10_Multiples2"/>
      <sheetName val="BU_historical2"/>
      <sheetName val="Segment_Info2"/>
      <sheetName val="Segment_Forecast2"/>
      <sheetName val="BU_forecast2"/>
      <sheetName val="BU_12"/>
      <sheetName val="BU_22"/>
      <sheetName val="BU_32"/>
      <sheetName val="BU_42"/>
      <sheetName val="BU_52"/>
      <sheetName val="BU_62"/>
      <sheetName val="Sum_of_Parts2"/>
      <sheetName val="Equity_Val2"/>
      <sheetName val="11_Valuation2"/>
      <sheetName val="12a_Growth-Spread2"/>
      <sheetName val="12b_BU_Growth-Spread2"/>
      <sheetName val="13_3-Bucket2"/>
      <sheetName val="14_Summary2"/>
      <sheetName val="Category_Spend_Summary1"/>
      <sheetName val="0_updates3"/>
      <sheetName val="1_SETUP3"/>
      <sheetName val="2_WACC3"/>
      <sheetName val="3_Spreads3"/>
      <sheetName val="4a_Historical3"/>
      <sheetName val="Finance_Segment3"/>
      <sheetName val="Pension_Adj3"/>
      <sheetName val="4b_Restated3"/>
      <sheetName val="5_ROIC_Tree3"/>
      <sheetName val="6_TRS3"/>
      <sheetName val="7_SVC3"/>
      <sheetName val="8_Worm3"/>
      <sheetName val="9_SCM3"/>
      <sheetName val="10_Multiples3"/>
      <sheetName val="BU_historical3"/>
      <sheetName val="Segment_Info3"/>
      <sheetName val="Segment_Forecast3"/>
      <sheetName val="BU_forecast3"/>
      <sheetName val="BU_13"/>
      <sheetName val="BU_23"/>
      <sheetName val="BU_33"/>
      <sheetName val="BU_43"/>
      <sheetName val="BU_53"/>
      <sheetName val="BU_63"/>
      <sheetName val="Sum_of_Parts3"/>
      <sheetName val="Equity_Val3"/>
      <sheetName val="11_Valuation3"/>
      <sheetName val="12a_Growth-Spread3"/>
      <sheetName val="12b_BU_Growth-Spread3"/>
      <sheetName val="13_3-Bucket3"/>
      <sheetName val="14_Summary3"/>
      <sheetName val="Category_Spend_Summary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"/>
      <sheetName val="US IMAGING"/>
      <sheetName val="LRP DETAIL"/>
      <sheetName val="PROJ TOTALS"/>
      <sheetName val="DEPT OBJECT"/>
      <sheetName val="HEADCOUNT"/>
      <sheetName val="OVERHEADS"/>
      <sheetName val="Essbase Template"/>
      <sheetName val="Contingency Planning"/>
      <sheetName val="Sheet1"/>
      <sheetName val="6 TRS"/>
      <sheetName val="Sales by Month"/>
      <sheetName val="total"/>
      <sheetName val="Drop down"/>
      <sheetName val="FY2001 LRP New Org Rev5.xls"/>
      <sheetName val="FY2001 LRP New Org Rev5"/>
      <sheetName val="HFM Reporting Entity Source"/>
      <sheetName val="Lookup Lists"/>
      <sheetName val="Currency"/>
      <sheetName val="1175"/>
      <sheetName val="1176"/>
      <sheetName val="1177"/>
      <sheetName val="1179"/>
      <sheetName val="1206"/>
      <sheetName val="1181"/>
      <sheetName val="1195"/>
      <sheetName val="1227"/>
      <sheetName val="1271"/>
      <sheetName val="004"/>
      <sheetName val="DoNotEdit"/>
      <sheetName val="Function_Type"/>
      <sheetName val="Control"/>
      <sheetName val="Categories"/>
      <sheetName val="Medical"/>
      <sheetName val="A_TS AMT in (6HK)"/>
      <sheetName val=""/>
      <sheetName val="list"/>
      <sheetName val="Filter Input"/>
      <sheetName val="Lists"/>
      <sheetName val="Upload"/>
      <sheetName val="summary"/>
      <sheetName val="OpEx Savings"/>
      <sheetName val="PPV"/>
      <sheetName val="SPEND Reference"/>
      <sheetName val="Lookups"/>
      <sheetName val=" Reference"/>
      <sheetName val="Goodwill_Realloc"/>
      <sheetName val="BSMONTH"/>
      <sheetName val="US_IMAGING"/>
      <sheetName val="LRP_DETAIL"/>
      <sheetName val="PROJ_TOTALS"/>
      <sheetName val="DEPT_OBJECT"/>
      <sheetName val="Essbase_Template"/>
      <sheetName val="Contingency_Planning"/>
      <sheetName val="6_TRS"/>
      <sheetName val="Sales_by_Month"/>
      <sheetName val="Drop_down"/>
      <sheetName val="FY2001_LRP_New_Org_Rev5_xls"/>
      <sheetName val="FY2001_LRP_New_Org_Rev5"/>
      <sheetName val="HFM_Reporting_Entity_Source"/>
      <sheetName val="Lookup_Lists"/>
      <sheetName val="A_TS_AMT_in_(6HK)"/>
      <sheetName val="Filter_Input"/>
      <sheetName val="OpEx_Sav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RVAR"/>
      <sheetName val="LYMAN"/>
      <sheetName val="EB2"/>
      <sheetName val="ALLVAR"/>
      <sheetName val="ALLOPC (2)"/>
      <sheetName val="BLEACHLB"/>
      <sheetName val="COPRECAP"/>
      <sheetName val="DLHRS"/>
      <sheetName val="DLHRSYTD"/>
      <sheetName val="FOH"/>
      <sheetName val="FOHYTD"/>
      <sheetName val="VACATION"/>
      <sheetName val="INVRECON"/>
      <sheetName val="INV"/>
      <sheetName val="MATL"/>
      <sheetName val="RESULTS3"/>
      <sheetName val="STARTUP"/>
      <sheetName val="FICA"/>
      <sheetName val="TEMPPAY2"/>
      <sheetName val="TRAINING "/>
      <sheetName val="Expense BUDGET YTD"/>
      <sheetName val="CURRENT MONTH"/>
      <sheetName val="Absorption"/>
      <sheetName val="Expense Recap Mth"/>
      <sheetName val="INV TURNS"/>
      <sheetName val="Mat Var "/>
      <sheetName val="Mat Var Acc"/>
      <sheetName val="Dec 4 day acc"/>
      <sheetName val="JE FORM"/>
      <sheetName val="JE LOG"/>
      <sheetName val="175 Alloc Exp"/>
      <sheetName val="103 cash rec "/>
      <sheetName val="Transfers Detail"/>
      <sheetName val="133 Intercompany"/>
      <sheetName val="148 Seconds"/>
      <sheetName val="186 RM Usage Var"/>
      <sheetName val="107 Record Prod X"/>
      <sheetName val="302 DOWNCOUNT"/>
      <sheetName val="302 MISC"/>
      <sheetName val="310 Comp Cost"/>
      <sheetName val="109 INV ADJ RETURNS X"/>
      <sheetName val="114 Scrap Sales "/>
      <sheetName val="146 Inv Recon"/>
      <sheetName val="151 Clear OH Accts"/>
      <sheetName val="165 Chg RM per Acc Dist X"/>
      <sheetName val="167 Stores Issues X"/>
      <sheetName val="516 MISC ADJ"/>
      <sheetName val="517 misc entries(JV20)"/>
      <sheetName val="501 AP Acc (R)"/>
      <sheetName val="514 Payroll Acc (R) x"/>
      <sheetName val="515  Vac,Comp,Prism Acc (R)"/>
      <sheetName val="104 Payroll Dist  x"/>
      <sheetName val="139  Vac,Comp,Prism  x"/>
      <sheetName val="PAYROLL WEEKLY DETAIL"/>
      <sheetName val="Account Information"/>
      <sheetName val="Lists"/>
      <sheetName val="variables"/>
      <sheetName val="allorders"/>
      <sheetName val="Net Sales"/>
      <sheetName val="Dept"/>
      <sheetName val="GA"/>
      <sheetName val="GL"/>
      <sheetName val="GC"/>
      <sheetName val="Upload"/>
      <sheetName val="summary"/>
      <sheetName val="OpEx Savings"/>
      <sheetName val="PPV"/>
      <sheetName val="BOM"/>
      <sheetName val="CONC-CONT-FISC"/>
      <sheetName val="Macro"/>
      <sheetName val="Account descriptions"/>
      <sheetName val="Exercise"/>
      <sheetName val="Input"/>
      <sheetName val="4-2005"/>
      <sheetName val="Proceeds"/>
      <sheetName val="Vesting"/>
      <sheetName val="VestedUSD"/>
      <sheetName val="Terms Table"/>
      <sheetName val="seleccion"/>
      <sheetName val="Recovered_Sheet1"/>
      <sheetName val="Settings"/>
      <sheetName val="Revision History"/>
      <sheetName val="Check"/>
      <sheetName val="Print"/>
      <sheetName val="Changes from 19 Packet"/>
      <sheetName val="Instructions"/>
      <sheetName val="Commodity SOP"/>
      <sheetName val="Cover"/>
      <sheetName val="Table of Contents"/>
      <sheetName val="Assumptions"/>
      <sheetName val="Waterfall"/>
      <sheetName val="Cost Change"/>
      <sheetName val="Volume"/>
      <sheetName val="Cost Reductions"/>
      <sheetName val="Capital"/>
      <sheetName val="Commodities"/>
      <sheetName val="Headcount"/>
      <sheetName val="Overhead"/>
      <sheetName val="Direct Variances"/>
      <sheetName val="OPC"/>
      <sheetName val="MPE FY20 AOP LC"/>
      <sheetName val="MPE FY20 AOP USD"/>
      <sheetName val="P&amp;L FY20 AOP USD"/>
      <sheetName val="MPE FY19 Fcst03 USD"/>
      <sheetName val="Supplemetal---&gt;&gt;"/>
      <sheetName val="Loss Allowance"/>
      <sheetName val="TOH"/>
      <sheetName val="Allocations"/>
      <sheetName val="COP"/>
      <sheetName val="Capacity_"/>
      <sheetName val="ALLOPC_(2)"/>
      <sheetName val="TRAINING_"/>
      <sheetName val="Expense_BUDGET_YTD"/>
      <sheetName val="CURRENT_MONTH"/>
      <sheetName val="Expense_Recap_Mth"/>
      <sheetName val="INV_TURNS"/>
      <sheetName val="Mat_Var_"/>
      <sheetName val="Mat_Var_Acc"/>
      <sheetName val="Dec_4_day_acc"/>
      <sheetName val="JE_FORM"/>
      <sheetName val="JE_LOG"/>
      <sheetName val="175_Alloc_Exp"/>
      <sheetName val="103_cash_rec_"/>
      <sheetName val="Transfers_Detail"/>
      <sheetName val="133_Intercompany"/>
      <sheetName val="148_Seconds"/>
      <sheetName val="186_RM_Usage_Var"/>
      <sheetName val="107_Record_Prod_X"/>
      <sheetName val="302_DOWNCOUNT"/>
      <sheetName val="302_MISC"/>
      <sheetName val="310_Comp_Cost"/>
      <sheetName val="109_INV_ADJ_RETURNS_X"/>
      <sheetName val="114_Scrap_Sales_"/>
      <sheetName val="146_Inv_Recon"/>
      <sheetName val="151_Clear_OH_Accts"/>
      <sheetName val="165_Chg_RM_per_Acc_Dist_X"/>
      <sheetName val="167_Stores_Issues_X"/>
      <sheetName val="516_MISC_ADJ"/>
      <sheetName val="517_misc_entries(JV20)"/>
      <sheetName val="501_AP_Acc_(R)"/>
      <sheetName val="514_Payroll_Acc_(R)_x"/>
      <sheetName val="515__Vac,Comp,Prism_Acc_(R)"/>
      <sheetName val="104_Payroll_Dist__x"/>
      <sheetName val="139__Vac,Comp,Prism__x"/>
      <sheetName val="PAYROLL_WEEKLY_DETAIL"/>
      <sheetName val="Account_Information"/>
      <sheetName val="Net_Sales"/>
      <sheetName val="OpEx_Savings"/>
      <sheetName val="General Instructions"/>
      <sheetName val="US"/>
      <sheetName val="Europe Direct"/>
      <sheetName val="Europe Umb"/>
      <sheetName val="Japan"/>
      <sheetName val="Canada"/>
      <sheetName val="Latin America"/>
      <sheetName val="Asia-Pac"/>
      <sheetName val="Share Growth"/>
      <sheetName val="Expansion Growth"/>
      <sheetName val="New Growth"/>
      <sheetName val="2000 E&amp;P"/>
      <sheetName val="Profit and loss"/>
      <sheetName val="CLOSE"/>
      <sheetName val="Input Data"/>
      <sheetName val="help"/>
      <sheetName val="Entity List"/>
      <sheetName val="C2 List"/>
      <sheetName val="263A"/>
      <sheetName val="Interco Foreign Sales Dropdown"/>
      <sheetName val="Sheet1"/>
      <sheetName val="Staging Financials"/>
      <sheetName val="Detail-Benefi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s to Update"/>
      <sheetName val="PE Review Form"/>
      <sheetName val="Sheet2"/>
      <sheetName val="Gap"/>
      <sheetName val="Sheet5"/>
      <sheetName val="Data Stack"/>
      <sheetName val="Sheet6"/>
      <sheetName val="Sheet7"/>
      <sheetName val="Productivity P&amp;L Impact"/>
      <sheetName val="P&amp;L Impact"/>
      <sheetName val="Pivot Table"/>
      <sheetName val="MUV P&amp;L Impact"/>
      <sheetName val="Total PE Savings P&amp;L Impact"/>
      <sheetName val="Total PE Savings"/>
      <sheetName val="Chart1"/>
      <sheetName val="YTD Act Savings Chart"/>
      <sheetName val="2009 Project List"/>
      <sheetName val="Sources"/>
      <sheetName val="template2"/>
      <sheetName val="Previous SIOP"/>
      <sheetName val="US_SUPPLY_PLAN (2)"/>
      <sheetName val="FASCART"/>
      <sheetName val="Stent Retention"/>
      <sheetName val="Multiple Inflations  (Pin Hole)"/>
      <sheetName val="Stent Post Molded"/>
      <sheetName val="False Leak Test Reduction"/>
      <sheetName val="Pyrogen Sample Reduction"/>
      <sheetName val="UNO"/>
      <sheetName val="Envirotainers UBD Japan"/>
      <sheetName val="Financial Analysis-2009 Savings"/>
      <sheetName val="Analytical Lab Fin Analysis"/>
      <sheetName val="Envirotainers BX"/>
      <sheetName val="Crossing Profile Projection "/>
      <sheetName val="Envirotainers Select Plus"/>
      <sheetName val="Select Plus Envirotainer Reduct"/>
      <sheetName val="Chart BP vs Projection"/>
      <sheetName val="BX Residual Solvent Sample "/>
      <sheetName val="RS Select Option 1-3"/>
      <sheetName val="Japan In Process Res Solv"/>
      <sheetName val="UBD  Res Solvent Sampl Elim"/>
      <sheetName val="Projection"/>
      <sheetName val="By Account with project"/>
      <sheetName val="2008 Projection Apr YTD Act"/>
      <sheetName val="BP2008"/>
      <sheetName val="b7d. PE Proj"/>
      <sheetName val="Carlos LOPEZVIGO MASKE"/>
      <sheetName val="MES Core"/>
      <sheetName val="Sheet3"/>
      <sheetName val="Yield Loss for PE"/>
      <sheetName val="Highlights"/>
      <sheetName val="ABS &amp; Spending"/>
      <sheetName val="Sheet4"/>
      <sheetName val="MUV by Product"/>
      <sheetName val="MUV by Qtrs"/>
      <sheetName val="UBD Japan Yield Impr"/>
      <sheetName val="Select Projects"/>
      <sheetName val="UBD Projects"/>
      <sheetName val="By Areas"/>
      <sheetName val="By Account"/>
      <sheetName val="HG to BC"/>
      <sheetName val="12 Month"/>
      <sheetName val="Polaris  Savings "/>
      <sheetName val="Spending for COGNOS"/>
      <sheetName val="Sheet1"/>
      <sheetName val="Polaris"/>
      <sheetName val="b7d. PE Proj (2)"/>
      <sheetName val="Santos Ramirez"/>
      <sheetName val="Coating Functional Samp Japan"/>
      <sheetName val="Coating Functional Samp SelectP"/>
      <sheetName val="Coating Functional Sample BX"/>
      <sheetName val="Ileg PrintHermit Vargas Project"/>
      <sheetName val="TemplateFailure Rate Reduc "/>
      <sheetName val="Template"/>
      <sheetName val="Bumping Leak Failure"/>
      <sheetName val="Bumping Leak Failure Sav"/>
      <sheetName val="2TC Weight Reject Reduction"/>
      <sheetName val="Zero projects"/>
      <sheetName val="Flexible Spray Carts "/>
      <sheetName val="Surrogate - Financial Back-Up"/>
      <sheetName val="Surrogate - 2007 2008"/>
      <sheetName val="Retains with Surrogate"/>
      <sheetName val="Auto Nozzle Flush"/>
      <sheetName val="Estimated Crimp Head Savings"/>
      <sheetName val="Summary"/>
      <sheetName val="External Calibration Reduction"/>
      <sheetName val="InfinityQS User Interface"/>
      <sheetName val="MES 3.0 Yield Improvement"/>
      <sheetName val="BX Flexible Spay Cart"/>
      <sheetName val="Select Plus With Black Stent"/>
      <sheetName val="IPDC Variability Reduction"/>
      <sheetName val="Align Inspections as per Valida"/>
      <sheetName val="Crossing Profile Upstream Param"/>
      <sheetName val="Uson Specification Limits"/>
      <sheetName val="Re Evaluate Stent Handling Crit"/>
      <sheetName val="BX TeflonStent Holder Redesign"/>
      <sheetName val="Optimize 2nd BV Compensation Fa"/>
      <sheetName val="Drying Conditions Mistake Proof"/>
      <sheetName val="BX Nitrogen Flow Var N2 Res BC"/>
      <sheetName val="BX Optimized ANF Implementation"/>
      <sheetName val="BX Execution Excellence Initiat"/>
      <sheetName val="Optimization of NSteps vsFlowBC"/>
      <sheetName val="Retains Sample Reduction"/>
      <sheetName val="Reduction In Process Sampl  C&amp;P"/>
      <sheetName val="Track Trend"/>
      <sheetName val="Teflon Stent Holder Redesign"/>
      <sheetName val="Nitrogen Flow Var BC"/>
      <sheetName val="Nitrogen Flow Var TC"/>
      <sheetName val="Optimized ANF Implementation"/>
      <sheetName val="Japan No Reject on CleanSurface"/>
      <sheetName val="UBD Japan Excecution Excellence"/>
      <sheetName val="Wire Stent Holder Redesign"/>
      <sheetName val="SelectNo Reject on CleanSurface"/>
      <sheetName val="Select Manicure Particles"/>
      <sheetName val="Select Excecution Excellence"/>
      <sheetName val="Select Yield"/>
      <sheetName val="USON Leak "/>
      <sheetName val="2008 Project"/>
      <sheetName val="Foreign Matter"/>
      <sheetName val="Foreign Matter Sav Calc"/>
      <sheetName val="Assay Imp FGI"/>
      <sheetName val="Reduction of in process testC&amp;P"/>
      <sheetName val="2BC"/>
      <sheetName val="2BC Nitrogen Var Red"/>
      <sheetName val="RI Reduce Polymer Sampling"/>
      <sheetName val="Elimination of in Process testi"/>
      <sheetName val="Iv2"/>
      <sheetName val="Ivek Pump Sys"/>
      <sheetName val="SP2"/>
      <sheetName val="Self Priming BC TC Nozzle"/>
      <sheetName val="Like_Like"/>
      <sheetName val="TC2"/>
      <sheetName val="TC Phase Set up Var Blk Stent"/>
      <sheetName val="Use rejects for functional test"/>
      <sheetName val="ME2"/>
      <sheetName val="ME2 Line Items"/>
      <sheetName val="ME2 Project Summary"/>
      <sheetName val="Gel Pack Elimination"/>
      <sheetName val="2009 PE Projection SIOP REV3"/>
      <sheetName val="Areas_to_Update"/>
      <sheetName val="PE_Review_Form"/>
      <sheetName val="Data_Stack"/>
      <sheetName val="Productivity_P&amp;L_Impact"/>
      <sheetName val="P&amp;L_Impact"/>
      <sheetName val="Pivot_Table"/>
      <sheetName val="MUV_P&amp;L_Impact"/>
      <sheetName val="Total_PE_Savings_P&amp;L_Impact"/>
      <sheetName val="Total_PE_Savings"/>
      <sheetName val="YTD_Act_Savings_Chart"/>
      <sheetName val="2009_Project_List"/>
      <sheetName val="Previous_SIOP"/>
      <sheetName val="US_SUPPLY_PLAN_(2)"/>
      <sheetName val="Stent_Retention"/>
      <sheetName val="Multiple_Inflations__(Pin_Hole)"/>
      <sheetName val="Stent_Post_Molded"/>
      <sheetName val="False_Leak_Test_Reduction"/>
      <sheetName val="Pyrogen_Sample_Reduction"/>
      <sheetName val="Envirotainers_UBD_Japan"/>
      <sheetName val="Financial_Analysis-2009_Savings"/>
      <sheetName val="Analytical_Lab_Fin_Analysis"/>
      <sheetName val="Envirotainers_BX"/>
      <sheetName val="Crossing_Profile_Projection_"/>
      <sheetName val="Envirotainers_Select_Plus"/>
      <sheetName val="Select_Plus_Envirotainer_Reduct"/>
      <sheetName val="Chart_BP_vs_Projection"/>
      <sheetName val="BX_Residual_Solvent_Sample_"/>
      <sheetName val="RS_Select_Option_1-3"/>
      <sheetName val="Japan_In_Process_Res_Solv"/>
      <sheetName val="UBD__Res_Solvent_Sampl_Elim"/>
      <sheetName val="By_Account_with_project"/>
      <sheetName val="2008_Projection_Apr_YTD_Act"/>
      <sheetName val="b7d__PE_Proj"/>
      <sheetName val="Carlos_LOPEZVIGO_MASKE"/>
      <sheetName val="MES_Core"/>
      <sheetName val="Yield_Loss_for_PE"/>
      <sheetName val="ABS_&amp;_Spending"/>
      <sheetName val="MUV_by_Product"/>
      <sheetName val="MUV_by_Qtrs"/>
      <sheetName val="UBD_Japan_Yield_Impr"/>
      <sheetName val="Select_Projects"/>
      <sheetName val="UBD_Projects"/>
      <sheetName val="By_Areas"/>
      <sheetName val="By_Account"/>
      <sheetName val="HG_to_BC"/>
      <sheetName val="12_Month"/>
      <sheetName val="Polaris__Savings_"/>
      <sheetName val="Spending_for_COGNOS"/>
      <sheetName val="b7d__PE_Proj_(2)"/>
      <sheetName val="Santos_Ramirez"/>
      <sheetName val="Coating_Functional_Samp_Japan"/>
      <sheetName val="Coating_Functional_Samp_SelectP"/>
      <sheetName val="Coating_Functional_Sample_BX"/>
      <sheetName val="Ileg_PrintHermit_Vargas_Project"/>
      <sheetName val="TemplateFailure_Rate_Reduc_"/>
      <sheetName val="Bumping_Leak_Failure"/>
      <sheetName val="Bumping_Leak_Failure_Sav"/>
      <sheetName val="2TC_Weight_Reject_Reduction"/>
      <sheetName val="Zero_projects"/>
      <sheetName val="Flexible_Spray_Carts_"/>
      <sheetName val="Surrogate_-_Financial_Back-Up"/>
      <sheetName val="Surrogate_-_2007_2008"/>
      <sheetName val="Retains_with_Surrogate"/>
      <sheetName val="Auto_Nozzle_Flush"/>
      <sheetName val="Estimated_Crimp_Head_Savings"/>
      <sheetName val="External_Calibration_Reduction"/>
      <sheetName val="InfinityQS_User_Interface"/>
      <sheetName val="MES_3_0_Yield_Improvement"/>
      <sheetName val="BX_Flexible_Spay_Cart"/>
      <sheetName val="Select_Plus_With_Black_Stent"/>
      <sheetName val="IPDC_Variability_Reduction"/>
      <sheetName val="Align_Inspections_as_per_Valida"/>
      <sheetName val="Crossing_Profile_Upstream_Param"/>
      <sheetName val="Uson_Specification_Limits"/>
      <sheetName val="Re_Evaluate_Stent_Handling_Crit"/>
      <sheetName val="BX_TeflonStent_Holder_Redesign"/>
      <sheetName val="Optimize_2nd_BV_Compensation_Fa"/>
      <sheetName val="Drying_Conditions_Mistake_Proof"/>
      <sheetName val="BX_Nitrogen_Flow_Var_N2_Res_BC"/>
      <sheetName val="BX_Optimized_ANF_Implementation"/>
      <sheetName val="BX_Execution_Excellence_Initiat"/>
      <sheetName val="Optimization_of_NSteps_vsFlowBC"/>
      <sheetName val="Retains_Sample_Reduction"/>
      <sheetName val="Reduction_In_Process_Sampl__C&amp;P"/>
      <sheetName val="Track_Trend"/>
      <sheetName val="Teflon_Stent_Holder_Redesign"/>
      <sheetName val="Nitrogen_Flow_Var_BC"/>
      <sheetName val="Nitrogen_Flow_Var_TC"/>
      <sheetName val="Optimized_ANF_Implementation"/>
      <sheetName val="Japan_No_Reject_on_CleanSurface"/>
      <sheetName val="UBD_Japan_Excecution_Excellence"/>
      <sheetName val="Wire_Stent_Holder_Redesign"/>
      <sheetName val="SelectNo_Reject_on_CleanSurface"/>
      <sheetName val="Select_Manicure_Particles"/>
      <sheetName val="Select_Excecution_Excellence"/>
      <sheetName val="Select_Yield"/>
      <sheetName val="USON_Leak_"/>
      <sheetName val="2008_Project"/>
      <sheetName val="Foreign_Matter"/>
      <sheetName val="Foreign_Matter_Sav_Calc"/>
      <sheetName val="Assay_Imp_FGI"/>
      <sheetName val="Reduction_of_in_process_testC&amp;P"/>
      <sheetName val="2BC_Nitrogen_Var_Red"/>
      <sheetName val="RI_Reduce_Polymer_Sampling"/>
      <sheetName val="Elimination_of_in_Process_testi"/>
      <sheetName val="Ivek_Pump_Sys"/>
      <sheetName val="Self_Priming_BC_TC_Nozzle"/>
      <sheetName val="TC_Phase_Set_up_Var_Blk_Stent"/>
      <sheetName val="Use_rejects_for_functional_test"/>
      <sheetName val="ME2_Line_Items"/>
      <sheetName val="ME2_Project_Summary"/>
      <sheetName val="Gel_Pack_Elimination"/>
      <sheetName val="2009_PE_Projection_SIOP_REV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4 BP Estimate"/>
      <sheetName val="Inv. as of Dec. 2003"/>
      <sheetName val="04 BP v. 04 MU"/>
      <sheetName val="2004 MU"/>
      <sheetName val="MCA"/>
      <sheetName val="Variance Analysis"/>
      <sheetName val="Volume Analysis"/>
      <sheetName val="Open Mfg Usages"/>
      <sheetName val="Tool Crib Items"/>
      <sheetName val="Ind-Expirations"/>
      <sheetName val="Tor-Exp"/>
      <sheetName val="2004 Var.  Analysis"/>
      <sheetName val="Estimate_Usages"/>
      <sheetName val="04 BP v. 04 MU w.o Vol"/>
      <sheetName val="04 BP v. 04 MU w. Vol"/>
      <sheetName val="Chemical Estimate 2004_MU"/>
      <sheetName val="PBP06 Meters and Strips -June"/>
      <sheetName val="Cover --&gt;"/>
      <sheetName val="Summary"/>
      <sheetName val="140046 BM"/>
      <sheetName val="EurotoolsXRates"/>
      <sheetName val="Input"/>
      <sheetName val="YTDGSR"/>
      <sheetName val="2004_BP_Estimate"/>
      <sheetName val="Inv__as_of_Dec__2003"/>
      <sheetName val="04_BP_v__04_MU"/>
      <sheetName val="2004_MU"/>
      <sheetName val="Variance_Analysis"/>
      <sheetName val="Volume_Analysis"/>
      <sheetName val="Open_Mfg_Usages"/>
      <sheetName val="Tool_Crib_Items"/>
      <sheetName val="2004_Var___Analysis"/>
      <sheetName val="04_BP_v__04_MU_w_o_Vol"/>
      <sheetName val="04_BP_v__04_MU_w__Vol"/>
      <sheetName val="Chemical_Estimate_2004_MU"/>
      <sheetName val="PBP06_Meters_and_Strips_-June"/>
      <sheetName val="Cover_--&gt;"/>
      <sheetName val="140046_BM"/>
      <sheetName val="2003 Qtr's"/>
      <sheetName val="2000 CAR Detail"/>
      <sheetName val=""/>
      <sheetName val="Group Adj"/>
      <sheetName val="Exposure Implied Risk"/>
      <sheetName val="Sheet3"/>
      <sheetName val="P&amp;L"/>
      <sheetName val="Control"/>
      <sheetName val="Data"/>
      <sheetName val="Table"/>
      <sheetName val="Carrying Cost"/>
      <sheetName val="(Risk Adjusted) Atual"/>
      <sheetName val="consolidate"/>
      <sheetName val="04 Jan PBP"/>
      <sheetName val="04 Jul PBP"/>
      <sheetName val="04 Mar PBP"/>
      <sheetName val="2003_Qtr's"/>
      <sheetName val="2004_BP_Estimate1"/>
      <sheetName val="Inv__as_of_Dec__20031"/>
      <sheetName val="04_BP_v__04_MU1"/>
      <sheetName val="2004_MU1"/>
      <sheetName val="Variance_Analysis1"/>
      <sheetName val="Volume_Analysis1"/>
      <sheetName val="Open_Mfg_Usages1"/>
      <sheetName val="Tool_Crib_Items1"/>
      <sheetName val="2004_Var___Analysis1"/>
      <sheetName val="04_BP_v__04_MU_w_o_Vol1"/>
      <sheetName val="04_BP_v__04_MU_w__Vol1"/>
      <sheetName val="Chemical_Estimate_2004_MU1"/>
      <sheetName val="PBP06_Meters_and_Strips_-June1"/>
      <sheetName val="Cover_--&gt;1"/>
      <sheetName val="140046_BM1"/>
      <sheetName val="2003_Qtr's1"/>
      <sheetName val="2000_CAR_Detail"/>
      <sheetName val="Group_Adj"/>
      <sheetName val="Carrying_Cost"/>
      <sheetName val="(Risk_Adjusted)_Atual"/>
      <sheetName val="04_Jan_PBP"/>
      <sheetName val="04_Jul_PBP"/>
      <sheetName val="04_Mar_PBP"/>
      <sheetName val="Form"/>
      <sheetName val="Instruments"/>
      <sheetName val="2004_BP_Estimate2"/>
      <sheetName val="Inv__as_of_Dec__20032"/>
      <sheetName val="04_BP_v__04_MU2"/>
      <sheetName val="2004_MU2"/>
      <sheetName val="Variance_Analysis2"/>
      <sheetName val="Volume_Analysis2"/>
      <sheetName val="Open_Mfg_Usages2"/>
      <sheetName val="Tool_Crib_Items2"/>
      <sheetName val="2004_Var___Analysis2"/>
      <sheetName val="04_BP_v__04_MU_w_o_Vol2"/>
      <sheetName val="04_BP_v__04_MU_w__Vol2"/>
      <sheetName val="Chemical_Estimate_2004_MU2"/>
      <sheetName val="PBP06_Meters_and_Strips_-June2"/>
      <sheetName val="Cover_--&gt;2"/>
      <sheetName val="140046_BM2"/>
      <sheetName val="2003_Qtr's2"/>
      <sheetName val="2000_CAR_Detail1"/>
      <sheetName val="Group_Adj1"/>
      <sheetName val="Carrying_Cost1"/>
      <sheetName val="(Risk_Adjusted)_Atual1"/>
      <sheetName val="04_Jan_PBP1"/>
      <sheetName val="04_Jul_PBP1"/>
      <sheetName val="04_Mar_PBP1"/>
      <sheetName val="1041.001"/>
      <sheetName val="Data Sheet"/>
      <sheetName val="2004_BP_Estimate3"/>
      <sheetName val="Inv__as_of_Dec__20033"/>
      <sheetName val="04_BP_v__04_MU3"/>
      <sheetName val="2004_MU3"/>
      <sheetName val="Variance_Analysis3"/>
      <sheetName val="Volume_Analysis3"/>
      <sheetName val="Open_Mfg_Usages3"/>
      <sheetName val="Tool_Crib_Items3"/>
      <sheetName val="2004_Var___Analysis3"/>
      <sheetName val="04_BP_v__04_MU_w_o_Vol3"/>
      <sheetName val="04_BP_v__04_MU_w__Vol3"/>
      <sheetName val="Chemical_Estimate_2004_MU3"/>
      <sheetName val="PBP06_Meters_and_Strips_-June3"/>
      <sheetName val="Cover_--&gt;3"/>
      <sheetName val="140046_BM3"/>
      <sheetName val="2003_Qtr's3"/>
      <sheetName val="2000_CAR_Detail2"/>
      <sheetName val="Group_Adj2"/>
      <sheetName val="(Risk_Adjusted)_Atual2"/>
      <sheetName val="Carrying_Cost2"/>
      <sheetName val="04_Jan_PBP2"/>
      <sheetName val="04_Jul_PBP2"/>
      <sheetName val="04_Mar_PBP2"/>
      <sheetName val="2004_BP_Estimate4"/>
      <sheetName val="Inv__as_of_Dec__20034"/>
      <sheetName val="04_BP_v__04_MU4"/>
      <sheetName val="2004_MU4"/>
      <sheetName val="Variance_Analysis4"/>
      <sheetName val="Volume_Analysis4"/>
      <sheetName val="Open_Mfg_Usages4"/>
      <sheetName val="Tool_Crib_Items4"/>
      <sheetName val="2004_Var___Analysis4"/>
      <sheetName val="04_BP_v__04_MU_w_o_Vol4"/>
      <sheetName val="04_BP_v__04_MU_w__Vol4"/>
      <sheetName val="Chemical_Estimate_2004_MU4"/>
      <sheetName val="PBP06_Meters_and_Strips_-June4"/>
      <sheetName val="Cover_--&gt;4"/>
      <sheetName val="140046_BM4"/>
      <sheetName val="2003_Qtr's4"/>
      <sheetName val="2000_CAR_Detail3"/>
      <sheetName val="Group_Adj3"/>
      <sheetName val="(Risk_Adjusted)_Atual3"/>
      <sheetName val="Carrying_Cost3"/>
      <sheetName val="04_Jan_PBP3"/>
      <sheetName val="04_Jul_PBP3"/>
      <sheetName val="04_Mar_PBP3"/>
      <sheetName val="VLOOKUP 2101"/>
      <sheetName val="Load"/>
      <sheetName val="Data Set"/>
      <sheetName val="T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2 FBP Allocation Grid"/>
      <sheetName val="Sheet2"/>
      <sheetName val="2012 Allocations - Formulas &amp; H"/>
      <sheetName val="2012_FBP_Allocation_Grid"/>
      <sheetName val="2012_Allocations_-_Formulas_&amp;_H"/>
    </sheetNames>
    <definedNames>
      <definedName name="EUReXToDEM" refersTo="#REF!" sheetId="0"/>
      <definedName name="EUReXToESP" refersTo="#REF!" sheetId="0"/>
      <definedName name="EUReXToFIM" refersTo="#REF!" sheetId="0"/>
      <definedName name="EUReXToFRF" refersTo="#REF!" sheetId="0"/>
      <definedName name="EUReXToIEP" refersTo="#REF!" sheetId="0"/>
      <definedName name="EUReXToITL" refersTo="#REF!" sheetId="0"/>
      <definedName name="EUReXToLUF" refersTo="#REF!" sheetId="0"/>
      <definedName name="EUReXToNLG" refersTo="#REF!" sheetId="0"/>
      <definedName name="EUReXToPTE" refersTo="#REF!" sheetId="0"/>
      <definedName name="EVP"/>
      <definedName name="ew" refersTo="#REF!" sheetId="0"/>
    </defined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 updates"/>
      <sheetName val="1 SETUP"/>
      <sheetName val="2 WACC"/>
      <sheetName val="3 Spreads"/>
      <sheetName val="4a Historical"/>
      <sheetName val="4b Restated"/>
      <sheetName val="5 ROIC Tree"/>
      <sheetName val="6 TRS"/>
      <sheetName val="7 SVC"/>
      <sheetName val="8 Worm"/>
      <sheetName val="9 SCM"/>
      <sheetName val="10 Multiples"/>
      <sheetName val="11 Valuation"/>
      <sheetName val="11b Analyst Estimates"/>
      <sheetName val="11c Proj"/>
      <sheetName val="12 Growth-Spread"/>
      <sheetName val="13 3-Bucket"/>
      <sheetName val="14 Summary"/>
      <sheetName val="K_CMD_033100"/>
      <sheetName val="Sheet1"/>
      <sheetName val="Sheet2"/>
      <sheetName val="total"/>
      <sheetName val="GLOBAL"/>
      <sheetName val="1996"/>
      <sheetName val="Content"/>
      <sheetName val="Foreign"/>
      <sheetName val="0_updates"/>
      <sheetName val="1_SETUP"/>
      <sheetName val="2_WACC"/>
      <sheetName val="3_Spreads"/>
      <sheetName val="4a_Historical"/>
      <sheetName val="4b_Restated"/>
      <sheetName val="5_ROIC_Tree"/>
      <sheetName val="6_TRS"/>
      <sheetName val="7_SVC"/>
      <sheetName val="8_Worm"/>
      <sheetName val="9_SCM"/>
      <sheetName val="10_Multiples"/>
      <sheetName val="11_Valuation"/>
      <sheetName val="11b_Analyst_Estimates"/>
      <sheetName val="11c_Proj"/>
      <sheetName val="12_Growth-Spread"/>
      <sheetName val="13_3-Bucket"/>
      <sheetName val="14_Summary"/>
      <sheetName val="Upload"/>
      <sheetName val="summary"/>
      <sheetName val="OpEx Savings"/>
      <sheetName val="PPV"/>
      <sheetName val="Current State"/>
      <sheetName val="Assumptions"/>
      <sheetName val="Rev-Cost"/>
      <sheetName val="Wrk Capital"/>
      <sheetName val="Base Volume"/>
      <sheetName val="FY20 Std Costs"/>
      <sheetName val="0_updates1"/>
      <sheetName val="1_SETUP1"/>
      <sheetName val="2_WACC1"/>
      <sheetName val="3_Spreads1"/>
      <sheetName val="4a_Historical1"/>
      <sheetName val="4b_Restated1"/>
      <sheetName val="5_ROIC_Tree1"/>
      <sheetName val="6_TRS1"/>
      <sheetName val="7_SVC1"/>
      <sheetName val="8_Worm1"/>
      <sheetName val="9_SCM1"/>
      <sheetName val="10_Multiples1"/>
      <sheetName val="11_Valuation1"/>
      <sheetName val="11b_Analyst_Estimates1"/>
      <sheetName val="11c_Proj1"/>
      <sheetName val="12_Growth-Spread1"/>
      <sheetName val="13_3-Bucket1"/>
      <sheetName val="14_Summary1"/>
      <sheetName val="OpEx_Savings"/>
      <sheetName val="E1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-DEC"/>
      <sheetName val="DCS-Nov"/>
      <sheetName val="inv410-OCT"/>
      <sheetName val="DCS"/>
      <sheetName val="BPCS FG"/>
      <sheetName val="FG"/>
      <sheetName val="True Cost"/>
      <sheetName val="DCS-Source"/>
      <sheetName val="Currency"/>
      <sheetName val="Item Master"/>
      <sheetName val="EurotoolsXRates"/>
      <sheetName val="Query"/>
      <sheetName val="Expense Query"/>
      <sheetName val="LookUpTables"/>
      <sheetName val="2002"/>
      <sheetName val="Item Master-Tables"/>
      <sheetName val="Sheet1"/>
      <sheetName val="Sheet2"/>
      <sheetName val="Sheet3"/>
      <sheetName val="BPCS_FG"/>
      <sheetName val="True_Cost"/>
      <sheetName val="Item_Master"/>
      <sheetName val="Expense_Query"/>
      <sheetName val="Item_Master-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RVAR"/>
      <sheetName val="LYMAN"/>
      <sheetName val="EB2"/>
      <sheetName val="Expense BUDGET YTD"/>
      <sheetName val="CURRENT MONTH"/>
      <sheetName val="Absorption"/>
      <sheetName val="Expense Recap Mth"/>
      <sheetName val="INV TURNS"/>
      <sheetName val="Mat Var "/>
      <sheetName val="Mat Var Acc"/>
      <sheetName val="Dec 4 day acc"/>
      <sheetName val="JE FORM"/>
      <sheetName val="JE LOG"/>
      <sheetName val="175 Alloc Exp"/>
      <sheetName val="103 cash rec "/>
      <sheetName val="Transfers Detail"/>
      <sheetName val="133 Intercompany"/>
      <sheetName val="148 Seconds"/>
      <sheetName val="186 RM Usage Var"/>
      <sheetName val="107 Record Prod X"/>
      <sheetName val="302 DOWNCOUNT"/>
      <sheetName val="302 MISC"/>
      <sheetName val="310 Comp Cost"/>
      <sheetName val="109 INV ADJ RETURNS X"/>
      <sheetName val="114 Scrap Sales "/>
      <sheetName val="146 Inv Recon"/>
      <sheetName val="151 Clear OH Accts"/>
      <sheetName val="165 Chg RM per Acc Dist X"/>
      <sheetName val="167 Stores Issues X"/>
      <sheetName val="516 MISC ADJ"/>
      <sheetName val="517 misc entries(JV20)"/>
      <sheetName val="501 AP Acc (R)"/>
      <sheetName val="514 Payroll Acc (R) x"/>
      <sheetName val="515  Vac,Comp,Prism Acc (R)"/>
      <sheetName val="104 Payroll Dist  x"/>
      <sheetName val="139  Vac,Comp,Prism  x"/>
      <sheetName val="PAYROLL WEEKLY DETAIL"/>
      <sheetName val="ALLVAR"/>
      <sheetName val="ALLOPC (2)"/>
      <sheetName val="BLEACHLB"/>
      <sheetName val="COPRECAP"/>
      <sheetName val="DLHRS"/>
      <sheetName val="DLHRSYTD"/>
      <sheetName val="FOH"/>
      <sheetName val="FOHYTD"/>
      <sheetName val="VACATION"/>
      <sheetName val="INVRECON"/>
      <sheetName val="INV"/>
      <sheetName val="MATL"/>
      <sheetName val="RESULTS3"/>
      <sheetName val="STARTUP"/>
      <sheetName val="FICA"/>
      <sheetName val="TEMPPAY2"/>
      <sheetName val="TRAINING "/>
      <sheetName val="Account Information"/>
      <sheetName val="Lists"/>
      <sheetName val="Data &amp; Charts"/>
      <sheetName val="Upload"/>
      <sheetName val="summary"/>
      <sheetName val="OpEx Savings"/>
      <sheetName val="PPV"/>
      <sheetName val="Recovered_Sheet1"/>
      <sheetName val="Settings"/>
      <sheetName val="Revision History"/>
      <sheetName val="Check"/>
      <sheetName val="Print"/>
      <sheetName val="Changes from 19 Packet"/>
      <sheetName val="Instructions"/>
      <sheetName val="Commodity SOP"/>
      <sheetName val="Cover"/>
      <sheetName val="Table of Contents"/>
      <sheetName val="Assumptions"/>
      <sheetName val="Waterfall"/>
      <sheetName val="Cost Change"/>
      <sheetName val="Volume"/>
      <sheetName val="Cost Reductions"/>
      <sheetName val="Capital"/>
      <sheetName val="Commodities"/>
      <sheetName val="Headcount"/>
      <sheetName val="Overhead"/>
      <sheetName val="Direct Variances"/>
      <sheetName val="OPC"/>
      <sheetName val="MPE FY20 AOP LC"/>
      <sheetName val="MPE FY20 AOP USD"/>
      <sheetName val="P&amp;L FY20 AOP USD"/>
      <sheetName val="MPE FY19 Fcst03 USD"/>
      <sheetName val="Supplemetal---&gt;&gt;"/>
      <sheetName val="Loss Allowance"/>
      <sheetName val="TOH"/>
      <sheetName val="Allocations"/>
      <sheetName val="COP"/>
      <sheetName val="Capacity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Flash"/>
      <sheetName val="Detail by Plant"/>
      <sheetName val="Summary - MPE"/>
      <sheetName val="Summary - P&amp;L"/>
      <sheetName val="Mfg Variances"/>
      <sheetName val="Mfg OPC &amp; Idle"/>
      <sheetName val="Non Mfg OPC &amp; G&amp;A"/>
      <sheetName val="Forecast Accuracy"/>
      <sheetName val="Transactional FX"/>
      <sheetName val="MPE"/>
      <sheetName val="P&amp;L"/>
      <sheetName val="Capitalization"/>
      <sheetName val="Quarterly Comparison"/>
      <sheetName val="Quaterly Comparison by Site"/>
      <sheetName val="Memo"/>
      <sheetName val="Bridge AOP vs FCST"/>
      <sheetName val="MPESource"/>
      <sheetName val="PLSource"/>
      <sheetName val="FCST01"/>
      <sheetName val="FCST02"/>
      <sheetName val="FCST03"/>
      <sheetName val="FCST04"/>
      <sheetName val="Relief Items Act"/>
      <sheetName val="ROSource"/>
      <sheetName val="ReliefItemsSource"/>
      <sheetName val="COPSource"/>
      <sheetName val="MemoSource"/>
      <sheetName val="GFSRetrieveSource"/>
      <sheetName val="KISource"/>
      <sheetName val="Sheet1"/>
      <sheetName val="Index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3-VL International"/>
      <sheetName val="2003-VL after 4-1-03"/>
      <sheetName val="2003-RADIONICS after 4-1-03"/>
      <sheetName val="2003-CONSOLIDATED"/>
      <sheetName val="2003-VL"/>
      <sheetName val="2003-RAD"/>
      <sheetName val="2002-RAD"/>
      <sheetName val="2002"/>
      <sheetName val="2001"/>
      <sheetName val="2000"/>
      <sheetName val="1999"/>
      <sheetName val="1998"/>
      <sheetName val="FOO"/>
      <sheetName val="1997"/>
      <sheetName val="1996"/>
      <sheetName val="1995"/>
      <sheetName val="HDCT"/>
      <sheetName val="2004-Boulder"/>
      <sheetName val="2004-CONSOLIDATED"/>
      <sheetName val="Table"/>
      <sheetName val="Warranty Res"/>
      <sheetName val="EB2"/>
      <sheetName val="DEPR LIFE"/>
      <sheetName val="FOCUS FACTORY &amp; PRODUCT FAMILY"/>
      <sheetName val="FIXED ASSET ACCTS &amp; CLASSES"/>
      <sheetName val="list"/>
      <sheetName val="Index sheet"/>
      <sheetName val="Sheet1"/>
      <sheetName val="Sheet2"/>
      <sheetName val="Crystal Lake Container matrix"/>
      <sheetName val="Data Names"/>
      <sheetName val="codes in process"/>
      <sheetName val="Validations"/>
      <sheetName val="Capital Request Form"/>
      <sheetName val="Proforma by QTR"/>
      <sheetName val="Persons by Qtr (Class 2 only)"/>
      <sheetName val="Oct 05 a Mayo 06"/>
      <sheetName val="Report Parameters"/>
      <sheetName val="Coverage Days"/>
      <sheetName val="Input"/>
      <sheetName val="2011 CMS Rates"/>
      <sheetName val="Recovered_Sheet1"/>
      <sheetName val="Settings"/>
      <sheetName val="Revision History"/>
      <sheetName val="Check"/>
      <sheetName val="Print"/>
      <sheetName val="Changes from 19 Packet"/>
      <sheetName val="Instructions"/>
      <sheetName val="Commodity SOP"/>
      <sheetName val="Cover"/>
      <sheetName val="Table of Contents"/>
      <sheetName val="Assumptions"/>
      <sheetName val="Waterfall"/>
      <sheetName val="Cost Change"/>
      <sheetName val="Volume"/>
      <sheetName val="Cost Reductions"/>
      <sheetName val="Capital"/>
      <sheetName val="Commodities"/>
      <sheetName val="Headcount"/>
      <sheetName val="Summary"/>
      <sheetName val="Overhead"/>
      <sheetName val="Direct Variances"/>
      <sheetName val="OPC"/>
      <sheetName val="MPE FY20 AOP LC"/>
      <sheetName val="MPE FY20 AOP USD"/>
      <sheetName val="P&amp;L FY20 AOP USD"/>
      <sheetName val="MPE FY19 Fcst03 USD"/>
      <sheetName val="Supplemetal---&gt;&gt;"/>
      <sheetName val="Loss Allowance"/>
      <sheetName val="TOH"/>
      <sheetName val="Allocations"/>
      <sheetName val="COP"/>
      <sheetName val="Capacity_"/>
      <sheetName val="2003-VL_International"/>
      <sheetName val="2003-VL_after_4-1-03"/>
      <sheetName val="2003-RADIONICS_after_4-1-03"/>
      <sheetName val="Warranty_Res"/>
      <sheetName val="DEPR_LIFE"/>
      <sheetName val="FOCUS_FACTORY_&amp;_PRODUCT_FAMILY"/>
      <sheetName val="FIXED_ASSET_ACCTS_&amp;_CLASSES"/>
      <sheetName val="Index_sheet"/>
      <sheetName val="Crystal_Lake_Container_matrix"/>
      <sheetName val="Data_Names"/>
      <sheetName val="codes_in_process"/>
      <sheetName val="2. INPUT - General 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RVAR"/>
      <sheetName val="LYMAN"/>
      <sheetName val="EB2"/>
      <sheetName val="ALLVAR"/>
      <sheetName val="ALLOPC (2)"/>
      <sheetName val="BLEACHLB"/>
      <sheetName val="COPRECAP"/>
      <sheetName val="DLHRS"/>
      <sheetName val="DLHRSYTD"/>
      <sheetName val="FOH"/>
      <sheetName val="FOHYTD"/>
      <sheetName val="VACATION"/>
      <sheetName val="INVRECON"/>
      <sheetName val="INV"/>
      <sheetName val="MATL"/>
      <sheetName val="RESULTS3"/>
      <sheetName val="STARTUP"/>
      <sheetName val="FICA"/>
      <sheetName val="TEMPPAY2"/>
      <sheetName val="TRAINING "/>
      <sheetName val="Expense BUDGET YTD"/>
      <sheetName val="CURRENT MONTH"/>
      <sheetName val="Absorption"/>
      <sheetName val="Expense Recap Mth"/>
      <sheetName val="INV TURNS"/>
      <sheetName val="Mat Var "/>
      <sheetName val="Mat Var Acc"/>
      <sheetName val="Dec 4 day acc"/>
      <sheetName val="JE FORM"/>
      <sheetName val="JE LOG"/>
      <sheetName val="175 Alloc Exp"/>
      <sheetName val="103 cash rec "/>
      <sheetName val="Transfers Detail"/>
      <sheetName val="133 Intercompany"/>
      <sheetName val="148 Seconds"/>
      <sheetName val="186 RM Usage Var"/>
      <sheetName val="107 Record Prod X"/>
      <sheetName val="302 DOWNCOUNT"/>
      <sheetName val="302 MISC"/>
      <sheetName val="310 Comp Cost"/>
      <sheetName val="109 INV ADJ RETURNS X"/>
      <sheetName val="114 Scrap Sales "/>
      <sheetName val="146 Inv Recon"/>
      <sheetName val="151 Clear OH Accts"/>
      <sheetName val="165 Chg RM per Acc Dist X"/>
      <sheetName val="167 Stores Issues X"/>
      <sheetName val="516 MISC ADJ"/>
      <sheetName val="517 misc entries(JV20)"/>
      <sheetName val="501 AP Acc (R)"/>
      <sheetName val="514 Payroll Acc (R) x"/>
      <sheetName val="515  Vac,Comp,Prism Acc (R)"/>
      <sheetName val="104 Payroll Dist  x"/>
      <sheetName val="139  Vac,Comp,Prism  x"/>
      <sheetName val="PAYROLL WEEKLY DETAIL"/>
      <sheetName val="FC6M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Seguros (PPC)"/>
      <sheetName val="XREF"/>
      <sheetName val="Integración  Pagos Ant. (PPC)"/>
      <sheetName val="Tickmarks"/>
      <sheetName val="Unmet_Need"/>
      <sheetName val="SLS CM"/>
      <sheetName val="SAR-INFO"/>
      <sheetName val="ER GTS"/>
      <sheetName val="Elim"/>
      <sheetName val="BG GT "/>
      <sheetName val="BG TIH"/>
      <sheetName val="BG GTS "/>
      <sheetName val="BG TSE"/>
      <sheetName val="Bal GT"/>
      <sheetName val=" Part"/>
      <sheetName val="ER GT "/>
      <sheetName val="ER TIH"/>
      <sheetName val="ER TSE"/>
      <sheetName val="ER Con"/>
      <sheetName val="ER09"/>
      <sheetName val="IMSS"/>
      <sheetName val="Estado"/>
      <sheetName val="SAR E INFONAVIT"/>
      <sheetName val="2003"/>
      <sheetName val="Muestreo"/>
      <sheetName val="Renta"/>
      <sheetName val="Electricidad"/>
      <sheetName val="Significant Processes"/>
      <sheetName val="EMPLEADOS"/>
      <sheetName val="FF33-1&amp;"/>
      <sheetName val="C-1"/>
      <sheetName val="uso"/>
      <sheetName val="Integracion de Ctas x Pagar"/>
      <sheetName val="ANALYSIS JUNEFOR PP02 old"/>
      <sheetName val="Analysis"/>
      <sheetName val="Drop-Down Lists"/>
      <sheetName val="Amarre (7 CEDULAS)"/>
      <sheetName val="Amarre de Honorarios"/>
      <sheetName val=".1 Lead"/>
      <sheetName val="DEPRECIACION"/>
      <sheetName val="FCCREDITOS"/>
      <sheetName val="GASTOS  8310.1"/>
      <sheetName val="FP"/>
      <sheetName val="Währung"/>
      <sheetName val="Sheet1"/>
      <sheetName val="WBS"/>
      <sheetName val="Worksheet in 5500 PAGOS ANTICIP"/>
      <sheetName val="Chicopee OH Exp"/>
      <sheetName val="R.P."/>
      <sheetName val="Consolidated Domestic"/>
      <sheetName val="Notes &amp; Change Log"/>
      <sheetName val="Recovered_Sheet1"/>
      <sheetName val="Settings"/>
      <sheetName val="Revision History"/>
      <sheetName val="Check"/>
      <sheetName val="Print"/>
      <sheetName val="Changes from 19 Packet"/>
      <sheetName val="Instructions"/>
      <sheetName val="Commodity SOP"/>
      <sheetName val="Cover"/>
      <sheetName val="Table of Contents"/>
      <sheetName val="Assumptions"/>
      <sheetName val="Waterfall"/>
      <sheetName val="Cost Change"/>
      <sheetName val="Volume"/>
      <sheetName val="Cost Reductions"/>
      <sheetName val="Capital"/>
      <sheetName val="Commodities"/>
      <sheetName val="Headcount"/>
      <sheetName val="Summary"/>
      <sheetName val="Overhead"/>
      <sheetName val="Direct Variances"/>
      <sheetName val="OPC"/>
      <sheetName val="MPE FY20 AOP LC"/>
      <sheetName val="MPE FY20 AOP USD"/>
      <sheetName val="P&amp;L FY20 AOP USD"/>
      <sheetName val="MPE FY19 Fcst03 USD"/>
      <sheetName val="Supplemetal---&gt;&gt;"/>
      <sheetName val="Loss Allowance"/>
      <sheetName val="TOH"/>
      <sheetName val="Allocations"/>
      <sheetName val="COP"/>
      <sheetName val="Capacity_"/>
      <sheetName val="Calendar"/>
      <sheetName val="VM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Sheet1"/>
      <sheetName val="XREF"/>
      <sheetName val="Tickmarks"/>
      <sheetName val="Lead 5300"/>
      <sheetName val="5300.1"/>
      <sheetName val="5300.3"/>
      <sheetName val="5300.2"/>
      <sheetName val="5300.4"/>
      <sheetName val="Razonabilidad IVA"/>
      <sheetName val="Antiguedades"/>
      <sheetName val="limite"/>
      <sheetName val="ER GTS"/>
      <sheetName val="Lists"/>
      <sheetName val="Table Maint"/>
      <sheetName val="Integración"/>
      <sheetName val="Mvt Imobilizado"/>
      <sheetName val="9-Concentrado PP"/>
      <sheetName val="Indice"/>
      <sheetName val="1"/>
      <sheetName val="2"/>
      <sheetName val="3"/>
      <sheetName val="4"/>
      <sheetName val="5"/>
      <sheetName val="Planeación"/>
      <sheetName val="Gastos_MadridWE"/>
      <sheetName val=""/>
      <sheetName val="Consolidated Domestic"/>
      <sheetName val="Prov Siemens"/>
      <sheetName val="AJUSTE INFLAC."/>
      <sheetName val="inventarios"/>
      <sheetName val="Dpn. Fiscal"/>
      <sheetName val="Recovered_Sheet1"/>
      <sheetName val="Settings"/>
      <sheetName val="Revision History"/>
      <sheetName val="Check"/>
      <sheetName val="Print"/>
      <sheetName val="Changes from 19 Packet"/>
      <sheetName val="Instructions"/>
      <sheetName val="Commodity SOP"/>
      <sheetName val="Cover"/>
      <sheetName val="Table of Contents"/>
      <sheetName val="Assumptions"/>
      <sheetName val="Waterfall"/>
      <sheetName val="Cost Change"/>
      <sheetName val="Volume"/>
      <sheetName val="Cost Reductions"/>
      <sheetName val="Capital"/>
      <sheetName val="Commodities"/>
      <sheetName val="Headcount"/>
      <sheetName val="Summary"/>
      <sheetName val="Overhead"/>
      <sheetName val="Direct Variances"/>
      <sheetName val="OPC"/>
      <sheetName val="MPE FY20 AOP LC"/>
      <sheetName val="MPE FY20 AOP USD"/>
      <sheetName val="P&amp;L FY20 AOP USD"/>
      <sheetName val="MPE FY19 Fcst03 USD"/>
      <sheetName val="Supplemetal---&gt;&gt;"/>
      <sheetName val="Loss Allowance"/>
      <sheetName val="TOH"/>
      <sheetName val="Allocations"/>
      <sheetName val="COP"/>
      <sheetName val="Capacity_"/>
      <sheetName val="Terreno"/>
      <sheetName val="Sheet2"/>
      <sheetName val="03172016 Allocations"/>
      <sheetName val="Data Validation"/>
      <sheetName val="C-26 IA NA"/>
      <sheetName val="ISR"/>
      <sheetName val="IMSS"/>
      <sheetName val="RETIRO-INFO"/>
      <sheetName val="1.80% ESTADO"/>
      <sheetName val="Resumen altas y bajas "/>
      <sheetName val="VARI CAMB"/>
      <sheetName val="Depreciación Fiscal"/>
      <sheetName val="AF Extranjeros"/>
      <sheetName val="PRIMERO"/>
      <sheetName val="FF33-1&amp;"/>
      <sheetName val="TC APLICABLE 2004"/>
      <sheetName val="salesmay"/>
      <sheetName val="Edo. Cto."/>
      <sheetName val="Salar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édula de Movimientos"/>
      <sheetName val="Revisión SI"/>
      <sheetName val="Revisión Altas"/>
      <sheetName val="Depreciación"/>
      <sheetName val="Límite"/>
      <sheetName val="Tickmarks"/>
      <sheetName val="XREF"/>
      <sheetName val="Lead"/>
      <sheetName val="GtosFab"/>
      <sheetName val="Dep. del Ej. y Acum."/>
      <sheetName val="vaciado P.P. IVA"/>
      <sheetName val="DEP. FINAL"/>
      <sheetName val="5300.3"/>
      <sheetName val="Sheet1"/>
      <sheetName val="Warranty Periods"/>
      <sheetName val="CALC"/>
      <sheetName val="AUT99"/>
      <sheetName val="Recovered_Sheet1"/>
      <sheetName val="Settings"/>
      <sheetName val="Revision History"/>
      <sheetName val="Check"/>
      <sheetName val="Print"/>
      <sheetName val="Changes from 19 Packet"/>
      <sheetName val="Instructions"/>
      <sheetName val="Commodity SOP"/>
      <sheetName val="Cover"/>
      <sheetName val="Table of Contents"/>
      <sheetName val="Assumptions"/>
      <sheetName val="Waterfall"/>
      <sheetName val="Cost Change"/>
      <sheetName val="Volume"/>
      <sheetName val="Cost Reductions"/>
      <sheetName val="Capital"/>
      <sheetName val="Commodities"/>
      <sheetName val="Headcount"/>
      <sheetName val="Summary"/>
      <sheetName val="Overhead"/>
      <sheetName val="Direct Variances"/>
      <sheetName val="OPC"/>
      <sheetName val="MPE FY20 AOP LC"/>
      <sheetName val="MPE FY20 AOP USD"/>
      <sheetName val="P&amp;L FY20 AOP USD"/>
      <sheetName val="MPE FY19 Fcst03 USD"/>
      <sheetName val="Supplemetal---&gt;&gt;"/>
      <sheetName val="Loss Allowance"/>
      <sheetName val="TOH"/>
      <sheetName val="Allocations"/>
      <sheetName val="COP"/>
      <sheetName val="Capacity_"/>
      <sheetName val="FF-32"/>
      <sheetName val="EIGPC"/>
      <sheetName val="Lists"/>
      <sheetName val=".1 Lead"/>
      <sheetName val="Resumen"/>
      <sheetName val="ISR"/>
      <sheetName val="IVA"/>
      <sheetName val="Retenciones"/>
      <sheetName val="POLIZA SAP"/>
      <sheetName val="Balanzas"/>
      <sheetName val="P&amp;L"/>
      <sheetName val="Maquila"/>
      <sheetName val="ISR Sueldos"/>
      <sheetName val="PTU"/>
      <sheetName val="Acum"/>
      <sheetName val="Analisis de CYG Properties"/>
      <sheetName val="IVA acreditable"/>
      <sheetName val="Ingresos cobrados"/>
      <sheetName val="DATOS"/>
      <sheetName val="Compensacion"/>
      <sheetName val="Fluctuaciones"/>
      <sheetName val="Sheet6"/>
      <sheetName val="Cotejo P&amp;L"/>
      <sheetName val="2A VERSION "/>
      <sheetName val="INPC"/>
      <sheetName val="D-1"/>
      <sheetName val="Amarre de la obra al 31.12.01"/>
      <sheetName val="Edo. Cto."/>
      <sheetName val="VENDAS_P_SUBSIDIÁRIA"/>
      <sheetName val="Altas 2001"/>
      <sheetName val="Bs agotados"/>
      <sheetName val="Pruebas Globales nov"/>
      <sheetName val="TELE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SCON2001"/>
      <sheetName val="PROMED01"/>
      <sheetName val="DEPFIS01"/>
      <sheetName val="PROV. ND"/>
      <sheetName val="VAC ENE-MZO"/>
      <sheetName val="INGRESOS2000"/>
      <sheetName val="SLDOS"/>
      <sheetName val="ETIQUETA"/>
      <sheetName val="Estado Res."/>
      <sheetName val="Nota 7"/>
      <sheetName val="XREF"/>
      <sheetName val="Tickmarks"/>
      <sheetName val="Cédula de Movimientos"/>
      <sheetName val="Depreciación"/>
      <sheetName val="Revisión gastos Septiembre"/>
      <sheetName val="Empréstimos"/>
      <sheetName val="BB PCH's"/>
      <sheetName val="Umbrales"/>
      <sheetName val="Cobros posteriores"/>
      <sheetName val="Lead"/>
      <sheetName val="Valuación"/>
      <sheetName val="REV. LIMITE ADMON"/>
      <sheetName val="AUT99"/>
      <sheetName val="Recovered_Sheet1"/>
      <sheetName val="Settings"/>
      <sheetName val="Revision History"/>
      <sheetName val="Check"/>
      <sheetName val="Print"/>
      <sheetName val="Changes from 19 Packet"/>
      <sheetName val="Instructions"/>
      <sheetName val="Commodity SOP"/>
      <sheetName val="Cover"/>
      <sheetName val="Table of Contents"/>
      <sheetName val="Assumptions"/>
      <sheetName val="Waterfall"/>
      <sheetName val="Cost Change"/>
      <sheetName val="Volume"/>
      <sheetName val="Cost Reductions"/>
      <sheetName val="Capital"/>
      <sheetName val="Commodities"/>
      <sheetName val="Headcount"/>
      <sheetName val="Summary"/>
      <sheetName val="Overhead"/>
      <sheetName val="Direct Variances"/>
      <sheetName val="OPC"/>
      <sheetName val="MPE FY20 AOP LC"/>
      <sheetName val="MPE FY20 AOP USD"/>
      <sheetName val="P&amp;L FY20 AOP USD"/>
      <sheetName val="MPE FY19 Fcst03 USD"/>
      <sheetName val="Supplemetal---&gt;&gt;"/>
      <sheetName val="Loss Allowance"/>
      <sheetName val="TOH"/>
      <sheetName val="Allocations"/>
      <sheetName val="COP"/>
      <sheetName val="Capacity_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orption trend Rev#2"/>
      <sheetName val="non-coating yields batch si (2)"/>
      <sheetName val="BP WW Coating Utilization (2)"/>
      <sheetName val="Key Process Plans (2)"/>
      <sheetName val="ABS 2008"/>
      <sheetName val="Sheet1"/>
      <sheetName val="Summary all (not for input)"/>
      <sheetName val="Summary US RX (RX+OTW)"/>
      <sheetName val="Total Select+ (not for input)"/>
      <sheetName val="Total Japan (not for input)"/>
      <sheetName val="Total RX (no for input)"/>
      <sheetName val="Total OTW (not for input)"/>
      <sheetName val="USabsorption (To Input Volumes)"/>
      <sheetName val="Additional48k(includedalready)"/>
      <sheetName val="OUSabsorption(ToinputVolumes) "/>
      <sheetName val="Absorption Rates (input)"/>
      <sheetName val="2007 Post Sterile"/>
      <sheetName val="San German Coating"/>
      <sheetName val="Beerse Coating"/>
      <sheetName val="US_SUPPLY_PLAN"/>
      <sheetName val="OUS_SUPPLY_PLAN"/>
      <sheetName val="BX_OUS_SUPPLY_PLAN"/>
      <sheetName val="Sales Data 37C"/>
      <sheetName val="Absorption_trend_Rev#2"/>
      <sheetName val="non-coating_yields_batch_si_(2)"/>
      <sheetName val="BP_WW_Coating_Utilization_(2)"/>
      <sheetName val="Key_Process_Plans_(2)"/>
      <sheetName val="ABS_2008"/>
      <sheetName val="Summary_all_(not_for_input)"/>
      <sheetName val="Summary_US_RX_(RX+OTW)"/>
      <sheetName val="Total_Select+_(not_for_input)"/>
      <sheetName val="Total_Japan_(not_for_input)"/>
      <sheetName val="Total_RX_(no_for_input)"/>
      <sheetName val="Total_OTW_(not_for_input)"/>
      <sheetName val="USabsorption_(To_Input_Volumes)"/>
      <sheetName val="OUSabsorption(ToinputVolumes)_"/>
      <sheetName val="Absorption_Rates_(input)"/>
      <sheetName val="2007_Post_Sterile"/>
      <sheetName val="San_German_Coating"/>
      <sheetName val="Beerse_Coating"/>
      <sheetName val="Sales_Data_37C"/>
      <sheetName val="SUI Ra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orption trend"/>
      <sheetName val="FROZEN COSTS 2006"/>
      <sheetName val="FROZEN COSTS 2006 (2)"/>
      <sheetName val="Absorption_trend"/>
      <sheetName val="FROZEN_COSTS_2006"/>
      <sheetName val="FROZEN_COSTS_2006_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B82BF-FEC6-420B-8001-6D6E56FD77AE}">
  <dimension ref="B5:AL105"/>
  <sheetViews>
    <sheetView tabSelected="1" topLeftCell="T10" zoomScale="84" workbookViewId="0">
      <selection activeCell="AN29" sqref="AN29"/>
    </sheetView>
  </sheetViews>
  <sheetFormatPr defaultRowHeight="14.5" x14ac:dyDescent="0.35"/>
  <cols>
    <col min="3" max="3" width="14.453125" customWidth="1"/>
    <col min="5" max="5" width="8.7265625" customWidth="1"/>
    <col min="6" max="6" width="22.90625" bestFit="1" customWidth="1"/>
    <col min="7" max="8" width="9.26953125" bestFit="1" customWidth="1"/>
    <col min="9" max="17" width="8.81640625" bestFit="1" customWidth="1"/>
    <col min="18" max="18" width="9" bestFit="1" customWidth="1"/>
    <col min="19" max="19" width="10.1796875" bestFit="1" customWidth="1"/>
    <col min="25" max="25" width="22.90625" bestFit="1" customWidth="1"/>
    <col min="26" max="28" width="9.26953125" bestFit="1" customWidth="1"/>
    <col min="38" max="38" width="9.7265625" bestFit="1" customWidth="1"/>
  </cols>
  <sheetData>
    <row r="5" spans="2:38" ht="16.5" thickBot="1" x14ac:dyDescent="0.4">
      <c r="B5" s="1" t="s">
        <v>4</v>
      </c>
      <c r="C5" s="2"/>
    </row>
    <row r="6" spans="2:38" ht="15" thickBot="1" x14ac:dyDescent="0.4">
      <c r="B6" s="3" t="s">
        <v>0</v>
      </c>
      <c r="C6" s="4">
        <v>1110551</v>
      </c>
      <c r="D6" t="s">
        <v>2</v>
      </c>
    </row>
    <row r="7" spans="2:38" ht="15" thickBot="1" x14ac:dyDescent="0.4">
      <c r="B7" s="5" t="s">
        <v>1</v>
      </c>
      <c r="C7" s="6" t="s">
        <v>3</v>
      </c>
      <c r="D7" s="7"/>
    </row>
    <row r="9" spans="2:38" ht="15" thickBot="1" x14ac:dyDescent="0.4"/>
    <row r="10" spans="2:38" ht="15" thickBot="1" x14ac:dyDescent="0.4">
      <c r="F10" s="8"/>
      <c r="G10" s="89" t="s">
        <v>203</v>
      </c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Y10" s="8"/>
      <c r="Z10" s="9" t="s">
        <v>5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</row>
    <row r="11" spans="2:38" x14ac:dyDescent="0.35">
      <c r="F11" s="1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11"/>
      <c r="Y11" s="11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1"/>
    </row>
    <row r="12" spans="2:38" ht="26" x14ac:dyDescent="0.35">
      <c r="F12" s="11"/>
      <c r="G12" s="14" t="s">
        <v>6</v>
      </c>
      <c r="H12" s="15" t="s">
        <v>7</v>
      </c>
      <c r="I12" s="15" t="s">
        <v>8</v>
      </c>
      <c r="J12" s="15" t="s">
        <v>9</v>
      </c>
      <c r="K12" s="15" t="s">
        <v>10</v>
      </c>
      <c r="L12" s="15" t="s">
        <v>11</v>
      </c>
      <c r="M12" s="15" t="s">
        <v>12</v>
      </c>
      <c r="N12" s="15" t="s">
        <v>13</v>
      </c>
      <c r="O12" s="15" t="s">
        <v>14</v>
      </c>
      <c r="P12" s="15" t="s">
        <v>15</v>
      </c>
      <c r="Q12" s="15" t="s">
        <v>16</v>
      </c>
      <c r="R12" s="15" t="s">
        <v>17</v>
      </c>
      <c r="S12" s="16" t="s">
        <v>18</v>
      </c>
      <c r="Y12" s="13" t="s">
        <v>52</v>
      </c>
      <c r="Z12" s="14" t="s">
        <v>6</v>
      </c>
      <c r="AA12" s="15" t="s">
        <v>7</v>
      </c>
      <c r="AB12" s="15" t="s">
        <v>8</v>
      </c>
      <c r="AC12" s="15" t="s">
        <v>9</v>
      </c>
      <c r="AD12" s="15" t="s">
        <v>10</v>
      </c>
      <c r="AE12" s="15" t="s">
        <v>11</v>
      </c>
      <c r="AF12" s="15" t="s">
        <v>12</v>
      </c>
      <c r="AG12" s="15" t="s">
        <v>13</v>
      </c>
      <c r="AH12" s="15" t="s">
        <v>14</v>
      </c>
      <c r="AI12" s="15" t="s">
        <v>15</v>
      </c>
      <c r="AJ12" s="15" t="s">
        <v>16</v>
      </c>
      <c r="AK12" s="15" t="s">
        <v>17</v>
      </c>
      <c r="AL12" s="16" t="s">
        <v>18</v>
      </c>
    </row>
    <row r="13" spans="2:38" x14ac:dyDescent="0.35">
      <c r="F13" s="20" t="s">
        <v>19</v>
      </c>
      <c r="G13" s="88">
        <f>SUMIFS('JDE GL Act'!$H:$H,'JDE GL Act'!$J:$J,$C$6,'JDE GL Act'!$I:$I,G$12,'JDE GL Act'!$L:$L,$F13)</f>
        <v>71011.939999999988</v>
      </c>
      <c r="H13" s="88">
        <f>SUMIFS('JDE GL Act'!$H:$H,'JDE GL Act'!$J:$J,$C$6,'JDE GL Act'!$I:$I,H$12,'JDE GL Act'!$L:$L,$F13)</f>
        <v>69219.31</v>
      </c>
      <c r="I13" s="88">
        <f>SUMIFS('JDE GL Act'!$H:$H,'JDE GL Act'!$J:$J,$C$6,'JDE GL Act'!$I:$I,I$12,'JDE GL Act'!$L:$L,$F13)</f>
        <v>0</v>
      </c>
      <c r="J13" s="88">
        <f>SUMIFS('JDE GL Act'!$H:$H,'JDE GL Act'!$J:$J,$C$6,'JDE GL Act'!$I:$I,J$12,'JDE GL Act'!$L:$L,$F13)</f>
        <v>0</v>
      </c>
      <c r="K13" s="88">
        <f>SUMIFS('JDE GL Act'!$H:$H,'JDE GL Act'!$J:$J,$C$6,'JDE GL Act'!$I:$I,K$12,'JDE GL Act'!$L:$L,$F13)</f>
        <v>0</v>
      </c>
      <c r="L13" s="88">
        <f>SUMIFS('JDE GL Act'!$H:$H,'JDE GL Act'!$J:$J,$C$6,'JDE GL Act'!$I:$I,L$12,'JDE GL Act'!$L:$L,$F13)</f>
        <v>0</v>
      </c>
      <c r="M13" s="88">
        <f>SUMIFS('JDE GL Act'!$H:$H,'JDE GL Act'!$J:$J,$C$6,'JDE GL Act'!$I:$I,M$12,'JDE GL Act'!$L:$L,$F13)</f>
        <v>0</v>
      </c>
      <c r="N13" s="88">
        <f>SUMIFS('JDE GL Act'!$H:$H,'JDE GL Act'!$J:$J,$C$6,'JDE GL Act'!$I:$I,N$12,'JDE GL Act'!$L:$L,$F13)</f>
        <v>0</v>
      </c>
      <c r="O13" s="88">
        <f>SUMIFS('JDE GL Act'!$H:$H,'JDE GL Act'!$J:$J,$C$6,'JDE GL Act'!$I:$I,O$12,'JDE GL Act'!$L:$L,$F13)</f>
        <v>0</v>
      </c>
      <c r="P13" s="88">
        <f>SUMIFS('JDE GL Act'!$H:$H,'JDE GL Act'!$J:$J,$C$6,'JDE GL Act'!$I:$I,P$12,'JDE GL Act'!$L:$L,$F13)</f>
        <v>0</v>
      </c>
      <c r="Q13" s="88">
        <f>SUMIFS('JDE GL Act'!$H:$H,'JDE GL Act'!$J:$J,$C$6,'JDE GL Act'!$I:$I,Q$12,'JDE GL Act'!$L:$L,$F13)</f>
        <v>0</v>
      </c>
      <c r="R13" s="88">
        <f>SUMIFS('JDE GL Act'!$H:$H,'JDE GL Act'!$J:$J,$C$6,'JDE GL Act'!$I:$I,R$12,'JDE GL Act'!$L:$L,$F13)</f>
        <v>0</v>
      </c>
      <c r="S13" s="19">
        <f>+SUM(G13:R13)</f>
        <v>140231.25</v>
      </c>
      <c r="Y13" s="17" t="str">
        <f>F13</f>
        <v>Wages &amp; Salaries</v>
      </c>
      <c r="Z13" s="88">
        <f>G13</f>
        <v>71011.939999999988</v>
      </c>
      <c r="AA13" s="88">
        <f>H13</f>
        <v>69219.31</v>
      </c>
      <c r="AB13" s="18">
        <f>SUMIF($Y$32:$Y$104,$Y13,AB$32:AB$104)</f>
        <v>71599.632293538452</v>
      </c>
      <c r="AC13" s="18">
        <f t="shared" ref="AC13:AK13" si="0">SUMIF($Y$32:$Y$104,$Y13,AC$32:AC$104)</f>
        <v>74854.161034153862</v>
      </c>
      <c r="AD13" s="18">
        <f t="shared" si="0"/>
        <v>65090.574812307692</v>
      </c>
      <c r="AE13" s="18">
        <f t="shared" si="0"/>
        <v>74854.161034153862</v>
      </c>
      <c r="AF13" s="18">
        <f t="shared" si="0"/>
        <v>71599.632293538452</v>
      </c>
      <c r="AG13" s="18">
        <f t="shared" si="0"/>
        <v>65090.574812307692</v>
      </c>
      <c r="AH13" s="18">
        <f t="shared" si="0"/>
        <v>71599.632293538452</v>
      </c>
      <c r="AI13" s="18">
        <f t="shared" si="0"/>
        <v>71599.632293538452</v>
      </c>
      <c r="AJ13" s="18">
        <f t="shared" si="0"/>
        <v>68345.103552923072</v>
      </c>
      <c r="AK13" s="18">
        <f t="shared" si="0"/>
        <v>71599.632293538452</v>
      </c>
      <c r="AL13" s="18">
        <f>SUMIF($Y$32:$Y$104,$Y13,AL$32:AL$104)</f>
        <v>843528.29240584606</v>
      </c>
    </row>
    <row r="14" spans="2:38" x14ac:dyDescent="0.35">
      <c r="F14" s="20" t="s">
        <v>20</v>
      </c>
      <c r="G14" s="88">
        <f>SUMIFS('JDE GL Act'!$H:$H,'JDE GL Act'!$J:$J,$C$6,'JDE GL Act'!$I:$I,G$12,'JDE GL Act'!$L:$L,$F14)</f>
        <v>364.21000000000004</v>
      </c>
      <c r="H14" s="88">
        <f>SUMIFS('JDE GL Act'!$H:$H,'JDE GL Act'!$J:$J,$C$6,'JDE GL Act'!$I:$I,H$12,'JDE GL Act'!$L:$L,$F14)</f>
        <v>27.749999999999972</v>
      </c>
      <c r="I14" s="88">
        <f>SUMIFS('JDE GL Act'!$H:$H,'JDE GL Act'!$J:$J,$C$6,'JDE GL Act'!$I:$I,I$12,'JDE GL Act'!$L:$L,$F14)</f>
        <v>0</v>
      </c>
      <c r="J14" s="88">
        <f>SUMIFS('JDE GL Act'!$H:$H,'JDE GL Act'!$J:$J,$C$6,'JDE GL Act'!$I:$I,J$12,'JDE GL Act'!$L:$L,$F14)</f>
        <v>0</v>
      </c>
      <c r="K14" s="88">
        <f>SUMIFS('JDE GL Act'!$H:$H,'JDE GL Act'!$J:$J,$C$6,'JDE GL Act'!$I:$I,K$12,'JDE GL Act'!$L:$L,$F14)</f>
        <v>0</v>
      </c>
      <c r="L14" s="88">
        <f>SUMIFS('JDE GL Act'!$H:$H,'JDE GL Act'!$J:$J,$C$6,'JDE GL Act'!$I:$I,L$12,'JDE GL Act'!$L:$L,$F14)</f>
        <v>0</v>
      </c>
      <c r="M14" s="88">
        <f>SUMIFS('JDE GL Act'!$H:$H,'JDE GL Act'!$J:$J,$C$6,'JDE GL Act'!$I:$I,M$12,'JDE GL Act'!$L:$L,$F14)</f>
        <v>0</v>
      </c>
      <c r="N14" s="88">
        <f>SUMIFS('JDE GL Act'!$H:$H,'JDE GL Act'!$J:$J,$C$6,'JDE GL Act'!$I:$I,N$12,'JDE GL Act'!$L:$L,$F14)</f>
        <v>0</v>
      </c>
      <c r="O14" s="88">
        <f>SUMIFS('JDE GL Act'!$H:$H,'JDE GL Act'!$J:$J,$C$6,'JDE GL Act'!$I:$I,O$12,'JDE GL Act'!$L:$L,$F14)</f>
        <v>0</v>
      </c>
      <c r="P14" s="88">
        <f>SUMIFS('JDE GL Act'!$H:$H,'JDE GL Act'!$J:$J,$C$6,'JDE GL Act'!$I:$I,P$12,'JDE GL Act'!$L:$L,$F14)</f>
        <v>0</v>
      </c>
      <c r="Q14" s="88">
        <f>SUMIFS('JDE GL Act'!$H:$H,'JDE GL Act'!$J:$J,$C$6,'JDE GL Act'!$I:$I,Q$12,'JDE GL Act'!$L:$L,$F14)</f>
        <v>0</v>
      </c>
      <c r="R14" s="88">
        <f>SUMIFS('JDE GL Act'!$H:$H,'JDE GL Act'!$J:$J,$C$6,'JDE GL Act'!$I:$I,R$12,'JDE GL Act'!$L:$L,$F14)</f>
        <v>0</v>
      </c>
      <c r="S14" s="19">
        <f t="shared" ref="S14:S29" si="1">+SUM(G14:R14)</f>
        <v>391.96000000000004</v>
      </c>
      <c r="Y14" s="17" t="str">
        <f t="shared" ref="Y14:Y29" si="2">F14</f>
        <v>Overtime</v>
      </c>
      <c r="Z14" s="88">
        <f t="shared" ref="Z14:AA29" si="3">G14</f>
        <v>364.21000000000004</v>
      </c>
      <c r="AA14" s="88">
        <f t="shared" si="3"/>
        <v>27.749999999999972</v>
      </c>
      <c r="AB14" s="18">
        <f t="shared" ref="AB14:AL29" si="4">SUMIF($Y$32:$Y$104,$Y14,AB$32:AB$104)</f>
        <v>640.40415385898132</v>
      </c>
      <c r="AC14" s="18">
        <f t="shared" si="4"/>
        <v>669.5134335798441</v>
      </c>
      <c r="AD14" s="18">
        <f t="shared" si="4"/>
        <v>582.18559441725574</v>
      </c>
      <c r="AE14" s="18">
        <f t="shared" si="4"/>
        <v>669.5134335798441</v>
      </c>
      <c r="AF14" s="18">
        <f t="shared" si="4"/>
        <v>640.40415385898132</v>
      </c>
      <c r="AG14" s="18">
        <f t="shared" si="4"/>
        <v>582.18559441725574</v>
      </c>
      <c r="AH14" s="18">
        <f t="shared" si="4"/>
        <v>640.40415385898132</v>
      </c>
      <c r="AI14" s="18">
        <f t="shared" si="4"/>
        <v>640.40415385898132</v>
      </c>
      <c r="AJ14" s="18">
        <f t="shared" si="4"/>
        <v>611.29487413811853</v>
      </c>
      <c r="AK14" s="18">
        <f t="shared" si="4"/>
        <v>640.40415385898132</v>
      </c>
      <c r="AL14" s="18">
        <f t="shared" si="4"/>
        <v>7544.7178295499125</v>
      </c>
    </row>
    <row r="15" spans="2:38" x14ac:dyDescent="0.35">
      <c r="F15" s="20" t="s">
        <v>21</v>
      </c>
      <c r="G15" s="88">
        <f>SUMIFS('JDE GL Act'!$H:$H,'JDE GL Act'!$J:$J,$C$6,'JDE GL Act'!$I:$I,G$12,'JDE GL Act'!$L:$L,$F15)</f>
        <v>26853.89</v>
      </c>
      <c r="H15" s="88">
        <f>SUMIFS('JDE GL Act'!$H:$H,'JDE GL Act'!$J:$J,$C$6,'JDE GL Act'!$I:$I,H$12,'JDE GL Act'!$L:$L,$F15)</f>
        <v>22212.77</v>
      </c>
      <c r="I15" s="88">
        <f>SUMIFS('JDE GL Act'!$H:$H,'JDE GL Act'!$J:$J,$C$6,'JDE GL Act'!$I:$I,I$12,'JDE GL Act'!$L:$L,$F15)</f>
        <v>0</v>
      </c>
      <c r="J15" s="88">
        <f>SUMIFS('JDE GL Act'!$H:$H,'JDE GL Act'!$J:$J,$C$6,'JDE GL Act'!$I:$I,J$12,'JDE GL Act'!$L:$L,$F15)</f>
        <v>0</v>
      </c>
      <c r="K15" s="88">
        <f>SUMIFS('JDE GL Act'!$H:$H,'JDE GL Act'!$J:$J,$C$6,'JDE GL Act'!$I:$I,K$12,'JDE GL Act'!$L:$L,$F15)</f>
        <v>0</v>
      </c>
      <c r="L15" s="88">
        <f>SUMIFS('JDE GL Act'!$H:$H,'JDE GL Act'!$J:$J,$C$6,'JDE GL Act'!$I:$I,L$12,'JDE GL Act'!$L:$L,$F15)</f>
        <v>0</v>
      </c>
      <c r="M15" s="88">
        <f>SUMIFS('JDE GL Act'!$H:$H,'JDE GL Act'!$J:$J,$C$6,'JDE GL Act'!$I:$I,M$12,'JDE GL Act'!$L:$L,$F15)</f>
        <v>0</v>
      </c>
      <c r="N15" s="88">
        <f>SUMIFS('JDE GL Act'!$H:$H,'JDE GL Act'!$J:$J,$C$6,'JDE GL Act'!$I:$I,N$12,'JDE GL Act'!$L:$L,$F15)</f>
        <v>0</v>
      </c>
      <c r="O15" s="88">
        <f>SUMIFS('JDE GL Act'!$H:$H,'JDE GL Act'!$J:$J,$C$6,'JDE GL Act'!$I:$I,O$12,'JDE GL Act'!$L:$L,$F15)</f>
        <v>0</v>
      </c>
      <c r="P15" s="88">
        <f>SUMIFS('JDE GL Act'!$H:$H,'JDE GL Act'!$J:$J,$C$6,'JDE GL Act'!$I:$I,P$12,'JDE GL Act'!$L:$L,$F15)</f>
        <v>0</v>
      </c>
      <c r="Q15" s="88">
        <f>SUMIFS('JDE GL Act'!$H:$H,'JDE GL Act'!$J:$J,$C$6,'JDE GL Act'!$I:$I,Q$12,'JDE GL Act'!$L:$L,$F15)</f>
        <v>0</v>
      </c>
      <c r="R15" s="88">
        <f>SUMIFS('JDE GL Act'!$H:$H,'JDE GL Act'!$J:$J,$C$6,'JDE GL Act'!$I:$I,R$12,'JDE GL Act'!$L:$L,$F15)</f>
        <v>0</v>
      </c>
      <c r="S15" s="19">
        <f t="shared" si="1"/>
        <v>49066.66</v>
      </c>
      <c r="Y15" s="17" t="str">
        <f t="shared" si="2"/>
        <v>Fringe Benefits</v>
      </c>
      <c r="Z15" s="88">
        <f t="shared" si="3"/>
        <v>26853.89</v>
      </c>
      <c r="AA15" s="88">
        <f t="shared" si="3"/>
        <v>22212.77</v>
      </c>
      <c r="AB15" s="18">
        <f t="shared" si="4"/>
        <v>24862.472631687073</v>
      </c>
      <c r="AC15" s="18">
        <f t="shared" si="4"/>
        <v>24463.949425550702</v>
      </c>
      <c r="AD15" s="18">
        <f t="shared" si="4"/>
        <v>21391.259705430581</v>
      </c>
      <c r="AE15" s="18">
        <f t="shared" si="4"/>
        <v>22872.35500584478</v>
      </c>
      <c r="AF15" s="18">
        <f t="shared" si="4"/>
        <v>27719.846651273379</v>
      </c>
      <c r="AG15" s="18">
        <f t="shared" si="4"/>
        <v>23113.688604838269</v>
      </c>
      <c r="AH15" s="18">
        <f t="shared" si="4"/>
        <v>24862.472631687073</v>
      </c>
      <c r="AI15" s="18">
        <f t="shared" si="4"/>
        <v>24889.011565548535</v>
      </c>
      <c r="AJ15" s="18">
        <f t="shared" si="4"/>
        <v>23959.760547900441</v>
      </c>
      <c r="AK15" s="18">
        <f t="shared" si="4"/>
        <v>24889.011565548535</v>
      </c>
      <c r="AL15" s="18">
        <f t="shared" si="4"/>
        <v>291159.39718482119</v>
      </c>
    </row>
    <row r="16" spans="2:38" x14ac:dyDescent="0.35">
      <c r="F16" s="20" t="s">
        <v>22</v>
      </c>
      <c r="G16" s="88">
        <f>SUMIFS('JDE GL Act'!$H:$H,'JDE GL Act'!$J:$J,$C$6,'JDE GL Act'!$I:$I,G$12,'JDE GL Act'!$L:$L,$F16)</f>
        <v>0</v>
      </c>
      <c r="H16" s="88">
        <f>SUMIFS('JDE GL Act'!$H:$H,'JDE GL Act'!$J:$J,$C$6,'JDE GL Act'!$I:$I,H$12,'JDE GL Act'!$L:$L,$F16)</f>
        <v>0</v>
      </c>
      <c r="I16" s="88">
        <f>SUMIFS('JDE GL Act'!$H:$H,'JDE GL Act'!$J:$J,$C$6,'JDE GL Act'!$I:$I,I$12,'JDE GL Act'!$L:$L,$F16)</f>
        <v>0</v>
      </c>
      <c r="J16" s="88">
        <f>SUMIFS('JDE GL Act'!$H:$H,'JDE GL Act'!$J:$J,$C$6,'JDE GL Act'!$I:$I,J$12,'JDE GL Act'!$L:$L,$F16)</f>
        <v>0</v>
      </c>
      <c r="K16" s="88">
        <f>SUMIFS('JDE GL Act'!$H:$H,'JDE GL Act'!$J:$J,$C$6,'JDE GL Act'!$I:$I,K$12,'JDE GL Act'!$L:$L,$F16)</f>
        <v>0</v>
      </c>
      <c r="L16" s="88">
        <f>SUMIFS('JDE GL Act'!$H:$H,'JDE GL Act'!$J:$J,$C$6,'JDE GL Act'!$I:$I,L$12,'JDE GL Act'!$L:$L,$F16)</f>
        <v>0</v>
      </c>
      <c r="M16" s="88">
        <f>SUMIFS('JDE GL Act'!$H:$H,'JDE GL Act'!$J:$J,$C$6,'JDE GL Act'!$I:$I,M$12,'JDE GL Act'!$L:$L,$F16)</f>
        <v>0</v>
      </c>
      <c r="N16" s="88">
        <f>SUMIFS('JDE GL Act'!$H:$H,'JDE GL Act'!$J:$J,$C$6,'JDE GL Act'!$I:$I,N$12,'JDE GL Act'!$L:$L,$F16)</f>
        <v>0</v>
      </c>
      <c r="O16" s="88">
        <f>SUMIFS('JDE GL Act'!$H:$H,'JDE GL Act'!$J:$J,$C$6,'JDE GL Act'!$I:$I,O$12,'JDE GL Act'!$L:$L,$F16)</f>
        <v>0</v>
      </c>
      <c r="P16" s="88">
        <f>SUMIFS('JDE GL Act'!$H:$H,'JDE GL Act'!$J:$J,$C$6,'JDE GL Act'!$I:$I,P$12,'JDE GL Act'!$L:$L,$F16)</f>
        <v>0</v>
      </c>
      <c r="Q16" s="88">
        <f>SUMIFS('JDE GL Act'!$H:$H,'JDE GL Act'!$J:$J,$C$6,'JDE GL Act'!$I:$I,Q$12,'JDE GL Act'!$L:$L,$F16)</f>
        <v>0</v>
      </c>
      <c r="R16" s="88">
        <f>SUMIFS('JDE GL Act'!$H:$H,'JDE GL Act'!$J:$J,$C$6,'JDE GL Act'!$I:$I,R$12,'JDE GL Act'!$L:$L,$F16)</f>
        <v>0</v>
      </c>
      <c r="S16" s="19">
        <f t="shared" si="1"/>
        <v>0</v>
      </c>
      <c r="Y16" s="17" t="str">
        <f t="shared" si="2"/>
        <v>Employee Related Expenses</v>
      </c>
      <c r="Z16" s="88">
        <f t="shared" si="3"/>
        <v>0</v>
      </c>
      <c r="AA16" s="88">
        <f t="shared" si="3"/>
        <v>0</v>
      </c>
      <c r="AB16" s="18">
        <f t="shared" si="4"/>
        <v>0</v>
      </c>
      <c r="AC16" s="18">
        <f t="shared" si="4"/>
        <v>0</v>
      </c>
      <c r="AD16" s="18">
        <f t="shared" si="4"/>
        <v>0</v>
      </c>
      <c r="AE16" s="18">
        <f t="shared" si="4"/>
        <v>0</v>
      </c>
      <c r="AF16" s="18">
        <f t="shared" si="4"/>
        <v>0</v>
      </c>
      <c r="AG16" s="18">
        <f t="shared" si="4"/>
        <v>3000</v>
      </c>
      <c r="AH16" s="18">
        <f t="shared" si="4"/>
        <v>0</v>
      </c>
      <c r="AI16" s="18">
        <f t="shared" si="4"/>
        <v>0</v>
      </c>
      <c r="AJ16" s="18">
        <f t="shared" si="4"/>
        <v>0</v>
      </c>
      <c r="AK16" s="18">
        <f t="shared" si="4"/>
        <v>63500</v>
      </c>
      <c r="AL16" s="18">
        <f t="shared" si="4"/>
        <v>67500</v>
      </c>
    </row>
    <row r="17" spans="6:38" x14ac:dyDescent="0.35">
      <c r="F17" s="20" t="s">
        <v>23</v>
      </c>
      <c r="G17" s="88">
        <f>SUMIFS('JDE GL Act'!$H:$H,'JDE GL Act'!$J:$J,$C$6,'JDE GL Act'!$I:$I,G$12,'JDE GL Act'!$L:$L,$F17)</f>
        <v>907.76</v>
      </c>
      <c r="H17" s="88">
        <f>SUMIFS('JDE GL Act'!$H:$H,'JDE GL Act'!$J:$J,$C$6,'JDE GL Act'!$I:$I,H$12,'JDE GL Act'!$L:$L,$F17)</f>
        <v>2362.91</v>
      </c>
      <c r="I17" s="88">
        <f>SUMIFS('JDE GL Act'!$H:$H,'JDE GL Act'!$J:$J,$C$6,'JDE GL Act'!$I:$I,I$12,'JDE GL Act'!$L:$L,$F17)</f>
        <v>0</v>
      </c>
      <c r="J17" s="88">
        <f>SUMIFS('JDE GL Act'!$H:$H,'JDE GL Act'!$J:$J,$C$6,'JDE GL Act'!$I:$I,J$12,'JDE GL Act'!$L:$L,$F17)</f>
        <v>0</v>
      </c>
      <c r="K17" s="88">
        <f>SUMIFS('JDE GL Act'!$H:$H,'JDE GL Act'!$J:$J,$C$6,'JDE GL Act'!$I:$I,K$12,'JDE GL Act'!$L:$L,$F17)</f>
        <v>0</v>
      </c>
      <c r="L17" s="88">
        <f>SUMIFS('JDE GL Act'!$H:$H,'JDE GL Act'!$J:$J,$C$6,'JDE GL Act'!$I:$I,L$12,'JDE GL Act'!$L:$L,$F17)</f>
        <v>0</v>
      </c>
      <c r="M17" s="88">
        <f>SUMIFS('JDE GL Act'!$H:$H,'JDE GL Act'!$J:$J,$C$6,'JDE GL Act'!$I:$I,M$12,'JDE GL Act'!$L:$L,$F17)</f>
        <v>0</v>
      </c>
      <c r="N17" s="88">
        <f>SUMIFS('JDE GL Act'!$H:$H,'JDE GL Act'!$J:$J,$C$6,'JDE GL Act'!$I:$I,N$12,'JDE GL Act'!$L:$L,$F17)</f>
        <v>0</v>
      </c>
      <c r="O17" s="88">
        <f>SUMIFS('JDE GL Act'!$H:$H,'JDE GL Act'!$J:$J,$C$6,'JDE GL Act'!$I:$I,O$12,'JDE GL Act'!$L:$L,$F17)</f>
        <v>0</v>
      </c>
      <c r="P17" s="88">
        <f>SUMIFS('JDE GL Act'!$H:$H,'JDE GL Act'!$J:$J,$C$6,'JDE GL Act'!$I:$I,P$12,'JDE GL Act'!$L:$L,$F17)</f>
        <v>0</v>
      </c>
      <c r="Q17" s="88">
        <f>SUMIFS('JDE GL Act'!$H:$H,'JDE GL Act'!$J:$J,$C$6,'JDE GL Act'!$I:$I,Q$12,'JDE GL Act'!$L:$L,$F17)</f>
        <v>0</v>
      </c>
      <c r="R17" s="88">
        <f>SUMIFS('JDE GL Act'!$H:$H,'JDE GL Act'!$J:$J,$C$6,'JDE GL Act'!$I:$I,R$12,'JDE GL Act'!$L:$L,$F17)</f>
        <v>0</v>
      </c>
      <c r="S17" s="19">
        <f t="shared" si="1"/>
        <v>3270.67</v>
      </c>
      <c r="Y17" s="17" t="str">
        <f t="shared" si="2"/>
        <v>Travel &amp; Entertainment</v>
      </c>
      <c r="Z17" s="88">
        <f t="shared" si="3"/>
        <v>907.76</v>
      </c>
      <c r="AA17" s="88">
        <f t="shared" si="3"/>
        <v>2362.91</v>
      </c>
      <c r="AB17" s="18">
        <f t="shared" si="4"/>
        <v>1770</v>
      </c>
      <c r="AC17" s="18">
        <f t="shared" si="4"/>
        <v>1770</v>
      </c>
      <c r="AD17" s="18">
        <f t="shared" si="4"/>
        <v>0</v>
      </c>
      <c r="AE17" s="18">
        <f t="shared" si="4"/>
        <v>0</v>
      </c>
      <c r="AF17" s="18">
        <f t="shared" si="4"/>
        <v>0</v>
      </c>
      <c r="AG17" s="18">
        <f t="shared" si="4"/>
        <v>0</v>
      </c>
      <c r="AH17" s="18">
        <f t="shared" si="4"/>
        <v>1770</v>
      </c>
      <c r="AI17" s="18">
        <f t="shared" si="4"/>
        <v>0</v>
      </c>
      <c r="AJ17" s="18">
        <f t="shared" si="4"/>
        <v>0</v>
      </c>
      <c r="AK17" s="18">
        <f t="shared" si="4"/>
        <v>0</v>
      </c>
      <c r="AL17" s="18">
        <f t="shared" si="4"/>
        <v>7080</v>
      </c>
    </row>
    <row r="18" spans="6:38" x14ac:dyDescent="0.35">
      <c r="F18" s="20" t="s">
        <v>24</v>
      </c>
      <c r="G18" s="88">
        <f>SUMIFS('JDE GL Act'!$H:$H,'JDE GL Act'!$J:$J,$C$6,'JDE GL Act'!$I:$I,G$12,'JDE GL Act'!$L:$L,$F18)</f>
        <v>-2291.94</v>
      </c>
      <c r="H18" s="88">
        <f>SUMIFS('JDE GL Act'!$H:$H,'JDE GL Act'!$J:$J,$C$6,'JDE GL Act'!$I:$I,H$12,'JDE GL Act'!$L:$L,$F18)</f>
        <v>5983.6900000000005</v>
      </c>
      <c r="I18" s="88">
        <f>SUMIFS('JDE GL Act'!$H:$H,'JDE GL Act'!$J:$J,$C$6,'JDE GL Act'!$I:$I,I$12,'JDE GL Act'!$L:$L,$F18)</f>
        <v>0</v>
      </c>
      <c r="J18" s="88">
        <f>SUMIFS('JDE GL Act'!$H:$H,'JDE GL Act'!$J:$J,$C$6,'JDE GL Act'!$I:$I,J$12,'JDE GL Act'!$L:$L,$F18)</f>
        <v>0</v>
      </c>
      <c r="K18" s="88">
        <f>SUMIFS('JDE GL Act'!$H:$H,'JDE GL Act'!$J:$J,$C$6,'JDE GL Act'!$I:$I,K$12,'JDE GL Act'!$L:$L,$F18)</f>
        <v>0</v>
      </c>
      <c r="L18" s="88">
        <f>SUMIFS('JDE GL Act'!$H:$H,'JDE GL Act'!$J:$J,$C$6,'JDE GL Act'!$I:$I,L$12,'JDE GL Act'!$L:$L,$F18)</f>
        <v>0</v>
      </c>
      <c r="M18" s="88">
        <f>SUMIFS('JDE GL Act'!$H:$H,'JDE GL Act'!$J:$J,$C$6,'JDE GL Act'!$I:$I,M$12,'JDE GL Act'!$L:$L,$F18)</f>
        <v>0</v>
      </c>
      <c r="N18" s="88">
        <f>SUMIFS('JDE GL Act'!$H:$H,'JDE GL Act'!$J:$J,$C$6,'JDE GL Act'!$I:$I,N$12,'JDE GL Act'!$L:$L,$F18)</f>
        <v>0</v>
      </c>
      <c r="O18" s="88">
        <f>SUMIFS('JDE GL Act'!$H:$H,'JDE GL Act'!$J:$J,$C$6,'JDE GL Act'!$I:$I,O$12,'JDE GL Act'!$L:$L,$F18)</f>
        <v>0</v>
      </c>
      <c r="P18" s="88">
        <f>SUMIFS('JDE GL Act'!$H:$H,'JDE GL Act'!$J:$J,$C$6,'JDE GL Act'!$I:$I,P$12,'JDE GL Act'!$L:$L,$F18)</f>
        <v>0</v>
      </c>
      <c r="Q18" s="88">
        <f>SUMIFS('JDE GL Act'!$H:$H,'JDE GL Act'!$J:$J,$C$6,'JDE GL Act'!$I:$I,Q$12,'JDE GL Act'!$L:$L,$F18)</f>
        <v>0</v>
      </c>
      <c r="R18" s="88">
        <f>SUMIFS('JDE GL Act'!$H:$H,'JDE GL Act'!$J:$J,$C$6,'JDE GL Act'!$I:$I,R$12,'JDE GL Act'!$L:$L,$F18)</f>
        <v>0</v>
      </c>
      <c r="S18" s="19">
        <f t="shared" si="1"/>
        <v>3691.7500000000005</v>
      </c>
      <c r="Y18" s="17" t="str">
        <f t="shared" si="2"/>
        <v>Supplies Expenses</v>
      </c>
      <c r="Z18" s="88">
        <f t="shared" si="3"/>
        <v>-2291.94</v>
      </c>
      <c r="AA18" s="88">
        <f t="shared" si="3"/>
        <v>5983.6900000000005</v>
      </c>
      <c r="AB18" s="18">
        <f t="shared" si="4"/>
        <v>1900</v>
      </c>
      <c r="AC18" s="18">
        <f t="shared" si="4"/>
        <v>800</v>
      </c>
      <c r="AD18" s="18">
        <f t="shared" si="4"/>
        <v>900</v>
      </c>
      <c r="AE18" s="18">
        <f t="shared" si="4"/>
        <v>2400</v>
      </c>
      <c r="AF18" s="18">
        <f t="shared" si="4"/>
        <v>1100</v>
      </c>
      <c r="AG18" s="18">
        <f t="shared" si="4"/>
        <v>800</v>
      </c>
      <c r="AH18" s="18">
        <f t="shared" si="4"/>
        <v>1000</v>
      </c>
      <c r="AI18" s="18">
        <f t="shared" si="4"/>
        <v>800</v>
      </c>
      <c r="AJ18" s="18">
        <f t="shared" si="4"/>
        <v>3000</v>
      </c>
      <c r="AK18" s="18">
        <f t="shared" si="4"/>
        <v>12600</v>
      </c>
      <c r="AL18" s="18">
        <f t="shared" si="4"/>
        <v>28300</v>
      </c>
    </row>
    <row r="19" spans="6:38" x14ac:dyDescent="0.35">
      <c r="F19" s="20" t="s">
        <v>25</v>
      </c>
      <c r="G19" s="88">
        <f>SUMIFS('JDE GL Act'!$H:$H,'JDE GL Act'!$J:$J,$C$6,'JDE GL Act'!$I:$I,G$12,'JDE GL Act'!$L:$L,$F19)</f>
        <v>0</v>
      </c>
      <c r="H19" s="88">
        <f>SUMIFS('JDE GL Act'!$H:$H,'JDE GL Act'!$J:$J,$C$6,'JDE GL Act'!$I:$I,H$12,'JDE GL Act'!$L:$L,$F19)</f>
        <v>0</v>
      </c>
      <c r="I19" s="88">
        <f>SUMIFS('JDE GL Act'!$H:$H,'JDE GL Act'!$J:$J,$C$6,'JDE GL Act'!$I:$I,I$12,'JDE GL Act'!$L:$L,$F19)</f>
        <v>0</v>
      </c>
      <c r="J19" s="88">
        <f>SUMIFS('JDE GL Act'!$H:$H,'JDE GL Act'!$J:$J,$C$6,'JDE GL Act'!$I:$I,J$12,'JDE GL Act'!$L:$L,$F19)</f>
        <v>0</v>
      </c>
      <c r="K19" s="88">
        <f>SUMIFS('JDE GL Act'!$H:$H,'JDE GL Act'!$J:$J,$C$6,'JDE GL Act'!$I:$I,K$12,'JDE GL Act'!$L:$L,$F19)</f>
        <v>0</v>
      </c>
      <c r="L19" s="88">
        <f>SUMIFS('JDE GL Act'!$H:$H,'JDE GL Act'!$J:$J,$C$6,'JDE GL Act'!$I:$I,L$12,'JDE GL Act'!$L:$L,$F19)</f>
        <v>0</v>
      </c>
      <c r="M19" s="88">
        <f>SUMIFS('JDE GL Act'!$H:$H,'JDE GL Act'!$J:$J,$C$6,'JDE GL Act'!$I:$I,M$12,'JDE GL Act'!$L:$L,$F19)</f>
        <v>0</v>
      </c>
      <c r="N19" s="88">
        <f>SUMIFS('JDE GL Act'!$H:$H,'JDE GL Act'!$J:$J,$C$6,'JDE GL Act'!$I:$I,N$12,'JDE GL Act'!$L:$L,$F19)</f>
        <v>0</v>
      </c>
      <c r="O19" s="88">
        <f>SUMIFS('JDE GL Act'!$H:$H,'JDE GL Act'!$J:$J,$C$6,'JDE GL Act'!$I:$I,O$12,'JDE GL Act'!$L:$L,$F19)</f>
        <v>0</v>
      </c>
      <c r="P19" s="88">
        <f>SUMIFS('JDE GL Act'!$H:$H,'JDE GL Act'!$J:$J,$C$6,'JDE GL Act'!$I:$I,P$12,'JDE GL Act'!$L:$L,$F19)</f>
        <v>0</v>
      </c>
      <c r="Q19" s="88">
        <f>SUMIFS('JDE GL Act'!$H:$H,'JDE GL Act'!$J:$J,$C$6,'JDE GL Act'!$I:$I,Q$12,'JDE GL Act'!$L:$L,$F19)</f>
        <v>0</v>
      </c>
      <c r="R19" s="88">
        <f>SUMIFS('JDE GL Act'!$H:$H,'JDE GL Act'!$J:$J,$C$6,'JDE GL Act'!$I:$I,R$12,'JDE GL Act'!$L:$L,$F19)</f>
        <v>0</v>
      </c>
      <c r="S19" s="19">
        <f t="shared" si="1"/>
        <v>0</v>
      </c>
      <c r="Y19" s="17" t="str">
        <f t="shared" si="2"/>
        <v>Repairs &amp; Maintenance</v>
      </c>
      <c r="Z19" s="88">
        <f t="shared" si="3"/>
        <v>0</v>
      </c>
      <c r="AA19" s="88">
        <f t="shared" si="3"/>
        <v>0</v>
      </c>
      <c r="AB19" s="18">
        <f t="shared" si="4"/>
        <v>0</v>
      </c>
      <c r="AC19" s="18">
        <f t="shared" si="4"/>
        <v>0</v>
      </c>
      <c r="AD19" s="18">
        <f t="shared" si="4"/>
        <v>0</v>
      </c>
      <c r="AE19" s="18">
        <f t="shared" si="4"/>
        <v>0</v>
      </c>
      <c r="AF19" s="18">
        <f t="shared" si="4"/>
        <v>0</v>
      </c>
      <c r="AG19" s="18">
        <f t="shared" si="4"/>
        <v>0</v>
      </c>
      <c r="AH19" s="18">
        <f t="shared" si="4"/>
        <v>0</v>
      </c>
      <c r="AI19" s="18">
        <f t="shared" si="4"/>
        <v>0</v>
      </c>
      <c r="AJ19" s="18">
        <f t="shared" si="4"/>
        <v>0</v>
      </c>
      <c r="AK19" s="18">
        <f t="shared" si="4"/>
        <v>0</v>
      </c>
      <c r="AL19" s="18">
        <f t="shared" si="4"/>
        <v>0</v>
      </c>
    </row>
    <row r="20" spans="6:38" x14ac:dyDescent="0.35">
      <c r="F20" s="20" t="s">
        <v>26</v>
      </c>
      <c r="G20" s="88">
        <f>SUMIFS('JDE GL Act'!$H:$H,'JDE GL Act'!$J:$J,$C$6,'JDE GL Act'!$I:$I,G$12,'JDE GL Act'!$L:$L,$F20)</f>
        <v>0</v>
      </c>
      <c r="H20" s="88">
        <f>SUMIFS('JDE GL Act'!$H:$H,'JDE GL Act'!$J:$J,$C$6,'JDE GL Act'!$I:$I,H$12,'JDE GL Act'!$L:$L,$F20)</f>
        <v>0</v>
      </c>
      <c r="I20" s="88">
        <f>SUMIFS('JDE GL Act'!$H:$H,'JDE GL Act'!$J:$J,$C$6,'JDE GL Act'!$I:$I,I$12,'JDE GL Act'!$L:$L,$F20)</f>
        <v>0</v>
      </c>
      <c r="J20" s="88">
        <f>SUMIFS('JDE GL Act'!$H:$H,'JDE GL Act'!$J:$J,$C$6,'JDE GL Act'!$I:$I,J$12,'JDE GL Act'!$L:$L,$F20)</f>
        <v>0</v>
      </c>
      <c r="K20" s="88">
        <f>SUMIFS('JDE GL Act'!$H:$H,'JDE GL Act'!$J:$J,$C$6,'JDE GL Act'!$I:$I,K$12,'JDE GL Act'!$L:$L,$F20)</f>
        <v>0</v>
      </c>
      <c r="L20" s="88">
        <f>SUMIFS('JDE GL Act'!$H:$H,'JDE GL Act'!$J:$J,$C$6,'JDE GL Act'!$I:$I,L$12,'JDE GL Act'!$L:$L,$F20)</f>
        <v>0</v>
      </c>
      <c r="M20" s="88">
        <f>SUMIFS('JDE GL Act'!$H:$H,'JDE GL Act'!$J:$J,$C$6,'JDE GL Act'!$I:$I,M$12,'JDE GL Act'!$L:$L,$F20)</f>
        <v>0</v>
      </c>
      <c r="N20" s="88">
        <f>SUMIFS('JDE GL Act'!$H:$H,'JDE GL Act'!$J:$J,$C$6,'JDE GL Act'!$I:$I,N$12,'JDE GL Act'!$L:$L,$F20)</f>
        <v>0</v>
      </c>
      <c r="O20" s="88">
        <f>SUMIFS('JDE GL Act'!$H:$H,'JDE GL Act'!$J:$J,$C$6,'JDE GL Act'!$I:$I,O$12,'JDE GL Act'!$L:$L,$F20)</f>
        <v>0</v>
      </c>
      <c r="P20" s="88">
        <f>SUMIFS('JDE GL Act'!$H:$H,'JDE GL Act'!$J:$J,$C$6,'JDE GL Act'!$I:$I,P$12,'JDE GL Act'!$L:$L,$F20)</f>
        <v>0</v>
      </c>
      <c r="Q20" s="88">
        <f>SUMIFS('JDE GL Act'!$H:$H,'JDE GL Act'!$J:$J,$C$6,'JDE GL Act'!$I:$I,Q$12,'JDE GL Act'!$L:$L,$F20)</f>
        <v>0</v>
      </c>
      <c r="R20" s="88">
        <f>SUMIFS('JDE GL Act'!$H:$H,'JDE GL Act'!$J:$J,$C$6,'JDE GL Act'!$I:$I,R$12,'JDE GL Act'!$L:$L,$F20)</f>
        <v>0</v>
      </c>
      <c r="S20" s="19">
        <f t="shared" si="1"/>
        <v>0</v>
      </c>
      <c r="Y20" s="17" t="str">
        <f t="shared" si="2"/>
        <v>Utilities</v>
      </c>
      <c r="Z20" s="88">
        <f t="shared" si="3"/>
        <v>0</v>
      </c>
      <c r="AA20" s="88">
        <f t="shared" si="3"/>
        <v>0</v>
      </c>
      <c r="AB20" s="18">
        <f t="shared" si="4"/>
        <v>0</v>
      </c>
      <c r="AC20" s="18">
        <f t="shared" si="4"/>
        <v>0</v>
      </c>
      <c r="AD20" s="18">
        <f t="shared" si="4"/>
        <v>0</v>
      </c>
      <c r="AE20" s="18">
        <f t="shared" si="4"/>
        <v>0</v>
      </c>
      <c r="AF20" s="18">
        <f t="shared" si="4"/>
        <v>0</v>
      </c>
      <c r="AG20" s="18">
        <f t="shared" si="4"/>
        <v>0</v>
      </c>
      <c r="AH20" s="18">
        <f t="shared" si="4"/>
        <v>0</v>
      </c>
      <c r="AI20" s="18">
        <f t="shared" si="4"/>
        <v>0</v>
      </c>
      <c r="AJ20" s="18">
        <f t="shared" si="4"/>
        <v>0</v>
      </c>
      <c r="AK20" s="18">
        <f t="shared" si="4"/>
        <v>0</v>
      </c>
      <c r="AL20" s="18">
        <f t="shared" si="4"/>
        <v>0</v>
      </c>
    </row>
    <row r="21" spans="6:38" x14ac:dyDescent="0.35">
      <c r="F21" s="20" t="s">
        <v>27</v>
      </c>
      <c r="G21" s="88">
        <f>SUMIFS('JDE GL Act'!$H:$H,'JDE GL Act'!$J:$J,$C$6,'JDE GL Act'!$I:$I,G$12,'JDE GL Act'!$L:$L,$F21)</f>
        <v>42145.78</v>
      </c>
      <c r="H21" s="88">
        <f>SUMIFS('JDE GL Act'!$H:$H,'JDE GL Act'!$J:$J,$C$6,'JDE GL Act'!$I:$I,H$12,'JDE GL Act'!$L:$L,$F21)</f>
        <v>9676.3799999999992</v>
      </c>
      <c r="I21" s="88">
        <f>SUMIFS('JDE GL Act'!$H:$H,'JDE GL Act'!$J:$J,$C$6,'JDE GL Act'!$I:$I,I$12,'JDE GL Act'!$L:$L,$F21)</f>
        <v>0</v>
      </c>
      <c r="J21" s="88">
        <f>SUMIFS('JDE GL Act'!$H:$H,'JDE GL Act'!$J:$J,$C$6,'JDE GL Act'!$I:$I,J$12,'JDE GL Act'!$L:$L,$F21)</f>
        <v>0</v>
      </c>
      <c r="K21" s="88">
        <f>SUMIFS('JDE GL Act'!$H:$H,'JDE GL Act'!$J:$J,$C$6,'JDE GL Act'!$I:$I,K$12,'JDE GL Act'!$L:$L,$F21)</f>
        <v>0</v>
      </c>
      <c r="L21" s="88">
        <f>SUMIFS('JDE GL Act'!$H:$H,'JDE GL Act'!$J:$J,$C$6,'JDE GL Act'!$I:$I,L$12,'JDE GL Act'!$L:$L,$F21)</f>
        <v>0</v>
      </c>
      <c r="M21" s="88">
        <f>SUMIFS('JDE GL Act'!$H:$H,'JDE GL Act'!$J:$J,$C$6,'JDE GL Act'!$I:$I,M$12,'JDE GL Act'!$L:$L,$F21)</f>
        <v>0</v>
      </c>
      <c r="N21" s="88">
        <f>SUMIFS('JDE GL Act'!$H:$H,'JDE GL Act'!$J:$J,$C$6,'JDE GL Act'!$I:$I,N$12,'JDE GL Act'!$L:$L,$F21)</f>
        <v>0</v>
      </c>
      <c r="O21" s="88">
        <f>SUMIFS('JDE GL Act'!$H:$H,'JDE GL Act'!$J:$J,$C$6,'JDE GL Act'!$I:$I,O$12,'JDE GL Act'!$L:$L,$F21)</f>
        <v>0</v>
      </c>
      <c r="P21" s="88">
        <f>SUMIFS('JDE GL Act'!$H:$H,'JDE GL Act'!$J:$J,$C$6,'JDE GL Act'!$I:$I,P$12,'JDE GL Act'!$L:$L,$F21)</f>
        <v>0</v>
      </c>
      <c r="Q21" s="88">
        <f>SUMIFS('JDE GL Act'!$H:$H,'JDE GL Act'!$J:$J,$C$6,'JDE GL Act'!$I:$I,Q$12,'JDE GL Act'!$L:$L,$F21)</f>
        <v>0</v>
      </c>
      <c r="R21" s="88">
        <f>SUMIFS('JDE GL Act'!$H:$H,'JDE GL Act'!$J:$J,$C$6,'JDE GL Act'!$I:$I,R$12,'JDE GL Act'!$L:$L,$F21)</f>
        <v>0</v>
      </c>
      <c r="S21" s="19">
        <f t="shared" si="1"/>
        <v>51822.159999999996</v>
      </c>
      <c r="Y21" s="17" t="str">
        <f t="shared" si="2"/>
        <v>Outside Services</v>
      </c>
      <c r="Z21" s="88">
        <f t="shared" si="3"/>
        <v>42145.78</v>
      </c>
      <c r="AA21" s="88">
        <f t="shared" si="3"/>
        <v>9676.3799999999992</v>
      </c>
      <c r="AB21" s="18">
        <f t="shared" si="4"/>
        <v>76800</v>
      </c>
      <c r="AC21" s="18">
        <f t="shared" si="4"/>
        <v>16500</v>
      </c>
      <c r="AD21" s="18">
        <f t="shared" si="4"/>
        <v>56500</v>
      </c>
      <c r="AE21" s="18">
        <f t="shared" si="4"/>
        <v>65900</v>
      </c>
      <c r="AF21" s="18">
        <f t="shared" si="4"/>
        <v>24400</v>
      </c>
      <c r="AG21" s="18">
        <f t="shared" si="4"/>
        <v>41850</v>
      </c>
      <c r="AH21" s="18">
        <f t="shared" si="4"/>
        <v>90300</v>
      </c>
      <c r="AI21" s="18">
        <f t="shared" si="4"/>
        <v>28400</v>
      </c>
      <c r="AJ21" s="18">
        <f t="shared" si="4"/>
        <v>31500</v>
      </c>
      <c r="AK21" s="18">
        <f t="shared" si="4"/>
        <v>100900</v>
      </c>
      <c r="AL21" s="18">
        <f t="shared" si="4"/>
        <v>654750</v>
      </c>
    </row>
    <row r="22" spans="6:38" x14ac:dyDescent="0.35">
      <c r="F22" s="20" t="s">
        <v>28</v>
      </c>
      <c r="G22" s="88">
        <f>SUMIFS('JDE GL Act'!$H:$H,'JDE GL Act'!$J:$J,$C$6,'JDE GL Act'!$I:$I,G$12,'JDE GL Act'!$L:$L,$F22)</f>
        <v>34.450000000000003</v>
      </c>
      <c r="H22" s="88">
        <f>SUMIFS('JDE GL Act'!$H:$H,'JDE GL Act'!$J:$J,$C$6,'JDE GL Act'!$I:$I,H$12,'JDE GL Act'!$L:$L,$F22)</f>
        <v>0</v>
      </c>
      <c r="I22" s="88">
        <f>SUMIFS('JDE GL Act'!$H:$H,'JDE GL Act'!$J:$J,$C$6,'JDE GL Act'!$I:$I,I$12,'JDE GL Act'!$L:$L,$F22)</f>
        <v>0</v>
      </c>
      <c r="J22" s="88">
        <f>SUMIFS('JDE GL Act'!$H:$H,'JDE GL Act'!$J:$J,$C$6,'JDE GL Act'!$I:$I,J$12,'JDE GL Act'!$L:$L,$F22)</f>
        <v>0</v>
      </c>
      <c r="K22" s="88">
        <f>SUMIFS('JDE GL Act'!$H:$H,'JDE GL Act'!$J:$J,$C$6,'JDE GL Act'!$I:$I,K$12,'JDE GL Act'!$L:$L,$F22)</f>
        <v>0</v>
      </c>
      <c r="L22" s="88">
        <f>SUMIFS('JDE GL Act'!$H:$H,'JDE GL Act'!$J:$J,$C$6,'JDE GL Act'!$I:$I,L$12,'JDE GL Act'!$L:$L,$F22)</f>
        <v>0</v>
      </c>
      <c r="M22" s="88">
        <f>SUMIFS('JDE GL Act'!$H:$H,'JDE GL Act'!$J:$J,$C$6,'JDE GL Act'!$I:$I,M$12,'JDE GL Act'!$L:$L,$F22)</f>
        <v>0</v>
      </c>
      <c r="N22" s="88">
        <f>SUMIFS('JDE GL Act'!$H:$H,'JDE GL Act'!$J:$J,$C$6,'JDE GL Act'!$I:$I,N$12,'JDE GL Act'!$L:$L,$F22)</f>
        <v>0</v>
      </c>
      <c r="O22" s="88">
        <f>SUMIFS('JDE GL Act'!$H:$H,'JDE GL Act'!$J:$J,$C$6,'JDE GL Act'!$I:$I,O$12,'JDE GL Act'!$L:$L,$F22)</f>
        <v>0</v>
      </c>
      <c r="P22" s="88">
        <f>SUMIFS('JDE GL Act'!$H:$H,'JDE GL Act'!$J:$J,$C$6,'JDE GL Act'!$I:$I,P$12,'JDE GL Act'!$L:$L,$F22)</f>
        <v>0</v>
      </c>
      <c r="Q22" s="88">
        <f>SUMIFS('JDE GL Act'!$H:$H,'JDE GL Act'!$J:$J,$C$6,'JDE GL Act'!$I:$I,Q$12,'JDE GL Act'!$L:$L,$F22)</f>
        <v>0</v>
      </c>
      <c r="R22" s="88">
        <f>SUMIFS('JDE GL Act'!$H:$H,'JDE GL Act'!$J:$J,$C$6,'JDE GL Act'!$I:$I,R$12,'JDE GL Act'!$L:$L,$F22)</f>
        <v>0</v>
      </c>
      <c r="S22" s="19">
        <f t="shared" si="1"/>
        <v>34.450000000000003</v>
      </c>
      <c r="Y22" s="17" t="str">
        <f t="shared" si="2"/>
        <v>Inbound Freight</v>
      </c>
      <c r="Z22" s="88">
        <f t="shared" si="3"/>
        <v>34.450000000000003</v>
      </c>
      <c r="AA22" s="88">
        <f t="shared" si="3"/>
        <v>0</v>
      </c>
      <c r="AB22" s="18">
        <f t="shared" si="4"/>
        <v>0</v>
      </c>
      <c r="AC22" s="18">
        <f t="shared" si="4"/>
        <v>0</v>
      </c>
      <c r="AD22" s="18">
        <f t="shared" si="4"/>
        <v>0</v>
      </c>
      <c r="AE22" s="18">
        <f t="shared" si="4"/>
        <v>0</v>
      </c>
      <c r="AF22" s="18">
        <f t="shared" si="4"/>
        <v>0</v>
      </c>
      <c r="AG22" s="18">
        <f t="shared" si="4"/>
        <v>0</v>
      </c>
      <c r="AH22" s="18">
        <f t="shared" si="4"/>
        <v>0</v>
      </c>
      <c r="AI22" s="18">
        <f t="shared" si="4"/>
        <v>0</v>
      </c>
      <c r="AJ22" s="18">
        <f t="shared" si="4"/>
        <v>0</v>
      </c>
      <c r="AK22" s="18">
        <f t="shared" si="4"/>
        <v>0</v>
      </c>
      <c r="AL22" s="18">
        <f t="shared" si="4"/>
        <v>0</v>
      </c>
    </row>
    <row r="23" spans="6:38" x14ac:dyDescent="0.35">
      <c r="F23" s="20" t="s">
        <v>29</v>
      </c>
      <c r="G23" s="88">
        <f>SUMIFS('JDE GL Act'!$H:$H,'JDE GL Act'!$J:$J,$C$6,'JDE GL Act'!$I:$I,G$12,'JDE GL Act'!$L:$L,$F23)</f>
        <v>8.67</v>
      </c>
      <c r="H23" s="88">
        <f>SUMIFS('JDE GL Act'!$H:$H,'JDE GL Act'!$J:$J,$C$6,'JDE GL Act'!$I:$I,H$12,'JDE GL Act'!$L:$L,$F23)</f>
        <v>0</v>
      </c>
      <c r="I23" s="88">
        <f>SUMIFS('JDE GL Act'!$H:$H,'JDE GL Act'!$J:$J,$C$6,'JDE GL Act'!$I:$I,I$12,'JDE GL Act'!$L:$L,$F23)</f>
        <v>0</v>
      </c>
      <c r="J23" s="88">
        <f>SUMIFS('JDE GL Act'!$H:$H,'JDE GL Act'!$J:$J,$C$6,'JDE GL Act'!$I:$I,J$12,'JDE GL Act'!$L:$L,$F23)</f>
        <v>0</v>
      </c>
      <c r="K23" s="88">
        <f>SUMIFS('JDE GL Act'!$H:$H,'JDE GL Act'!$J:$J,$C$6,'JDE GL Act'!$I:$I,K$12,'JDE GL Act'!$L:$L,$F23)</f>
        <v>0</v>
      </c>
      <c r="L23" s="88">
        <f>SUMIFS('JDE GL Act'!$H:$H,'JDE GL Act'!$J:$J,$C$6,'JDE GL Act'!$I:$I,L$12,'JDE GL Act'!$L:$L,$F23)</f>
        <v>0</v>
      </c>
      <c r="M23" s="88">
        <f>SUMIFS('JDE GL Act'!$H:$H,'JDE GL Act'!$J:$J,$C$6,'JDE GL Act'!$I:$I,M$12,'JDE GL Act'!$L:$L,$F23)</f>
        <v>0</v>
      </c>
      <c r="N23" s="88">
        <f>SUMIFS('JDE GL Act'!$H:$H,'JDE GL Act'!$J:$J,$C$6,'JDE GL Act'!$I:$I,N$12,'JDE GL Act'!$L:$L,$F23)</f>
        <v>0</v>
      </c>
      <c r="O23" s="88">
        <f>SUMIFS('JDE GL Act'!$H:$H,'JDE GL Act'!$J:$J,$C$6,'JDE GL Act'!$I:$I,O$12,'JDE GL Act'!$L:$L,$F23)</f>
        <v>0</v>
      </c>
      <c r="P23" s="88">
        <f>SUMIFS('JDE GL Act'!$H:$H,'JDE GL Act'!$J:$J,$C$6,'JDE GL Act'!$I:$I,P$12,'JDE GL Act'!$L:$L,$F23)</f>
        <v>0</v>
      </c>
      <c r="Q23" s="88">
        <f>SUMIFS('JDE GL Act'!$H:$H,'JDE GL Act'!$J:$J,$C$6,'JDE GL Act'!$I:$I,Q$12,'JDE GL Act'!$L:$L,$F23)</f>
        <v>0</v>
      </c>
      <c r="R23" s="88">
        <f>SUMIFS('JDE GL Act'!$H:$H,'JDE GL Act'!$J:$J,$C$6,'JDE GL Act'!$I:$I,R$12,'JDE GL Act'!$L:$L,$F23)</f>
        <v>0</v>
      </c>
      <c r="S23" s="19">
        <f t="shared" si="1"/>
        <v>8.67</v>
      </c>
      <c r="Y23" s="17" t="str">
        <f t="shared" si="2"/>
        <v>Other</v>
      </c>
      <c r="Z23" s="88">
        <f t="shared" si="3"/>
        <v>8.67</v>
      </c>
      <c r="AA23" s="88">
        <f t="shared" si="3"/>
        <v>0</v>
      </c>
      <c r="AB23" s="18">
        <f t="shared" si="4"/>
        <v>0</v>
      </c>
      <c r="AC23" s="18">
        <f t="shared" si="4"/>
        <v>0</v>
      </c>
      <c r="AD23" s="18">
        <f t="shared" si="4"/>
        <v>0</v>
      </c>
      <c r="AE23" s="18">
        <f t="shared" si="4"/>
        <v>0</v>
      </c>
      <c r="AF23" s="18">
        <f t="shared" si="4"/>
        <v>0</v>
      </c>
      <c r="AG23" s="18">
        <f t="shared" si="4"/>
        <v>0</v>
      </c>
      <c r="AH23" s="18">
        <f t="shared" si="4"/>
        <v>0</v>
      </c>
      <c r="AI23" s="18">
        <f t="shared" si="4"/>
        <v>0</v>
      </c>
      <c r="AJ23" s="18">
        <f t="shared" si="4"/>
        <v>0</v>
      </c>
      <c r="AK23" s="18">
        <f t="shared" si="4"/>
        <v>1000</v>
      </c>
      <c r="AL23" s="18">
        <f t="shared" si="4"/>
        <v>1000</v>
      </c>
    </row>
    <row r="24" spans="6:38" x14ac:dyDescent="0.35">
      <c r="F24" s="92" t="s">
        <v>30</v>
      </c>
      <c r="G24" s="93">
        <f>SUM(G13:G23)</f>
        <v>139034.76</v>
      </c>
      <c r="H24" s="93">
        <f t="shared" ref="H24:R24" si="5">SUM(H13:H23)</f>
        <v>109482.81000000001</v>
      </c>
      <c r="I24" s="93">
        <f t="shared" si="5"/>
        <v>0</v>
      </c>
      <c r="J24" s="93">
        <f t="shared" si="5"/>
        <v>0</v>
      </c>
      <c r="K24" s="93">
        <f t="shared" si="5"/>
        <v>0</v>
      </c>
      <c r="L24" s="93">
        <f t="shared" si="5"/>
        <v>0</v>
      </c>
      <c r="M24" s="93">
        <f t="shared" si="5"/>
        <v>0</v>
      </c>
      <c r="N24" s="93">
        <f t="shared" si="5"/>
        <v>0</v>
      </c>
      <c r="O24" s="93">
        <f t="shared" si="5"/>
        <v>0</v>
      </c>
      <c r="P24" s="93">
        <f t="shared" si="5"/>
        <v>0</v>
      </c>
      <c r="Q24" s="93">
        <f t="shared" si="5"/>
        <v>0</v>
      </c>
      <c r="R24" s="93">
        <f t="shared" si="5"/>
        <v>0</v>
      </c>
      <c r="S24" s="19">
        <f t="shared" si="1"/>
        <v>248517.57</v>
      </c>
      <c r="Y24" s="17" t="str">
        <f t="shared" si="2"/>
        <v>Total Controllable</v>
      </c>
      <c r="Z24" s="88">
        <f t="shared" si="3"/>
        <v>139034.76</v>
      </c>
      <c r="AA24" s="88">
        <f t="shared" si="3"/>
        <v>109482.81000000001</v>
      </c>
      <c r="AB24" s="18">
        <f>SUM(AB13:AB23)</f>
        <v>177572.5090790845</v>
      </c>
      <c r="AC24" s="18">
        <f t="shared" ref="AC24:AL24" si="6">SUM(AC13:AC23)</f>
        <v>119057.62389328441</v>
      </c>
      <c r="AD24" s="18">
        <f t="shared" si="6"/>
        <v>144464.02011215553</v>
      </c>
      <c r="AE24" s="18">
        <f t="shared" si="6"/>
        <v>166696.0294735785</v>
      </c>
      <c r="AF24" s="18">
        <f t="shared" si="6"/>
        <v>125459.88309867081</v>
      </c>
      <c r="AG24" s="18">
        <f t="shared" si="6"/>
        <v>134436.44901156321</v>
      </c>
      <c r="AH24" s="18">
        <f t="shared" si="6"/>
        <v>190172.5090790845</v>
      </c>
      <c r="AI24" s="18">
        <f t="shared" si="6"/>
        <v>126329.04801294598</v>
      </c>
      <c r="AJ24" s="18">
        <f t="shared" si="6"/>
        <v>127416.15897496163</v>
      </c>
      <c r="AK24" s="18">
        <f t="shared" si="6"/>
        <v>275129.04801294598</v>
      </c>
      <c r="AL24" s="18">
        <f t="shared" si="6"/>
        <v>1900862.4074202171</v>
      </c>
    </row>
    <row r="25" spans="6:38" x14ac:dyDescent="0.35">
      <c r="F25" s="20" t="s">
        <v>31</v>
      </c>
      <c r="G25" s="88">
        <f>SUMIFS('JDE GL Act'!$H:$H,'JDE GL Act'!$J:$J,$C$6,'JDE GL Act'!$I:$I,G$12,'JDE GL Act'!$L:$L,$F25)</f>
        <v>1545.11</v>
      </c>
      <c r="H25" s="88">
        <f>SUMIFS('JDE GL Act'!$H:$H,'JDE GL Act'!$J:$J,$C$6,'JDE GL Act'!$I:$I,H$12,'JDE GL Act'!$L:$L,$F25)</f>
        <v>1545.12</v>
      </c>
      <c r="I25" s="88">
        <f>SUMIFS('JDE GL Act'!$H:$H,'JDE GL Act'!$J:$J,$C$6,'JDE GL Act'!$I:$I,I$12,'JDE GL Act'!$L:$L,$F25)</f>
        <v>0</v>
      </c>
      <c r="J25" s="88">
        <f>SUMIFS('JDE GL Act'!$H:$H,'JDE GL Act'!$J:$J,$C$6,'JDE GL Act'!$I:$I,J$12,'JDE GL Act'!$L:$L,$F25)</f>
        <v>0</v>
      </c>
      <c r="K25" s="88">
        <f>SUMIFS('JDE GL Act'!$H:$H,'JDE GL Act'!$J:$J,$C$6,'JDE GL Act'!$I:$I,K$12,'JDE GL Act'!$L:$L,$F25)</f>
        <v>0</v>
      </c>
      <c r="L25" s="88">
        <f>SUMIFS('JDE GL Act'!$H:$H,'JDE GL Act'!$J:$J,$C$6,'JDE GL Act'!$I:$I,L$12,'JDE GL Act'!$L:$L,$F25)</f>
        <v>0</v>
      </c>
      <c r="M25" s="88">
        <f>SUMIFS('JDE GL Act'!$H:$H,'JDE GL Act'!$J:$J,$C$6,'JDE GL Act'!$I:$I,M$12,'JDE GL Act'!$L:$L,$F25)</f>
        <v>0</v>
      </c>
      <c r="N25" s="88">
        <f>SUMIFS('JDE GL Act'!$H:$H,'JDE GL Act'!$J:$J,$C$6,'JDE GL Act'!$I:$I,N$12,'JDE GL Act'!$L:$L,$F25)</f>
        <v>0</v>
      </c>
      <c r="O25" s="88">
        <f>SUMIFS('JDE GL Act'!$H:$H,'JDE GL Act'!$J:$J,$C$6,'JDE GL Act'!$I:$I,O$12,'JDE GL Act'!$L:$L,$F25)</f>
        <v>0</v>
      </c>
      <c r="P25" s="88">
        <f>SUMIFS('JDE GL Act'!$H:$H,'JDE GL Act'!$J:$J,$C$6,'JDE GL Act'!$I:$I,P$12,'JDE GL Act'!$L:$L,$F25)</f>
        <v>0</v>
      </c>
      <c r="Q25" s="88">
        <f>SUMIFS('JDE GL Act'!$H:$H,'JDE GL Act'!$J:$J,$C$6,'JDE GL Act'!$I:$I,Q$12,'JDE GL Act'!$L:$L,$F25)</f>
        <v>0</v>
      </c>
      <c r="R25" s="88">
        <f>SUMIFS('JDE GL Act'!$H:$H,'JDE GL Act'!$J:$J,$C$6,'JDE GL Act'!$I:$I,R$12,'JDE GL Act'!$L:$L,$F25)</f>
        <v>0</v>
      </c>
      <c r="S25" s="19">
        <f t="shared" si="1"/>
        <v>3090.2299999999996</v>
      </c>
      <c r="Y25" s="17" t="str">
        <f t="shared" si="2"/>
        <v>Depreciation</v>
      </c>
      <c r="Z25" s="88">
        <f t="shared" si="3"/>
        <v>1545.11</v>
      </c>
      <c r="AA25" s="88">
        <f t="shared" si="3"/>
        <v>1545.12</v>
      </c>
      <c r="AB25" s="18">
        <f t="shared" si="4"/>
        <v>0</v>
      </c>
      <c r="AC25" s="18">
        <f t="shared" si="4"/>
        <v>0</v>
      </c>
      <c r="AD25" s="18">
        <f t="shared" si="4"/>
        <v>0</v>
      </c>
      <c r="AE25" s="18">
        <f t="shared" si="4"/>
        <v>0</v>
      </c>
      <c r="AF25" s="18">
        <f t="shared" si="4"/>
        <v>0</v>
      </c>
      <c r="AG25" s="18">
        <f t="shared" si="4"/>
        <v>0</v>
      </c>
      <c r="AH25" s="18">
        <f t="shared" si="4"/>
        <v>0</v>
      </c>
      <c r="AI25" s="18">
        <f t="shared" si="4"/>
        <v>0</v>
      </c>
      <c r="AJ25" s="18">
        <f t="shared" si="4"/>
        <v>0</v>
      </c>
      <c r="AK25" s="18">
        <f t="shared" si="4"/>
        <v>0</v>
      </c>
      <c r="AL25" s="18">
        <f t="shared" si="4"/>
        <v>0</v>
      </c>
    </row>
    <row r="26" spans="6:38" x14ac:dyDescent="0.35">
      <c r="F26" s="92" t="s">
        <v>32</v>
      </c>
      <c r="G26" s="93">
        <f>+G24+G25</f>
        <v>140579.87</v>
      </c>
      <c r="H26" s="93">
        <f t="shared" ref="H26:R26" si="7">+H24+H25</f>
        <v>111027.93000000001</v>
      </c>
      <c r="I26" s="93">
        <f t="shared" si="7"/>
        <v>0</v>
      </c>
      <c r="J26" s="93">
        <f t="shared" si="7"/>
        <v>0</v>
      </c>
      <c r="K26" s="93">
        <f t="shared" si="7"/>
        <v>0</v>
      </c>
      <c r="L26" s="93">
        <f t="shared" si="7"/>
        <v>0</v>
      </c>
      <c r="M26" s="93">
        <f t="shared" si="7"/>
        <v>0</v>
      </c>
      <c r="N26" s="93">
        <f t="shared" si="7"/>
        <v>0</v>
      </c>
      <c r="O26" s="93">
        <f t="shared" si="7"/>
        <v>0</v>
      </c>
      <c r="P26" s="93">
        <f t="shared" si="7"/>
        <v>0</v>
      </c>
      <c r="Q26" s="93">
        <f t="shared" si="7"/>
        <v>0</v>
      </c>
      <c r="R26" s="93">
        <f t="shared" si="7"/>
        <v>0</v>
      </c>
      <c r="S26" s="19">
        <f t="shared" si="1"/>
        <v>251607.8</v>
      </c>
      <c r="Y26" s="17" t="str">
        <f t="shared" si="2"/>
        <v>Total Spending</v>
      </c>
      <c r="Z26" s="88">
        <f t="shared" si="3"/>
        <v>140579.87</v>
      </c>
      <c r="AA26" s="88">
        <f t="shared" si="3"/>
        <v>111027.93000000001</v>
      </c>
      <c r="AB26" s="18">
        <f>+AB24+AB25</f>
        <v>177572.5090790845</v>
      </c>
      <c r="AC26" s="18">
        <f t="shared" ref="AC26:AL26" si="8">+AC24+AC25</f>
        <v>119057.62389328441</v>
      </c>
      <c r="AD26" s="18">
        <f t="shared" si="8"/>
        <v>144464.02011215553</v>
      </c>
      <c r="AE26" s="18">
        <f t="shared" si="8"/>
        <v>166696.0294735785</v>
      </c>
      <c r="AF26" s="18">
        <f t="shared" si="8"/>
        <v>125459.88309867081</v>
      </c>
      <c r="AG26" s="18">
        <f t="shared" si="8"/>
        <v>134436.44901156321</v>
      </c>
      <c r="AH26" s="18">
        <f t="shared" si="8"/>
        <v>190172.5090790845</v>
      </c>
      <c r="AI26" s="18">
        <f t="shared" si="8"/>
        <v>126329.04801294598</v>
      </c>
      <c r="AJ26" s="18">
        <f t="shared" si="8"/>
        <v>127416.15897496163</v>
      </c>
      <c r="AK26" s="18">
        <f t="shared" si="8"/>
        <v>275129.04801294598</v>
      </c>
      <c r="AL26" s="18">
        <f t="shared" si="8"/>
        <v>1900862.4074202171</v>
      </c>
    </row>
    <row r="27" spans="6:38" x14ac:dyDescent="0.35">
      <c r="F27" s="20" t="s">
        <v>33</v>
      </c>
      <c r="G27" s="88">
        <f>SUMIFS('JDE GL Act'!$H:$H,'JDE GL Act'!$J:$J,$C$6,'JDE GL Act'!$I:$I,G$12,'JDE GL Act'!$L:$L,$F27)</f>
        <v>0</v>
      </c>
      <c r="H27" s="88">
        <f>SUMIFS('JDE GL Act'!$H:$H,'JDE GL Act'!$J:$J,$C$6,'JDE GL Act'!$I:$I,H$12,'JDE GL Act'!$L:$L,$F27)</f>
        <v>0</v>
      </c>
      <c r="I27" s="88">
        <f>SUMIFS('JDE GL Act'!$H:$H,'JDE GL Act'!$J:$J,$C$6,'JDE GL Act'!$I:$I,I$12,'JDE GL Act'!$L:$L,$F27)</f>
        <v>0</v>
      </c>
      <c r="J27" s="88">
        <f>SUMIFS('JDE GL Act'!$H:$H,'JDE GL Act'!$J:$J,$C$6,'JDE GL Act'!$I:$I,J$12,'JDE GL Act'!$L:$L,$F27)</f>
        <v>0</v>
      </c>
      <c r="K27" s="88">
        <f>SUMIFS('JDE GL Act'!$H:$H,'JDE GL Act'!$J:$J,$C$6,'JDE GL Act'!$I:$I,K$12,'JDE GL Act'!$L:$L,$F27)</f>
        <v>0</v>
      </c>
      <c r="L27" s="88">
        <f>SUMIFS('JDE GL Act'!$H:$H,'JDE GL Act'!$J:$J,$C$6,'JDE GL Act'!$I:$I,L$12,'JDE GL Act'!$L:$L,$F27)</f>
        <v>0</v>
      </c>
      <c r="M27" s="88">
        <f>SUMIFS('JDE GL Act'!$H:$H,'JDE GL Act'!$J:$J,$C$6,'JDE GL Act'!$I:$I,M$12,'JDE GL Act'!$L:$L,$F27)</f>
        <v>0</v>
      </c>
      <c r="N27" s="88">
        <f>SUMIFS('JDE GL Act'!$H:$H,'JDE GL Act'!$J:$J,$C$6,'JDE GL Act'!$I:$I,N$12,'JDE GL Act'!$L:$L,$F27)</f>
        <v>0</v>
      </c>
      <c r="O27" s="88">
        <f>SUMIFS('JDE GL Act'!$H:$H,'JDE GL Act'!$J:$J,$C$6,'JDE GL Act'!$I:$I,O$12,'JDE GL Act'!$L:$L,$F27)</f>
        <v>0</v>
      </c>
      <c r="P27" s="88">
        <f>SUMIFS('JDE GL Act'!$H:$H,'JDE GL Act'!$J:$J,$C$6,'JDE GL Act'!$I:$I,P$12,'JDE GL Act'!$L:$L,$F27)</f>
        <v>0</v>
      </c>
      <c r="Q27" s="88">
        <f>SUMIFS('JDE GL Act'!$H:$H,'JDE GL Act'!$J:$J,$C$6,'JDE GL Act'!$I:$I,Q$12,'JDE GL Act'!$L:$L,$F27)</f>
        <v>0</v>
      </c>
      <c r="R27" s="88">
        <f>SUMIFS('JDE GL Act'!$H:$H,'JDE GL Act'!$J:$J,$C$6,'JDE GL Act'!$I:$I,R$12,'JDE GL Act'!$L:$L,$F27)</f>
        <v>0</v>
      </c>
      <c r="S27" s="19">
        <f t="shared" si="1"/>
        <v>0</v>
      </c>
      <c r="Y27" s="17" t="str">
        <f t="shared" si="2"/>
        <v>Appropriation Expense</v>
      </c>
      <c r="Z27" s="88">
        <f t="shared" si="3"/>
        <v>0</v>
      </c>
      <c r="AA27" s="88">
        <f t="shared" si="3"/>
        <v>0</v>
      </c>
      <c r="AB27" s="18">
        <f t="shared" si="4"/>
        <v>0</v>
      </c>
      <c r="AC27" s="18">
        <f t="shared" si="4"/>
        <v>0</v>
      </c>
      <c r="AD27" s="18">
        <f t="shared" si="4"/>
        <v>0</v>
      </c>
      <c r="AE27" s="18">
        <f t="shared" si="4"/>
        <v>0</v>
      </c>
      <c r="AF27" s="18">
        <f t="shared" si="4"/>
        <v>0</v>
      </c>
      <c r="AG27" s="18">
        <f t="shared" si="4"/>
        <v>0</v>
      </c>
      <c r="AH27" s="18">
        <f t="shared" si="4"/>
        <v>0</v>
      </c>
      <c r="AI27" s="18">
        <f t="shared" si="4"/>
        <v>0</v>
      </c>
      <c r="AJ27" s="18">
        <f t="shared" si="4"/>
        <v>0</v>
      </c>
      <c r="AK27" s="18">
        <f t="shared" si="4"/>
        <v>0</v>
      </c>
      <c r="AL27" s="18">
        <f t="shared" si="4"/>
        <v>0</v>
      </c>
    </row>
    <row r="28" spans="6:38" x14ac:dyDescent="0.35">
      <c r="F28" s="20" t="s">
        <v>34</v>
      </c>
      <c r="G28" s="88">
        <f>SUMIFS('JDE GL Act'!$H:$H,'JDE GL Act'!$J:$J,$C$6,'JDE GL Act'!$I:$I,G$12,'JDE GL Act'!$L:$L,$F28)</f>
        <v>0</v>
      </c>
      <c r="H28" s="88">
        <f>SUMIFS('JDE GL Act'!$H:$H,'JDE GL Act'!$J:$J,$C$6,'JDE GL Act'!$I:$I,H$12,'JDE GL Act'!$L:$L,$F28)</f>
        <v>-8553.9</v>
      </c>
      <c r="I28" s="88">
        <f>SUMIFS('JDE GL Act'!$H:$H,'JDE GL Act'!$J:$J,$C$6,'JDE GL Act'!$I:$I,I$12,'JDE GL Act'!$L:$L,$F28)</f>
        <v>0</v>
      </c>
      <c r="J28" s="88">
        <f>SUMIFS('JDE GL Act'!$H:$H,'JDE GL Act'!$J:$J,$C$6,'JDE GL Act'!$I:$I,J$12,'JDE GL Act'!$L:$L,$F28)</f>
        <v>0</v>
      </c>
      <c r="K28" s="88">
        <f>SUMIFS('JDE GL Act'!$H:$H,'JDE GL Act'!$J:$J,$C$6,'JDE GL Act'!$I:$I,K$12,'JDE GL Act'!$L:$L,$F28)</f>
        <v>0</v>
      </c>
      <c r="L28" s="88">
        <f>SUMIFS('JDE GL Act'!$H:$H,'JDE GL Act'!$J:$J,$C$6,'JDE GL Act'!$I:$I,L$12,'JDE GL Act'!$L:$L,$F28)</f>
        <v>0</v>
      </c>
      <c r="M28" s="88">
        <f>SUMIFS('JDE GL Act'!$H:$H,'JDE GL Act'!$J:$J,$C$6,'JDE GL Act'!$I:$I,M$12,'JDE GL Act'!$L:$L,$F28)</f>
        <v>0</v>
      </c>
      <c r="N28" s="88">
        <f>SUMIFS('JDE GL Act'!$H:$H,'JDE GL Act'!$J:$J,$C$6,'JDE GL Act'!$I:$I,N$12,'JDE GL Act'!$L:$L,$F28)</f>
        <v>0</v>
      </c>
      <c r="O28" s="88">
        <f>SUMIFS('JDE GL Act'!$H:$H,'JDE GL Act'!$J:$J,$C$6,'JDE GL Act'!$I:$I,O$12,'JDE GL Act'!$L:$L,$F28)</f>
        <v>0</v>
      </c>
      <c r="P28" s="88">
        <f>SUMIFS('JDE GL Act'!$H:$H,'JDE GL Act'!$J:$J,$C$6,'JDE GL Act'!$I:$I,P$12,'JDE GL Act'!$L:$L,$F28)</f>
        <v>0</v>
      </c>
      <c r="Q28" s="88">
        <f>SUMIFS('JDE GL Act'!$H:$H,'JDE GL Act'!$J:$J,$C$6,'JDE GL Act'!$I:$I,Q$12,'JDE GL Act'!$L:$L,$F28)</f>
        <v>0</v>
      </c>
      <c r="R28" s="88">
        <f>SUMIFS('JDE GL Act'!$H:$H,'JDE GL Act'!$J:$J,$C$6,'JDE GL Act'!$I:$I,R$12,'JDE GL Act'!$L:$L,$F28)</f>
        <v>0</v>
      </c>
      <c r="S28" s="19">
        <f t="shared" si="1"/>
        <v>-8553.9</v>
      </c>
      <c r="Y28" s="17" t="str">
        <f t="shared" si="2"/>
        <v>Allocations</v>
      </c>
      <c r="Z28" s="88">
        <f t="shared" si="3"/>
        <v>0</v>
      </c>
      <c r="AA28" s="88">
        <f t="shared" si="3"/>
        <v>-8553.9</v>
      </c>
      <c r="AB28" s="18">
        <f t="shared" si="4"/>
        <v>-1423.3333333333333</v>
      </c>
      <c r="AC28" s="18">
        <f t="shared" si="4"/>
        <v>-1423.3333333333333</v>
      </c>
      <c r="AD28" s="18">
        <f t="shared" si="4"/>
        <v>-1423.3333333333333</v>
      </c>
      <c r="AE28" s="18">
        <f t="shared" si="4"/>
        <v>-1423.3333333333333</v>
      </c>
      <c r="AF28" s="18">
        <f t="shared" si="4"/>
        <v>-1423.3333333333333</v>
      </c>
      <c r="AG28" s="18">
        <f t="shared" si="4"/>
        <v>-1423.3333333333333</v>
      </c>
      <c r="AH28" s="18">
        <f t="shared" si="4"/>
        <v>-1423.3333333333333</v>
      </c>
      <c r="AI28" s="18">
        <f t="shared" si="4"/>
        <v>-1423.3333333333333</v>
      </c>
      <c r="AJ28" s="18">
        <f t="shared" si="4"/>
        <v>-1423.3333333333333</v>
      </c>
      <c r="AK28" s="18">
        <f t="shared" si="4"/>
        <v>-1423.3333333333333</v>
      </c>
      <c r="AL28" s="18">
        <f t="shared" si="4"/>
        <v>-17080.000000000004</v>
      </c>
    </row>
    <row r="29" spans="6:38" x14ac:dyDescent="0.35">
      <c r="F29" s="92" t="s">
        <v>35</v>
      </c>
      <c r="G29" s="93">
        <f>+G26+G27+G28</f>
        <v>140579.87</v>
      </c>
      <c r="H29" s="93">
        <f t="shared" ref="H29:R29" si="9">+H26+H27+H28</f>
        <v>102474.03000000001</v>
      </c>
      <c r="I29" s="93">
        <f t="shared" si="9"/>
        <v>0</v>
      </c>
      <c r="J29" s="93">
        <f t="shared" si="9"/>
        <v>0</v>
      </c>
      <c r="K29" s="93">
        <f t="shared" si="9"/>
        <v>0</v>
      </c>
      <c r="L29" s="93">
        <f t="shared" si="9"/>
        <v>0</v>
      </c>
      <c r="M29" s="93">
        <f t="shared" si="9"/>
        <v>0</v>
      </c>
      <c r="N29" s="93">
        <f t="shared" si="9"/>
        <v>0</v>
      </c>
      <c r="O29" s="93">
        <f t="shared" si="9"/>
        <v>0</v>
      </c>
      <c r="P29" s="93">
        <f t="shared" si="9"/>
        <v>0</v>
      </c>
      <c r="Q29" s="93">
        <f t="shared" si="9"/>
        <v>0</v>
      </c>
      <c r="R29" s="93">
        <f t="shared" si="9"/>
        <v>0</v>
      </c>
      <c r="S29" s="19">
        <f t="shared" si="1"/>
        <v>243053.90000000002</v>
      </c>
      <c r="Y29" s="17" t="str">
        <f t="shared" si="2"/>
        <v>Net Dept Expense</v>
      </c>
      <c r="Z29" s="88">
        <f t="shared" si="3"/>
        <v>140579.87</v>
      </c>
      <c r="AA29" s="88">
        <f t="shared" si="3"/>
        <v>102474.03000000001</v>
      </c>
      <c r="AB29" s="18">
        <f>+AB26+AB27+AB28</f>
        <v>176149.17574575116</v>
      </c>
      <c r="AC29" s="18">
        <f t="shared" ref="AC29:AL29" si="10">+AC26+AC27+AC28</f>
        <v>117634.29055995109</v>
      </c>
      <c r="AD29" s="18">
        <f t="shared" si="10"/>
        <v>143040.68677882219</v>
      </c>
      <c r="AE29" s="18">
        <f t="shared" si="10"/>
        <v>165272.69614024516</v>
      </c>
      <c r="AF29" s="18">
        <f t="shared" si="10"/>
        <v>124036.54976533748</v>
      </c>
      <c r="AG29" s="18">
        <f t="shared" si="10"/>
        <v>133013.11567822986</v>
      </c>
      <c r="AH29" s="18">
        <f t="shared" si="10"/>
        <v>188749.17574575116</v>
      </c>
      <c r="AI29" s="18">
        <f t="shared" si="10"/>
        <v>124905.71467961265</v>
      </c>
      <c r="AJ29" s="18">
        <f t="shared" si="10"/>
        <v>125992.8256416283</v>
      </c>
      <c r="AK29" s="18">
        <f t="shared" si="10"/>
        <v>273705.71467961266</v>
      </c>
      <c r="AL29" s="18">
        <f t="shared" si="10"/>
        <v>1883782.4074202171</v>
      </c>
    </row>
    <row r="30" spans="6:38" x14ac:dyDescent="0.35"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6:38" x14ac:dyDescent="0.35">
      <c r="W31" s="21" t="s">
        <v>204</v>
      </c>
      <c r="X31" s="21" t="s">
        <v>36</v>
      </c>
      <c r="Y31" s="21" t="s">
        <v>37</v>
      </c>
      <c r="Z31" s="22" t="s">
        <v>6</v>
      </c>
      <c r="AA31" s="23" t="s">
        <v>7</v>
      </c>
      <c r="AB31" s="23" t="s">
        <v>8</v>
      </c>
      <c r="AC31" s="23" t="s">
        <v>9</v>
      </c>
      <c r="AD31" s="23" t="s">
        <v>10</v>
      </c>
      <c r="AE31" s="23" t="s">
        <v>11</v>
      </c>
      <c r="AF31" s="23" t="s">
        <v>12</v>
      </c>
      <c r="AG31" s="23" t="s">
        <v>13</v>
      </c>
      <c r="AH31" s="23" t="s">
        <v>14</v>
      </c>
      <c r="AI31" s="23" t="s">
        <v>15</v>
      </c>
      <c r="AJ31" s="23" t="s">
        <v>16</v>
      </c>
      <c r="AK31" s="15" t="s">
        <v>17</v>
      </c>
      <c r="AL31" s="16" t="s">
        <v>18</v>
      </c>
    </row>
    <row r="32" spans="6:38" x14ac:dyDescent="0.35">
      <c r="W32">
        <v>501052</v>
      </c>
      <c r="X32" t="s">
        <v>38</v>
      </c>
      <c r="Y32" s="24" t="s">
        <v>19</v>
      </c>
      <c r="Z32" s="25">
        <v>63728.039076923073</v>
      </c>
      <c r="AA32" s="26">
        <v>58186.470461538462</v>
      </c>
      <c r="AB32" s="26">
        <v>63578.416724307681</v>
      </c>
      <c r="AC32" s="26">
        <v>66468.344757230778</v>
      </c>
      <c r="AD32" s="26">
        <v>57798.560658461538</v>
      </c>
      <c r="AE32" s="26">
        <v>66468.344757230778</v>
      </c>
      <c r="AF32" s="26">
        <v>63578.416724307681</v>
      </c>
      <c r="AG32" s="26">
        <v>57798.560658461538</v>
      </c>
      <c r="AH32" s="26">
        <v>63578.416724307681</v>
      </c>
      <c r="AI32" s="26">
        <v>63578.416724307681</v>
      </c>
      <c r="AJ32" s="26">
        <v>60688.488691384613</v>
      </c>
      <c r="AK32" s="27">
        <v>63578.416724307681</v>
      </c>
      <c r="AL32" s="28">
        <f t="shared" ref="AL32:AL95" si="11">+SUM(Z32:AK32)</f>
        <v>749028.8926827691</v>
      </c>
    </row>
    <row r="33" spans="23:38" x14ac:dyDescent="0.35">
      <c r="W33">
        <v>501050</v>
      </c>
      <c r="X33" t="s">
        <v>39</v>
      </c>
      <c r="Y33" s="29" t="s">
        <v>19</v>
      </c>
      <c r="Z33" s="25">
        <v>8040.0923076923082</v>
      </c>
      <c r="AA33" s="26">
        <v>7340.9538461538468</v>
      </c>
      <c r="AB33" s="26">
        <v>8021.2155692307697</v>
      </c>
      <c r="AC33" s="26">
        <v>8385.8162769230767</v>
      </c>
      <c r="AD33" s="26">
        <v>7292.0141538461539</v>
      </c>
      <c r="AE33" s="26">
        <v>8385.8162769230767</v>
      </c>
      <c r="AF33" s="26">
        <v>8021.2155692307697</v>
      </c>
      <c r="AG33" s="26">
        <v>7292.0141538461539</v>
      </c>
      <c r="AH33" s="26">
        <v>8021.2155692307697</v>
      </c>
      <c r="AI33" s="26">
        <v>8021.2155692307697</v>
      </c>
      <c r="AJ33" s="26">
        <v>7656.6148615384618</v>
      </c>
      <c r="AK33" s="27">
        <v>8021.2155692307697</v>
      </c>
      <c r="AL33" s="28">
        <f t="shared" si="11"/>
        <v>94499.399723076931</v>
      </c>
    </row>
    <row r="34" spans="23:38" x14ac:dyDescent="0.35">
      <c r="W34">
        <v>501053</v>
      </c>
      <c r="X34" t="s">
        <v>40</v>
      </c>
      <c r="Y34" s="29" t="s">
        <v>20</v>
      </c>
      <c r="Z34" s="30">
        <v>641.91124983685927</v>
      </c>
      <c r="AA34" s="31">
        <v>586.09288028582807</v>
      </c>
      <c r="AB34" s="31">
        <v>640.40415385898132</v>
      </c>
      <c r="AC34" s="31">
        <v>669.5134335798441</v>
      </c>
      <c r="AD34" s="31">
        <v>582.18559441725574</v>
      </c>
      <c r="AE34" s="31">
        <v>669.5134335798441</v>
      </c>
      <c r="AF34" s="31">
        <v>640.40415385898132</v>
      </c>
      <c r="AG34" s="31">
        <v>582.18559441725574</v>
      </c>
      <c r="AH34" s="31">
        <v>640.40415385898132</v>
      </c>
      <c r="AI34" s="31">
        <v>640.40415385898132</v>
      </c>
      <c r="AJ34" s="31">
        <v>611.29487413811853</v>
      </c>
      <c r="AK34" s="32">
        <v>640.40415385898132</v>
      </c>
      <c r="AL34" s="28">
        <f t="shared" si="11"/>
        <v>7544.7178295499125</v>
      </c>
    </row>
    <row r="35" spans="23:38" x14ac:dyDescent="0.35">
      <c r="W35">
        <v>501062</v>
      </c>
      <c r="X35" t="s">
        <v>41</v>
      </c>
      <c r="Y35" s="29" t="s">
        <v>21</v>
      </c>
      <c r="Z35" s="33">
        <v>24907.835383456928</v>
      </c>
      <c r="AA35" s="34">
        <v>23227.733466054877</v>
      </c>
      <c r="AB35" s="34">
        <v>24862.472631687073</v>
      </c>
      <c r="AC35" s="34">
        <v>24463.949425550702</v>
      </c>
      <c r="AD35" s="34">
        <v>21391.259705430581</v>
      </c>
      <c r="AE35" s="34">
        <v>22872.35500584478</v>
      </c>
      <c r="AF35" s="34">
        <v>27719.846651273379</v>
      </c>
      <c r="AG35" s="34">
        <v>23113.688604838269</v>
      </c>
      <c r="AH35" s="34">
        <v>24862.472631687073</v>
      </c>
      <c r="AI35" s="34">
        <v>24889.011565548535</v>
      </c>
      <c r="AJ35" s="34">
        <v>23959.760547900441</v>
      </c>
      <c r="AK35" s="35">
        <v>24889.011565548535</v>
      </c>
      <c r="AL35" s="28">
        <f t="shared" si="11"/>
        <v>291159.39718482119</v>
      </c>
    </row>
    <row r="36" spans="23:38" x14ac:dyDescent="0.35">
      <c r="W36">
        <v>501705</v>
      </c>
      <c r="X36" t="s">
        <v>42</v>
      </c>
      <c r="Y36" s="29" t="s">
        <v>23</v>
      </c>
      <c r="Z36" s="36">
        <v>1770</v>
      </c>
      <c r="AA36" s="37">
        <v>0</v>
      </c>
      <c r="AB36" s="37">
        <v>1770</v>
      </c>
      <c r="AC36" s="37">
        <v>1770</v>
      </c>
      <c r="AD36" s="37">
        <v>0</v>
      </c>
      <c r="AE36" s="37">
        <v>0</v>
      </c>
      <c r="AF36" s="37">
        <v>0</v>
      </c>
      <c r="AG36" s="37">
        <v>0</v>
      </c>
      <c r="AH36" s="37">
        <v>1770</v>
      </c>
      <c r="AI36" s="37">
        <v>0</v>
      </c>
      <c r="AJ36" s="37">
        <v>0</v>
      </c>
      <c r="AK36" s="38">
        <v>0</v>
      </c>
      <c r="AL36" s="28">
        <f t="shared" si="11"/>
        <v>7080</v>
      </c>
    </row>
    <row r="37" spans="23:38" x14ac:dyDescent="0.35">
      <c r="W37">
        <v>501804</v>
      </c>
      <c r="X37" t="s">
        <v>43</v>
      </c>
      <c r="Y37" s="24" t="s">
        <v>22</v>
      </c>
      <c r="Z37" s="39"/>
      <c r="AA37" s="40"/>
      <c r="AB37" s="40"/>
      <c r="AC37" s="40"/>
      <c r="AD37" s="40"/>
      <c r="AE37" s="40"/>
      <c r="AF37" s="40"/>
      <c r="AG37" s="40">
        <v>3000</v>
      </c>
      <c r="AH37" s="40"/>
      <c r="AI37" s="41"/>
      <c r="AJ37" s="40"/>
      <c r="AK37" s="42"/>
      <c r="AL37" s="28">
        <f t="shared" si="11"/>
        <v>3000</v>
      </c>
    </row>
    <row r="38" spans="23:38" x14ac:dyDescent="0.35">
      <c r="W38">
        <v>501602</v>
      </c>
      <c r="X38" t="s">
        <v>44</v>
      </c>
      <c r="Y38" s="29" t="s">
        <v>24</v>
      </c>
      <c r="Z38" s="43">
        <v>200</v>
      </c>
      <c r="AA38" s="44"/>
      <c r="AB38" s="44"/>
      <c r="AC38" s="44"/>
      <c r="AD38" s="44"/>
      <c r="AE38" s="44"/>
      <c r="AF38" s="44">
        <v>200</v>
      </c>
      <c r="AG38" s="44"/>
      <c r="AH38" s="44"/>
      <c r="AI38" s="44"/>
      <c r="AJ38" s="44"/>
      <c r="AK38" s="45">
        <v>200</v>
      </c>
      <c r="AL38" s="28">
        <f t="shared" si="11"/>
        <v>600</v>
      </c>
    </row>
    <row r="39" spans="23:38" x14ac:dyDescent="0.35">
      <c r="W39">
        <v>501710</v>
      </c>
      <c r="X39" t="s">
        <v>45</v>
      </c>
      <c r="Y39" s="29" t="s">
        <v>27</v>
      </c>
      <c r="Z39" s="46"/>
      <c r="AA39" s="47">
        <v>600</v>
      </c>
      <c r="AB39" s="47"/>
      <c r="AC39" s="47">
        <v>600</v>
      </c>
      <c r="AD39" s="47">
        <v>600</v>
      </c>
      <c r="AE39" s="47"/>
      <c r="AF39" s="47"/>
      <c r="AG39" s="47">
        <v>600</v>
      </c>
      <c r="AH39" s="47"/>
      <c r="AI39" s="47"/>
      <c r="AJ39" s="47">
        <v>600</v>
      </c>
      <c r="AK39" s="48">
        <v>0</v>
      </c>
      <c r="AL39" s="28">
        <f t="shared" si="11"/>
        <v>3000</v>
      </c>
    </row>
    <row r="40" spans="23:38" x14ac:dyDescent="0.35">
      <c r="W40">
        <v>501710</v>
      </c>
      <c r="X40" t="s">
        <v>45</v>
      </c>
      <c r="Y40" s="29" t="s">
        <v>27</v>
      </c>
      <c r="Z40" s="39"/>
      <c r="AA40" s="40">
        <v>2500</v>
      </c>
      <c r="AB40" s="40"/>
      <c r="AC40" s="40">
        <v>2500</v>
      </c>
      <c r="AD40" s="40">
        <v>2500</v>
      </c>
      <c r="AE40" s="40"/>
      <c r="AF40" s="40"/>
      <c r="AG40" s="40">
        <v>2500</v>
      </c>
      <c r="AH40" s="40"/>
      <c r="AI40" s="40"/>
      <c r="AJ40" s="40">
        <v>2500</v>
      </c>
      <c r="AK40" s="42"/>
      <c r="AL40" s="28">
        <f t="shared" si="11"/>
        <v>12500</v>
      </c>
    </row>
    <row r="41" spans="23:38" x14ac:dyDescent="0.35">
      <c r="W41">
        <v>501710</v>
      </c>
      <c r="X41" t="s">
        <v>45</v>
      </c>
      <c r="Y41" s="29" t="s">
        <v>27</v>
      </c>
      <c r="Z41" s="39"/>
      <c r="AA41" s="40"/>
      <c r="AB41" s="40">
        <v>2500</v>
      </c>
      <c r="AC41" s="40"/>
      <c r="AD41" s="40"/>
      <c r="AE41" s="40"/>
      <c r="AF41" s="40"/>
      <c r="AG41" s="40"/>
      <c r="AH41" s="40"/>
      <c r="AI41" s="40"/>
      <c r="AJ41" s="40"/>
      <c r="AK41" s="42"/>
      <c r="AL41" s="28">
        <f t="shared" si="11"/>
        <v>2500</v>
      </c>
    </row>
    <row r="42" spans="23:38" x14ac:dyDescent="0.35">
      <c r="W42">
        <v>501710</v>
      </c>
      <c r="X42" t="s">
        <v>45</v>
      </c>
      <c r="Y42" s="29" t="s">
        <v>27</v>
      </c>
      <c r="Z42" s="39">
        <v>9000</v>
      </c>
      <c r="AA42" s="40">
        <v>9000</v>
      </c>
      <c r="AB42" s="40">
        <v>9000</v>
      </c>
      <c r="AC42" s="40"/>
      <c r="AD42" s="40"/>
      <c r="AE42" s="40"/>
      <c r="AF42" s="40"/>
      <c r="AG42" s="40"/>
      <c r="AH42" s="40"/>
      <c r="AI42" s="40"/>
      <c r="AJ42" s="40"/>
      <c r="AK42" s="42"/>
      <c r="AL42" s="28">
        <f t="shared" si="11"/>
        <v>27000</v>
      </c>
    </row>
    <row r="43" spans="23:38" x14ac:dyDescent="0.35">
      <c r="W43">
        <v>501710</v>
      </c>
      <c r="X43" t="s">
        <v>45</v>
      </c>
      <c r="Y43" s="29" t="s">
        <v>27</v>
      </c>
      <c r="Z43" s="39">
        <v>6300</v>
      </c>
      <c r="AA43" s="40">
        <v>6300</v>
      </c>
      <c r="AB43" s="40">
        <v>6300</v>
      </c>
      <c r="AC43" s="40"/>
      <c r="AD43" s="40"/>
      <c r="AE43" s="40"/>
      <c r="AF43" s="40"/>
      <c r="AG43" s="40"/>
      <c r="AH43" s="40"/>
      <c r="AI43" s="40"/>
      <c r="AJ43" s="40"/>
      <c r="AK43" s="42"/>
      <c r="AL43" s="28">
        <f t="shared" si="11"/>
        <v>18900</v>
      </c>
    </row>
    <row r="44" spans="23:38" x14ac:dyDescent="0.35">
      <c r="W44">
        <v>501710</v>
      </c>
      <c r="X44" t="s">
        <v>45</v>
      </c>
      <c r="Y44" s="29" t="s">
        <v>27</v>
      </c>
      <c r="Z44" s="39"/>
      <c r="AA44" s="40"/>
      <c r="AB44" s="40"/>
      <c r="AC44" s="40"/>
      <c r="AD44" s="40"/>
      <c r="AE44" s="40"/>
      <c r="AF44" s="40"/>
      <c r="AG44" s="40">
        <v>8150</v>
      </c>
      <c r="AH44" s="40"/>
      <c r="AI44" s="40"/>
      <c r="AJ44" s="40"/>
      <c r="AK44" s="42"/>
      <c r="AL44" s="28">
        <f t="shared" si="11"/>
        <v>8150</v>
      </c>
    </row>
    <row r="45" spans="23:38" x14ac:dyDescent="0.35">
      <c r="W45">
        <v>501710</v>
      </c>
      <c r="X45" t="s">
        <v>45</v>
      </c>
      <c r="Y45" s="29" t="s">
        <v>27</v>
      </c>
      <c r="Z45" s="39"/>
      <c r="AA45" s="40"/>
      <c r="AB45" s="40"/>
      <c r="AC45" s="40"/>
      <c r="AD45" s="40"/>
      <c r="AE45" s="40"/>
      <c r="AF45" s="40"/>
      <c r="AG45" s="40">
        <v>2500</v>
      </c>
      <c r="AH45" s="40"/>
      <c r="AI45" s="40"/>
      <c r="AJ45" s="40"/>
      <c r="AK45" s="42"/>
      <c r="AL45" s="28">
        <f t="shared" si="11"/>
        <v>2500</v>
      </c>
    </row>
    <row r="46" spans="23:38" x14ac:dyDescent="0.35">
      <c r="W46">
        <v>501710</v>
      </c>
      <c r="X46" t="s">
        <v>45</v>
      </c>
      <c r="Y46" s="29" t="s">
        <v>27</v>
      </c>
      <c r="Z46" s="39"/>
      <c r="AA46" s="40"/>
      <c r="AB46" s="40"/>
      <c r="AC46" s="40"/>
      <c r="AD46" s="40"/>
      <c r="AE46" s="40"/>
      <c r="AF46" s="40"/>
      <c r="AG46" s="40">
        <v>1700</v>
      </c>
      <c r="AH46" s="40"/>
      <c r="AI46" s="40"/>
      <c r="AJ46" s="40"/>
      <c r="AK46" s="42"/>
      <c r="AL46" s="28">
        <f t="shared" si="11"/>
        <v>1700</v>
      </c>
    </row>
    <row r="47" spans="23:38" x14ac:dyDescent="0.35">
      <c r="W47">
        <v>501710</v>
      </c>
      <c r="X47" t="s">
        <v>45</v>
      </c>
      <c r="Y47" s="29" t="s">
        <v>27</v>
      </c>
      <c r="Z47" s="39"/>
      <c r="AA47" s="40"/>
      <c r="AB47" s="40"/>
      <c r="AC47" s="40"/>
      <c r="AD47" s="40">
        <v>9000</v>
      </c>
      <c r="AE47" s="40"/>
      <c r="AF47" s="40"/>
      <c r="AG47" s="40"/>
      <c r="AH47" s="40"/>
      <c r="AI47" s="40"/>
      <c r="AJ47" s="40"/>
      <c r="AK47" s="42"/>
      <c r="AL47" s="28">
        <f t="shared" si="11"/>
        <v>9000</v>
      </c>
    </row>
    <row r="48" spans="23:38" x14ac:dyDescent="0.35">
      <c r="W48">
        <v>501710</v>
      </c>
      <c r="X48" t="s">
        <v>45</v>
      </c>
      <c r="Y48" s="29" t="s">
        <v>27</v>
      </c>
      <c r="Z48" s="39"/>
      <c r="AA48" s="40"/>
      <c r="AB48" s="40"/>
      <c r="AC48" s="40"/>
      <c r="AD48" s="40"/>
      <c r="AE48" s="40"/>
      <c r="AF48" s="40"/>
      <c r="AG48" s="40"/>
      <c r="AH48" s="40">
        <v>12200</v>
      </c>
      <c r="AI48" s="40"/>
      <c r="AJ48" s="40"/>
      <c r="AK48" s="42"/>
      <c r="AL48" s="28">
        <f t="shared" si="11"/>
        <v>12200</v>
      </c>
    </row>
    <row r="49" spans="23:38" x14ac:dyDescent="0.35">
      <c r="W49">
        <v>501710</v>
      </c>
      <c r="X49" t="s">
        <v>45</v>
      </c>
      <c r="Y49" s="29" t="s">
        <v>27</v>
      </c>
      <c r="Z49" s="39"/>
      <c r="AA49" s="40"/>
      <c r="AB49" s="40"/>
      <c r="AC49" s="40"/>
      <c r="AD49" s="40"/>
      <c r="AE49" s="40"/>
      <c r="AF49" s="40"/>
      <c r="AG49" s="40"/>
      <c r="AH49" s="40">
        <v>12200</v>
      </c>
      <c r="AI49" s="40"/>
      <c r="AJ49" s="40"/>
      <c r="AK49" s="42"/>
      <c r="AL49" s="28">
        <f t="shared" si="11"/>
        <v>12200</v>
      </c>
    </row>
    <row r="50" spans="23:38" x14ac:dyDescent="0.35">
      <c r="W50">
        <v>501710</v>
      </c>
      <c r="X50" t="s">
        <v>45</v>
      </c>
      <c r="Y50" s="29" t="s">
        <v>27</v>
      </c>
      <c r="Z50" s="39"/>
      <c r="AA50" s="40"/>
      <c r="AB50" s="40"/>
      <c r="AC50" s="40"/>
      <c r="AD50" s="40"/>
      <c r="AE50" s="40"/>
      <c r="AF50" s="40"/>
      <c r="AG50" s="40"/>
      <c r="AH50" s="40"/>
      <c r="AI50" s="40"/>
      <c r="AJ50" s="40">
        <v>4000</v>
      </c>
      <c r="AK50" s="42"/>
      <c r="AL50" s="28">
        <f t="shared" si="11"/>
        <v>4000</v>
      </c>
    </row>
    <row r="51" spans="23:38" x14ac:dyDescent="0.35">
      <c r="W51">
        <v>501710</v>
      </c>
      <c r="X51" t="s">
        <v>45</v>
      </c>
      <c r="Y51" s="29" t="s">
        <v>27</v>
      </c>
      <c r="Z51" s="39"/>
      <c r="AA51" s="40"/>
      <c r="AB51" s="40">
        <v>5000</v>
      </c>
      <c r="AC51" s="40">
        <v>5000</v>
      </c>
      <c r="AD51" s="40">
        <v>5000</v>
      </c>
      <c r="AE51" s="40">
        <v>5000</v>
      </c>
      <c r="AF51" s="40">
        <v>5000</v>
      </c>
      <c r="AG51" s="40"/>
      <c r="AH51" s="40"/>
      <c r="AI51" s="40"/>
      <c r="AJ51" s="40"/>
      <c r="AK51" s="42"/>
      <c r="AL51" s="28">
        <f t="shared" si="11"/>
        <v>25000</v>
      </c>
    </row>
    <row r="52" spans="23:38" x14ac:dyDescent="0.35">
      <c r="W52">
        <v>501710</v>
      </c>
      <c r="X52" t="s">
        <v>45</v>
      </c>
      <c r="Y52" s="29" t="s">
        <v>27</v>
      </c>
      <c r="Z52" s="39"/>
      <c r="AA52" s="40"/>
      <c r="AB52" s="40">
        <v>4000</v>
      </c>
      <c r="AC52" s="40"/>
      <c r="AD52" s="40"/>
      <c r="AE52" s="40"/>
      <c r="AF52" s="40"/>
      <c r="AG52" s="40"/>
      <c r="AH52" s="40"/>
      <c r="AI52" s="40"/>
      <c r="AJ52" s="40"/>
      <c r="AK52" s="42"/>
      <c r="AL52" s="28">
        <f t="shared" si="11"/>
        <v>4000</v>
      </c>
    </row>
    <row r="53" spans="23:38" x14ac:dyDescent="0.35">
      <c r="W53">
        <v>501710</v>
      </c>
      <c r="X53" t="s">
        <v>45</v>
      </c>
      <c r="Y53" s="29" t="s">
        <v>27</v>
      </c>
      <c r="Z53" s="39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2">
        <v>0</v>
      </c>
      <c r="AL53" s="28">
        <f t="shared" si="11"/>
        <v>0</v>
      </c>
    </row>
    <row r="54" spans="23:38" x14ac:dyDescent="0.35">
      <c r="W54">
        <v>501710</v>
      </c>
      <c r="X54" t="s">
        <v>45</v>
      </c>
      <c r="Y54" s="29" t="s">
        <v>27</v>
      </c>
      <c r="Z54" s="39"/>
      <c r="AA54" s="40"/>
      <c r="AB54" s="40"/>
      <c r="AC54" s="40"/>
      <c r="AD54" s="40"/>
      <c r="AE54" s="40"/>
      <c r="AF54" s="40"/>
      <c r="AG54" s="40"/>
      <c r="AH54" s="40">
        <v>12000</v>
      </c>
      <c r="AI54" s="40"/>
      <c r="AJ54" s="40"/>
      <c r="AK54" s="42">
        <v>30000</v>
      </c>
      <c r="AL54" s="28">
        <f t="shared" si="11"/>
        <v>42000</v>
      </c>
    </row>
    <row r="55" spans="23:38" x14ac:dyDescent="0.35">
      <c r="W55">
        <v>501710</v>
      </c>
      <c r="X55" t="s">
        <v>45</v>
      </c>
      <c r="Y55" s="29" t="s">
        <v>27</v>
      </c>
      <c r="Z55" s="39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2"/>
      <c r="AL55" s="28">
        <f t="shared" si="11"/>
        <v>0</v>
      </c>
    </row>
    <row r="56" spans="23:38" x14ac:dyDescent="0.35">
      <c r="W56">
        <v>501710</v>
      </c>
      <c r="X56" t="s">
        <v>45</v>
      </c>
      <c r="Y56" s="29" t="s">
        <v>27</v>
      </c>
      <c r="Z56" s="39" t="s">
        <v>46</v>
      </c>
      <c r="AA56" s="40" t="s">
        <v>46</v>
      </c>
      <c r="AB56" s="40">
        <v>7500</v>
      </c>
      <c r="AC56" s="40" t="s">
        <v>46</v>
      </c>
      <c r="AD56" s="40" t="s">
        <v>46</v>
      </c>
      <c r="AE56" s="40">
        <v>7500</v>
      </c>
      <c r="AF56" s="40" t="s">
        <v>46</v>
      </c>
      <c r="AG56" s="40" t="s">
        <v>46</v>
      </c>
      <c r="AH56" s="40">
        <v>7500</v>
      </c>
      <c r="AI56" s="40" t="s">
        <v>46</v>
      </c>
      <c r="AJ56" s="40" t="s">
        <v>46</v>
      </c>
      <c r="AK56" s="42">
        <v>7500</v>
      </c>
      <c r="AL56" s="28">
        <f t="shared" si="11"/>
        <v>30000</v>
      </c>
    </row>
    <row r="57" spans="23:38" x14ac:dyDescent="0.35">
      <c r="W57">
        <v>501710</v>
      </c>
      <c r="X57" t="s">
        <v>45</v>
      </c>
      <c r="Y57" s="29" t="s">
        <v>27</v>
      </c>
      <c r="Z57" s="39" t="s">
        <v>46</v>
      </c>
      <c r="AA57" s="40" t="s">
        <v>46</v>
      </c>
      <c r="AB57" s="40">
        <v>30000</v>
      </c>
      <c r="AC57" s="40" t="s">
        <v>46</v>
      </c>
      <c r="AD57" s="40">
        <v>0</v>
      </c>
      <c r="AE57" s="40">
        <v>0</v>
      </c>
      <c r="AF57" s="40" t="s">
        <v>46</v>
      </c>
      <c r="AG57" s="40" t="s">
        <v>46</v>
      </c>
      <c r="AH57" s="40"/>
      <c r="AI57" s="40"/>
      <c r="AJ57" s="40"/>
      <c r="AK57" s="42"/>
      <c r="AL57" s="28">
        <f t="shared" si="11"/>
        <v>30000</v>
      </c>
    </row>
    <row r="58" spans="23:38" x14ac:dyDescent="0.35">
      <c r="W58">
        <v>501710</v>
      </c>
      <c r="X58" t="s">
        <v>45</v>
      </c>
      <c r="Y58" s="29" t="s">
        <v>27</v>
      </c>
      <c r="Z58" s="39"/>
      <c r="AA58" s="40">
        <v>10000</v>
      </c>
      <c r="AB58" s="40"/>
      <c r="AC58" s="40"/>
      <c r="AD58" s="40"/>
      <c r="AE58" s="40">
        <v>10000</v>
      </c>
      <c r="AF58" s="40"/>
      <c r="AG58" s="40"/>
      <c r="AH58" s="40"/>
      <c r="AI58" s="40">
        <v>10000</v>
      </c>
      <c r="AJ58" s="40"/>
      <c r="AK58" s="42"/>
      <c r="AL58" s="28">
        <f t="shared" si="11"/>
        <v>30000</v>
      </c>
    </row>
    <row r="59" spans="23:38" x14ac:dyDescent="0.35">
      <c r="W59">
        <v>501710</v>
      </c>
      <c r="X59" t="s">
        <v>45</v>
      </c>
      <c r="Y59" s="29" t="s">
        <v>27</v>
      </c>
      <c r="Z59" s="39">
        <v>5000</v>
      </c>
      <c r="AA59" s="40">
        <v>10000</v>
      </c>
      <c r="AB59" s="40">
        <v>5000</v>
      </c>
      <c r="AC59" s="40">
        <v>5000</v>
      </c>
      <c r="AD59" s="40">
        <v>10000</v>
      </c>
      <c r="AE59" s="40">
        <v>5000</v>
      </c>
      <c r="AF59" s="40">
        <v>5000</v>
      </c>
      <c r="AG59" s="40">
        <v>5000</v>
      </c>
      <c r="AH59" s="40">
        <v>5000</v>
      </c>
      <c r="AI59" s="40">
        <v>5000</v>
      </c>
      <c r="AJ59" s="40">
        <v>5000</v>
      </c>
      <c r="AK59" s="42">
        <v>5000</v>
      </c>
      <c r="AL59" s="28">
        <f t="shared" si="11"/>
        <v>70000</v>
      </c>
    </row>
    <row r="60" spans="23:38" x14ac:dyDescent="0.35">
      <c r="W60">
        <v>501710</v>
      </c>
      <c r="X60" t="s">
        <v>45</v>
      </c>
      <c r="Y60" s="29" t="s">
        <v>27</v>
      </c>
      <c r="Z60" s="39" t="s">
        <v>46</v>
      </c>
      <c r="AA60" s="40" t="s">
        <v>46</v>
      </c>
      <c r="AB60" s="40" t="s">
        <v>46</v>
      </c>
      <c r="AC60" s="40" t="s">
        <v>46</v>
      </c>
      <c r="AD60" s="40">
        <v>15000</v>
      </c>
      <c r="AE60" s="40" t="s">
        <v>46</v>
      </c>
      <c r="AF60" s="40" t="s">
        <v>46</v>
      </c>
      <c r="AG60" s="40"/>
      <c r="AH60" s="40" t="s">
        <v>46</v>
      </c>
      <c r="AI60" s="40" t="s">
        <v>46</v>
      </c>
      <c r="AJ60" s="40" t="s">
        <v>46</v>
      </c>
      <c r="AK60" s="42" t="s">
        <v>46</v>
      </c>
      <c r="AL60" s="28">
        <f t="shared" si="11"/>
        <v>15000</v>
      </c>
    </row>
    <row r="61" spans="23:38" x14ac:dyDescent="0.35">
      <c r="W61">
        <v>501710</v>
      </c>
      <c r="X61" t="s">
        <v>45</v>
      </c>
      <c r="Y61" s="29" t="s">
        <v>27</v>
      </c>
      <c r="Z61" s="39"/>
      <c r="AA61" s="40"/>
      <c r="AB61" s="40">
        <v>4000</v>
      </c>
      <c r="AC61" s="40"/>
      <c r="AD61" s="40"/>
      <c r="AE61" s="40"/>
      <c r="AF61" s="40"/>
      <c r="AG61" s="40"/>
      <c r="AH61" s="40"/>
      <c r="AI61" s="40"/>
      <c r="AJ61" s="40"/>
      <c r="AK61" s="42"/>
      <c r="AL61" s="28">
        <f t="shared" si="11"/>
        <v>4000</v>
      </c>
    </row>
    <row r="62" spans="23:38" x14ac:dyDescent="0.35">
      <c r="W62">
        <v>501710</v>
      </c>
      <c r="X62" t="s">
        <v>45</v>
      </c>
      <c r="Y62" s="29" t="s">
        <v>27</v>
      </c>
      <c r="Z62" s="39" t="s">
        <v>46</v>
      </c>
      <c r="AA62" s="40" t="s">
        <v>46</v>
      </c>
      <c r="AB62" s="40" t="s">
        <v>46</v>
      </c>
      <c r="AC62" s="40" t="s">
        <v>46</v>
      </c>
      <c r="AD62" s="40" t="s">
        <v>46</v>
      </c>
      <c r="AE62" s="40" t="s">
        <v>46</v>
      </c>
      <c r="AF62" s="40" t="s">
        <v>46</v>
      </c>
      <c r="AG62" s="40">
        <v>2000</v>
      </c>
      <c r="AH62" s="40" t="s">
        <v>46</v>
      </c>
      <c r="AI62" s="40" t="s">
        <v>46</v>
      </c>
      <c r="AJ62" s="40" t="s">
        <v>46</v>
      </c>
      <c r="AK62" s="42" t="s">
        <v>46</v>
      </c>
      <c r="AL62" s="28">
        <f t="shared" si="11"/>
        <v>2000</v>
      </c>
    </row>
    <row r="63" spans="23:38" x14ac:dyDescent="0.35">
      <c r="W63">
        <v>501710</v>
      </c>
      <c r="X63" t="s">
        <v>45</v>
      </c>
      <c r="Y63" s="29" t="s">
        <v>27</v>
      </c>
      <c r="Z63" s="39"/>
      <c r="AA63" s="40"/>
      <c r="AB63" s="40"/>
      <c r="AC63" s="40"/>
      <c r="AD63" s="40"/>
      <c r="AE63" s="40"/>
      <c r="AF63" s="40"/>
      <c r="AG63" s="40"/>
      <c r="AH63" s="40">
        <v>28000</v>
      </c>
      <c r="AI63" s="40"/>
      <c r="AJ63" s="40"/>
      <c r="AK63" s="42"/>
      <c r="AL63" s="28">
        <f t="shared" si="11"/>
        <v>28000</v>
      </c>
    </row>
    <row r="64" spans="23:38" x14ac:dyDescent="0.35">
      <c r="W64">
        <v>501710</v>
      </c>
      <c r="X64" t="s">
        <v>45</v>
      </c>
      <c r="Y64" s="29" t="s">
        <v>27</v>
      </c>
      <c r="Z64" s="39">
        <v>0</v>
      </c>
      <c r="AA64" s="40">
        <v>0</v>
      </c>
      <c r="AB64" s="40">
        <v>0</v>
      </c>
      <c r="AC64" s="40">
        <v>0</v>
      </c>
      <c r="AD64" s="40">
        <v>0</v>
      </c>
      <c r="AE64" s="40"/>
      <c r="AF64" s="40"/>
      <c r="AG64" s="40"/>
      <c r="AH64" s="40"/>
      <c r="AI64" s="40"/>
      <c r="AJ64" s="40"/>
      <c r="AK64" s="42"/>
      <c r="AL64" s="28">
        <f t="shared" si="11"/>
        <v>0</v>
      </c>
    </row>
    <row r="65" spans="23:38" x14ac:dyDescent="0.35">
      <c r="X65" t="s">
        <v>45</v>
      </c>
      <c r="Y65" s="29"/>
      <c r="Z65" s="39"/>
      <c r="AA65" s="40"/>
      <c r="AB65" s="40"/>
      <c r="AC65" s="40"/>
      <c r="AD65" s="40">
        <v>0</v>
      </c>
      <c r="AE65" s="40">
        <v>0</v>
      </c>
      <c r="AF65" s="40">
        <v>0</v>
      </c>
      <c r="AG65" s="40">
        <v>0</v>
      </c>
      <c r="AH65" s="40">
        <v>0</v>
      </c>
      <c r="AI65" s="40"/>
      <c r="AJ65" s="40"/>
      <c r="AK65" s="42"/>
      <c r="AL65" s="28">
        <f t="shared" si="11"/>
        <v>0</v>
      </c>
    </row>
    <row r="66" spans="23:38" x14ac:dyDescent="0.35">
      <c r="W66">
        <v>501710</v>
      </c>
      <c r="X66" t="s">
        <v>45</v>
      </c>
      <c r="Y66" s="29" t="s">
        <v>27</v>
      </c>
      <c r="Z66" s="39" t="s">
        <v>46</v>
      </c>
      <c r="AA66" s="40">
        <v>6000</v>
      </c>
      <c r="AB66" s="40" t="s">
        <v>46</v>
      </c>
      <c r="AC66" s="40" t="s">
        <v>46</v>
      </c>
      <c r="AD66" s="40">
        <v>6000</v>
      </c>
      <c r="AE66" s="40" t="s">
        <v>46</v>
      </c>
      <c r="AF66" s="40">
        <v>6000</v>
      </c>
      <c r="AG66" s="40">
        <v>6000</v>
      </c>
      <c r="AH66" s="40" t="s">
        <v>46</v>
      </c>
      <c r="AI66" s="40" t="s">
        <v>46</v>
      </c>
      <c r="AJ66" s="40">
        <v>6000</v>
      </c>
      <c r="AK66" s="42" t="s">
        <v>46</v>
      </c>
      <c r="AL66" s="28">
        <f t="shared" si="11"/>
        <v>30000</v>
      </c>
    </row>
    <row r="67" spans="23:38" x14ac:dyDescent="0.35">
      <c r="W67">
        <v>501710</v>
      </c>
      <c r="X67" t="s">
        <v>45</v>
      </c>
      <c r="Y67" s="29" t="s">
        <v>27</v>
      </c>
      <c r="Z67" s="39" t="s">
        <v>46</v>
      </c>
      <c r="AA67" s="40" t="s">
        <v>46</v>
      </c>
      <c r="AB67" s="40" t="s">
        <v>46</v>
      </c>
      <c r="AC67" s="40" t="s">
        <v>46</v>
      </c>
      <c r="AD67" s="40">
        <v>5000</v>
      </c>
      <c r="AE67" s="40">
        <v>5000</v>
      </c>
      <c r="AF67" s="40" t="s">
        <v>46</v>
      </c>
      <c r="AG67" s="40">
        <v>5000</v>
      </c>
      <c r="AH67" s="40">
        <v>5000</v>
      </c>
      <c r="AI67" s="40">
        <v>5000</v>
      </c>
      <c r="AJ67" s="40">
        <v>5000</v>
      </c>
      <c r="AK67" s="42" t="s">
        <v>46</v>
      </c>
      <c r="AL67" s="28">
        <f t="shared" si="11"/>
        <v>30000</v>
      </c>
    </row>
    <row r="68" spans="23:38" x14ac:dyDescent="0.35">
      <c r="W68">
        <v>501710</v>
      </c>
      <c r="X68" t="s">
        <v>45</v>
      </c>
      <c r="Y68" s="29" t="s">
        <v>27</v>
      </c>
      <c r="Z68" s="39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2"/>
      <c r="AL68" s="28">
        <f t="shared" si="11"/>
        <v>0</v>
      </c>
    </row>
    <row r="69" spans="23:38" x14ac:dyDescent="0.35">
      <c r="W69">
        <v>501710</v>
      </c>
      <c r="X69" t="s">
        <v>45</v>
      </c>
      <c r="Y69" s="29" t="s">
        <v>27</v>
      </c>
      <c r="Z69" s="39">
        <v>3500</v>
      </c>
      <c r="AA69" s="40">
        <v>3500</v>
      </c>
      <c r="AB69" s="40">
        <v>3500</v>
      </c>
      <c r="AC69" s="40">
        <v>3400</v>
      </c>
      <c r="AD69" s="40">
        <v>3400</v>
      </c>
      <c r="AE69" s="40">
        <v>3400</v>
      </c>
      <c r="AF69" s="40">
        <v>3400</v>
      </c>
      <c r="AG69" s="40">
        <v>3400</v>
      </c>
      <c r="AH69" s="40">
        <v>3400</v>
      </c>
      <c r="AI69" s="40">
        <v>3400</v>
      </c>
      <c r="AJ69" s="40">
        <v>3400</v>
      </c>
      <c r="AK69" s="42">
        <v>3400</v>
      </c>
      <c r="AL69" s="28">
        <f t="shared" si="11"/>
        <v>41100</v>
      </c>
    </row>
    <row r="70" spans="23:38" x14ac:dyDescent="0.35">
      <c r="W70">
        <v>501710</v>
      </c>
      <c r="X70" t="s">
        <v>45</v>
      </c>
      <c r="Y70" s="29" t="s">
        <v>27</v>
      </c>
      <c r="Z70" s="39">
        <v>50000</v>
      </c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2"/>
      <c r="AL70" s="28">
        <f t="shared" si="11"/>
        <v>50000</v>
      </c>
    </row>
    <row r="71" spans="23:38" x14ac:dyDescent="0.35">
      <c r="W71">
        <v>501710</v>
      </c>
      <c r="X71" t="s">
        <v>45</v>
      </c>
      <c r="Y71" s="29" t="s">
        <v>27</v>
      </c>
      <c r="Z71" s="39"/>
      <c r="AA71" s="40"/>
      <c r="AB71" s="40"/>
      <c r="AC71" s="40"/>
      <c r="AD71" s="40"/>
      <c r="AE71" s="40"/>
      <c r="AF71" s="40">
        <v>5000</v>
      </c>
      <c r="AG71" s="40">
        <v>5000</v>
      </c>
      <c r="AH71" s="40">
        <v>5000</v>
      </c>
      <c r="AI71" s="40">
        <v>5000</v>
      </c>
      <c r="AJ71" s="40">
        <v>5000</v>
      </c>
      <c r="AK71" s="42">
        <v>5000</v>
      </c>
      <c r="AL71" s="28">
        <f t="shared" si="11"/>
        <v>30000</v>
      </c>
    </row>
    <row r="72" spans="23:38" x14ac:dyDescent="0.35">
      <c r="W72">
        <v>501710</v>
      </c>
      <c r="X72" t="s">
        <v>45</v>
      </c>
      <c r="Y72" s="29" t="s">
        <v>27</v>
      </c>
      <c r="Z72" s="39"/>
      <c r="AA72" s="40"/>
      <c r="AB72" s="40"/>
      <c r="AC72" s="40"/>
      <c r="AD72" s="40"/>
      <c r="AE72" s="40">
        <v>30000</v>
      </c>
      <c r="AF72" s="40"/>
      <c r="AG72" s="40"/>
      <c r="AH72" s="40"/>
      <c r="AI72" s="40"/>
      <c r="AJ72" s="40"/>
      <c r="AK72" s="42"/>
      <c r="AL72" s="28">
        <f t="shared" si="11"/>
        <v>30000</v>
      </c>
    </row>
    <row r="73" spans="23:38" x14ac:dyDescent="0.35">
      <c r="W73">
        <v>501710</v>
      </c>
      <c r="X73" t="s">
        <v>45</v>
      </c>
      <c r="Y73" s="29" t="s">
        <v>27</v>
      </c>
      <c r="Z73" s="39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2">
        <v>0</v>
      </c>
      <c r="AL73" s="28">
        <f t="shared" si="11"/>
        <v>0</v>
      </c>
    </row>
    <row r="74" spans="23:38" x14ac:dyDescent="0.35">
      <c r="W74">
        <v>501710</v>
      </c>
      <c r="X74" t="s">
        <v>45</v>
      </c>
      <c r="Y74" s="29" t="s">
        <v>27</v>
      </c>
      <c r="Z74" s="39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2">
        <v>25000</v>
      </c>
      <c r="AL74" s="28">
        <f t="shared" si="11"/>
        <v>25000</v>
      </c>
    </row>
    <row r="75" spans="23:38" x14ac:dyDescent="0.35">
      <c r="W75">
        <v>501710</v>
      </c>
      <c r="X75" t="s">
        <v>45</v>
      </c>
      <c r="Y75" s="29" t="s">
        <v>27</v>
      </c>
      <c r="Z75" s="39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2">
        <v>25000</v>
      </c>
      <c r="AL75" s="28">
        <f t="shared" si="11"/>
        <v>25000</v>
      </c>
    </row>
    <row r="76" spans="23:38" x14ac:dyDescent="0.35">
      <c r="W76">
        <v>501710</v>
      </c>
      <c r="X76" t="s">
        <v>45</v>
      </c>
      <c r="Y76" s="29" t="s">
        <v>27</v>
      </c>
      <c r="Z76" s="39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2">
        <v>0</v>
      </c>
      <c r="AL76" s="28">
        <f t="shared" si="11"/>
        <v>0</v>
      </c>
    </row>
    <row r="77" spans="23:38" x14ac:dyDescent="0.35">
      <c r="W77">
        <v>501710</v>
      </c>
      <c r="X77" t="s">
        <v>45</v>
      </c>
      <c r="Y77" s="29" t="s">
        <v>27</v>
      </c>
      <c r="Z77" s="39"/>
      <c r="AA77" s="40" t="s">
        <v>46</v>
      </c>
      <c r="AB77" s="40"/>
      <c r="AC77" s="40" t="s">
        <v>46</v>
      </c>
      <c r="AD77" s="40"/>
      <c r="AE77" s="40" t="s">
        <v>46</v>
      </c>
      <c r="AF77" s="40" t="s">
        <v>46</v>
      </c>
      <c r="AG77" s="40"/>
      <c r="AH77" s="40" t="s">
        <v>46</v>
      </c>
      <c r="AI77" s="40"/>
      <c r="AJ77" s="40" t="s">
        <v>46</v>
      </c>
      <c r="AK77" s="42">
        <v>0</v>
      </c>
      <c r="AL77" s="28">
        <f t="shared" si="11"/>
        <v>0</v>
      </c>
    </row>
    <row r="78" spans="23:38" x14ac:dyDescent="0.35">
      <c r="W78">
        <v>501710</v>
      </c>
      <c r="X78" t="s">
        <v>45</v>
      </c>
      <c r="Y78" s="29" t="s">
        <v>27</v>
      </c>
      <c r="Z78" s="39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2">
        <v>0</v>
      </c>
      <c r="AL78" s="28">
        <f t="shared" si="11"/>
        <v>0</v>
      </c>
    </row>
    <row r="79" spans="23:38" x14ac:dyDescent="0.35">
      <c r="X79" t="s">
        <v>45</v>
      </c>
      <c r="Y79" s="29" t="s">
        <v>205</v>
      </c>
      <c r="Z79" s="39"/>
      <c r="AA79" s="40"/>
      <c r="AB79" s="40"/>
      <c r="AC79" s="40"/>
      <c r="AD79" s="40"/>
      <c r="AE79" s="40"/>
      <c r="AF79" s="40"/>
      <c r="AG79" s="40">
        <v>0</v>
      </c>
      <c r="AH79" s="40"/>
      <c r="AI79" s="40"/>
      <c r="AJ79" s="40"/>
      <c r="AK79" s="42"/>
      <c r="AL79" s="28">
        <f t="shared" si="11"/>
        <v>0</v>
      </c>
    </row>
    <row r="80" spans="23:38" x14ac:dyDescent="0.35">
      <c r="Y80" s="29" t="s">
        <v>205</v>
      </c>
      <c r="Z80" s="39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2"/>
      <c r="AL80" s="28">
        <f t="shared" si="11"/>
        <v>0</v>
      </c>
    </row>
    <row r="81" spans="23:38" x14ac:dyDescent="0.35">
      <c r="Y81" s="29" t="s">
        <v>205</v>
      </c>
      <c r="Z81" s="39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2"/>
      <c r="AL81" s="28">
        <f t="shared" si="11"/>
        <v>0</v>
      </c>
    </row>
    <row r="82" spans="23:38" x14ac:dyDescent="0.35">
      <c r="W82">
        <v>501609</v>
      </c>
      <c r="X82" t="s">
        <v>47</v>
      </c>
      <c r="Y82" s="29" t="s">
        <v>24</v>
      </c>
      <c r="Z82" s="39">
        <v>0</v>
      </c>
      <c r="AA82" s="40">
        <v>0</v>
      </c>
      <c r="AB82" s="40">
        <v>500</v>
      </c>
      <c r="AC82" s="40">
        <v>500</v>
      </c>
      <c r="AD82" s="40">
        <v>500</v>
      </c>
      <c r="AE82" s="40">
        <v>1000</v>
      </c>
      <c r="AF82" s="40">
        <v>500</v>
      </c>
      <c r="AG82" s="40">
        <v>500</v>
      </c>
      <c r="AH82" s="40">
        <v>500</v>
      </c>
      <c r="AI82" s="40">
        <v>500</v>
      </c>
      <c r="AJ82" s="40">
        <v>500</v>
      </c>
      <c r="AK82" s="42">
        <v>500</v>
      </c>
      <c r="AL82" s="28">
        <f t="shared" si="11"/>
        <v>5500</v>
      </c>
    </row>
    <row r="83" spans="23:38" x14ac:dyDescent="0.35">
      <c r="W83">
        <v>501609</v>
      </c>
      <c r="X83" t="s">
        <v>47</v>
      </c>
      <c r="Y83" s="29" t="s">
        <v>24</v>
      </c>
      <c r="Z83" s="39">
        <v>100</v>
      </c>
      <c r="AA83" s="40"/>
      <c r="AB83" s="40"/>
      <c r="AC83" s="40"/>
      <c r="AD83" s="40"/>
      <c r="AE83" s="40">
        <v>100</v>
      </c>
      <c r="AF83" s="40"/>
      <c r="AG83" s="40"/>
      <c r="AH83" s="40">
        <v>100</v>
      </c>
      <c r="AI83" s="40"/>
      <c r="AJ83" s="40">
        <v>100</v>
      </c>
      <c r="AK83" s="42">
        <v>0</v>
      </c>
      <c r="AL83" s="28">
        <f t="shared" si="11"/>
        <v>400</v>
      </c>
    </row>
    <row r="84" spans="23:38" x14ac:dyDescent="0.35">
      <c r="W84">
        <v>501609</v>
      </c>
      <c r="X84" t="s">
        <v>47</v>
      </c>
      <c r="Y84" s="29" t="s">
        <v>24</v>
      </c>
      <c r="Z84" s="39">
        <v>100</v>
      </c>
      <c r="AA84" s="40"/>
      <c r="AB84" s="40">
        <v>100</v>
      </c>
      <c r="AC84" s="40"/>
      <c r="AD84" s="40">
        <v>100</v>
      </c>
      <c r="AE84" s="40"/>
      <c r="AF84" s="40">
        <v>100</v>
      </c>
      <c r="AG84" s="40"/>
      <c r="AH84" s="40">
        <v>100</v>
      </c>
      <c r="AI84" s="40"/>
      <c r="AJ84" s="40">
        <v>100</v>
      </c>
      <c r="AK84" s="42">
        <v>100</v>
      </c>
      <c r="AL84" s="28">
        <f t="shared" si="11"/>
        <v>700</v>
      </c>
    </row>
    <row r="85" spans="23:38" x14ac:dyDescent="0.35">
      <c r="W85">
        <v>501609</v>
      </c>
      <c r="X85" t="s">
        <v>47</v>
      </c>
      <c r="Y85" s="29" t="s">
        <v>24</v>
      </c>
      <c r="Z85" s="39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2">
        <v>2500</v>
      </c>
      <c r="AL85" s="28">
        <f t="shared" si="11"/>
        <v>2500</v>
      </c>
    </row>
    <row r="86" spans="23:38" x14ac:dyDescent="0.35">
      <c r="W86">
        <v>501609</v>
      </c>
      <c r="X86" t="s">
        <v>47</v>
      </c>
      <c r="Y86" s="29" t="s">
        <v>24</v>
      </c>
      <c r="Z86" s="39">
        <v>1000</v>
      </c>
      <c r="AA86" s="40"/>
      <c r="AB86" s="40"/>
      <c r="AC86" s="40"/>
      <c r="AD86" s="40"/>
      <c r="AE86" s="40">
        <v>0</v>
      </c>
      <c r="AF86" s="40"/>
      <c r="AG86" s="40"/>
      <c r="AH86" s="40"/>
      <c r="AI86" s="40"/>
      <c r="AJ86" s="40">
        <v>1000</v>
      </c>
      <c r="AK86" s="42">
        <v>0</v>
      </c>
      <c r="AL86" s="28">
        <f t="shared" si="11"/>
        <v>2000</v>
      </c>
    </row>
    <row r="87" spans="23:38" x14ac:dyDescent="0.35">
      <c r="W87">
        <v>501609</v>
      </c>
      <c r="X87" t="s">
        <v>47</v>
      </c>
      <c r="Y87" s="29" t="s">
        <v>24</v>
      </c>
      <c r="Z87" s="39">
        <v>1000</v>
      </c>
      <c r="AA87" s="40"/>
      <c r="AB87" s="40"/>
      <c r="AC87" s="40"/>
      <c r="AD87" s="40"/>
      <c r="AE87" s="40"/>
      <c r="AF87" s="40"/>
      <c r="AG87" s="40"/>
      <c r="AH87" s="40"/>
      <c r="AI87" s="40"/>
      <c r="AJ87" s="40">
        <v>1000</v>
      </c>
      <c r="AK87" s="42">
        <v>0</v>
      </c>
      <c r="AL87" s="28">
        <f t="shared" si="11"/>
        <v>2000</v>
      </c>
    </row>
    <row r="88" spans="23:38" x14ac:dyDescent="0.35">
      <c r="W88">
        <v>501609</v>
      </c>
      <c r="X88" t="s">
        <v>47</v>
      </c>
      <c r="Y88" s="29" t="s">
        <v>24</v>
      </c>
      <c r="Z88" s="39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2">
        <v>1000</v>
      </c>
      <c r="AL88" s="28">
        <f t="shared" si="11"/>
        <v>1000</v>
      </c>
    </row>
    <row r="89" spans="23:38" x14ac:dyDescent="0.35">
      <c r="W89">
        <v>501609</v>
      </c>
      <c r="X89" t="s">
        <v>47</v>
      </c>
      <c r="Y89" s="29" t="s">
        <v>24</v>
      </c>
      <c r="Z89" s="39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2">
        <v>5000</v>
      </c>
      <c r="AL89" s="28">
        <f t="shared" si="11"/>
        <v>5000</v>
      </c>
    </row>
    <row r="90" spans="23:38" x14ac:dyDescent="0.35">
      <c r="W90">
        <v>501609</v>
      </c>
      <c r="X90" t="s">
        <v>47</v>
      </c>
      <c r="Y90" s="29" t="s">
        <v>24</v>
      </c>
      <c r="Z90" s="39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2">
        <v>1500</v>
      </c>
      <c r="AL90" s="28">
        <f t="shared" si="11"/>
        <v>1500</v>
      </c>
    </row>
    <row r="91" spans="23:38" x14ac:dyDescent="0.35">
      <c r="W91">
        <v>501609</v>
      </c>
      <c r="X91" t="s">
        <v>47</v>
      </c>
      <c r="Y91" s="29" t="s">
        <v>24</v>
      </c>
      <c r="Z91" s="39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2">
        <v>500</v>
      </c>
      <c r="AL91" s="28">
        <f t="shared" si="11"/>
        <v>500</v>
      </c>
    </row>
    <row r="92" spans="23:38" x14ac:dyDescent="0.35">
      <c r="W92">
        <v>501609</v>
      </c>
      <c r="X92" t="s">
        <v>47</v>
      </c>
      <c r="Y92" s="29" t="s">
        <v>24</v>
      </c>
      <c r="Z92" s="39">
        <v>300</v>
      </c>
      <c r="AA92" s="40">
        <v>300</v>
      </c>
      <c r="AB92" s="40">
        <v>300</v>
      </c>
      <c r="AC92" s="40">
        <v>300</v>
      </c>
      <c r="AD92" s="40">
        <v>300</v>
      </c>
      <c r="AE92" s="40">
        <v>300</v>
      </c>
      <c r="AF92" s="40">
        <v>300</v>
      </c>
      <c r="AG92" s="40">
        <v>300</v>
      </c>
      <c r="AH92" s="40">
        <v>300</v>
      </c>
      <c r="AI92" s="40">
        <v>300</v>
      </c>
      <c r="AJ92" s="40">
        <v>300</v>
      </c>
      <c r="AK92" s="42">
        <v>300</v>
      </c>
      <c r="AL92" s="28">
        <f t="shared" si="11"/>
        <v>3600</v>
      </c>
    </row>
    <row r="93" spans="23:38" x14ac:dyDescent="0.35">
      <c r="W93">
        <v>501609</v>
      </c>
      <c r="X93" t="s">
        <v>47</v>
      </c>
      <c r="Y93" s="29" t="s">
        <v>24</v>
      </c>
      <c r="Z93" s="39">
        <v>0</v>
      </c>
      <c r="AA93" s="40">
        <v>0</v>
      </c>
      <c r="AB93" s="40">
        <v>1000</v>
      </c>
      <c r="AC93" s="40">
        <v>0</v>
      </c>
      <c r="AD93" s="40">
        <v>0</v>
      </c>
      <c r="AE93" s="40">
        <v>1000</v>
      </c>
      <c r="AF93" s="40">
        <v>0</v>
      </c>
      <c r="AG93" s="40">
        <v>0</v>
      </c>
      <c r="AH93" s="40">
        <v>0</v>
      </c>
      <c r="AI93" s="40">
        <v>0</v>
      </c>
      <c r="AJ93" s="40">
        <v>0</v>
      </c>
      <c r="AK93" s="42">
        <v>1000</v>
      </c>
      <c r="AL93" s="28">
        <f t="shared" si="11"/>
        <v>3000</v>
      </c>
    </row>
    <row r="94" spans="23:38" x14ac:dyDescent="0.35">
      <c r="W94">
        <v>600037</v>
      </c>
      <c r="X94" t="s">
        <v>48</v>
      </c>
      <c r="Y94" s="29" t="s">
        <v>22</v>
      </c>
      <c r="Z94" s="39">
        <v>1000</v>
      </c>
      <c r="AA94" s="40"/>
      <c r="AB94" s="40"/>
      <c r="AC94" s="40"/>
      <c r="AD94" s="40"/>
      <c r="AE94" s="40"/>
      <c r="AF94" s="40"/>
      <c r="AG94" s="40"/>
      <c r="AH94" s="40"/>
      <c r="AI94" s="40"/>
      <c r="AJ94" s="40">
        <v>0</v>
      </c>
      <c r="AK94" s="42">
        <v>1000</v>
      </c>
      <c r="AL94" s="28">
        <f t="shared" si="11"/>
        <v>2000</v>
      </c>
    </row>
    <row r="95" spans="23:38" x14ac:dyDescent="0.35">
      <c r="W95">
        <v>501700</v>
      </c>
      <c r="X95" t="s">
        <v>49</v>
      </c>
      <c r="Y95" s="29" t="s">
        <v>29</v>
      </c>
      <c r="Z95" s="39">
        <v>0</v>
      </c>
      <c r="AA95" s="40">
        <v>0</v>
      </c>
      <c r="AB95" s="40">
        <v>0</v>
      </c>
      <c r="AC95" s="40">
        <v>0</v>
      </c>
      <c r="AD95" s="40">
        <v>0</v>
      </c>
      <c r="AE95" s="40">
        <v>0</v>
      </c>
      <c r="AF95" s="40">
        <v>0</v>
      </c>
      <c r="AG95" s="40">
        <v>0</v>
      </c>
      <c r="AH95" s="40">
        <v>0</v>
      </c>
      <c r="AI95" s="40">
        <v>0</v>
      </c>
      <c r="AJ95" s="40">
        <v>0</v>
      </c>
      <c r="AK95" s="42">
        <v>1000</v>
      </c>
      <c r="AL95" s="28">
        <f t="shared" si="11"/>
        <v>1000</v>
      </c>
    </row>
    <row r="96" spans="23:38" x14ac:dyDescent="0.35">
      <c r="W96">
        <v>501660</v>
      </c>
      <c r="X96" t="s">
        <v>50</v>
      </c>
      <c r="Y96" s="29" t="s">
        <v>22</v>
      </c>
      <c r="Z96" s="39"/>
      <c r="AA96" s="40"/>
      <c r="AB96" s="40"/>
      <c r="AC96" s="40"/>
      <c r="AD96" s="40"/>
      <c r="AE96" s="40"/>
      <c r="AF96" s="40">
        <v>0</v>
      </c>
      <c r="AG96" s="40"/>
      <c r="AH96" s="40"/>
      <c r="AI96" s="40"/>
      <c r="AJ96" s="40"/>
      <c r="AK96" s="42">
        <v>60000</v>
      </c>
      <c r="AL96" s="28">
        <f t="shared" ref="AL96:AL104" si="12">+SUM(Z96:AK96)</f>
        <v>60000</v>
      </c>
    </row>
    <row r="97" spans="23:38" x14ac:dyDescent="0.35">
      <c r="W97">
        <v>501660</v>
      </c>
      <c r="X97" t="s">
        <v>50</v>
      </c>
      <c r="Y97" s="29" t="s">
        <v>22</v>
      </c>
      <c r="Z97" s="39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2">
        <v>1500</v>
      </c>
      <c r="AL97" s="28">
        <f t="shared" si="12"/>
        <v>1500</v>
      </c>
    </row>
    <row r="98" spans="23:38" x14ac:dyDescent="0.35">
      <c r="W98">
        <v>501660</v>
      </c>
      <c r="X98" t="s">
        <v>50</v>
      </c>
      <c r="Y98" s="29" t="s">
        <v>22</v>
      </c>
      <c r="Z98" s="39">
        <v>0</v>
      </c>
      <c r="AA98" s="40">
        <v>0</v>
      </c>
      <c r="AB98" s="40">
        <v>0</v>
      </c>
      <c r="AC98" s="40">
        <v>0</v>
      </c>
      <c r="AD98" s="40">
        <v>0</v>
      </c>
      <c r="AE98" s="40">
        <v>0</v>
      </c>
      <c r="AF98" s="40">
        <v>0</v>
      </c>
      <c r="AG98" s="40">
        <v>0</v>
      </c>
      <c r="AH98" s="40">
        <v>0</v>
      </c>
      <c r="AI98" s="40">
        <v>0</v>
      </c>
      <c r="AJ98" s="40">
        <v>0</v>
      </c>
      <c r="AK98" s="42">
        <v>1000</v>
      </c>
      <c r="AL98" s="28">
        <f t="shared" si="12"/>
        <v>1000</v>
      </c>
    </row>
    <row r="99" spans="23:38" x14ac:dyDescent="0.35">
      <c r="W99">
        <v>600037</v>
      </c>
      <c r="X99" t="s">
        <v>48</v>
      </c>
      <c r="Y99" s="29" t="s">
        <v>22</v>
      </c>
      <c r="Z99" s="39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2"/>
      <c r="AL99" s="28">
        <f t="shared" si="12"/>
        <v>0</v>
      </c>
    </row>
    <row r="100" spans="23:38" x14ac:dyDescent="0.35">
      <c r="W100" t="s">
        <v>205</v>
      </c>
      <c r="Y100" s="29" t="s">
        <v>205</v>
      </c>
      <c r="Z100" s="39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2"/>
      <c r="AL100" s="28">
        <f t="shared" si="12"/>
        <v>0</v>
      </c>
    </row>
    <row r="101" spans="23:38" x14ac:dyDescent="0.35">
      <c r="W101">
        <v>501223</v>
      </c>
      <c r="X101" t="s">
        <v>51</v>
      </c>
      <c r="Y101" s="29" t="s">
        <v>34</v>
      </c>
      <c r="Z101" s="39">
        <v>-1423.3333333333333</v>
      </c>
      <c r="AA101" s="40">
        <v>-1423.3333333333333</v>
      </c>
      <c r="AB101" s="40">
        <v>-1423.3333333333333</v>
      </c>
      <c r="AC101" s="40">
        <v>-1423.3333333333333</v>
      </c>
      <c r="AD101" s="40">
        <v>-1423.3333333333333</v>
      </c>
      <c r="AE101" s="40">
        <v>-1423.3333333333333</v>
      </c>
      <c r="AF101" s="40">
        <v>-1423.3333333333333</v>
      </c>
      <c r="AG101" s="40">
        <v>-1423.3333333333333</v>
      </c>
      <c r="AH101" s="40">
        <v>-1423.3333333333333</v>
      </c>
      <c r="AI101" s="40">
        <v>-1423.3333333333333</v>
      </c>
      <c r="AJ101" s="40">
        <v>-1423.3333333333333</v>
      </c>
      <c r="AK101" s="42">
        <v>-1423.3333333333333</v>
      </c>
      <c r="AL101" s="28">
        <f t="shared" si="12"/>
        <v>-17080.000000000004</v>
      </c>
    </row>
    <row r="102" spans="23:38" x14ac:dyDescent="0.35">
      <c r="W102" t="s">
        <v>205</v>
      </c>
      <c r="Y102" s="29" t="s">
        <v>205</v>
      </c>
      <c r="Z102" s="39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2"/>
      <c r="AL102" s="28">
        <f t="shared" si="12"/>
        <v>0</v>
      </c>
    </row>
    <row r="103" spans="23:38" x14ac:dyDescent="0.35">
      <c r="W103" t="s">
        <v>205</v>
      </c>
      <c r="Y103" s="29" t="s">
        <v>205</v>
      </c>
      <c r="Z103" s="39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2"/>
      <c r="AL103" s="28">
        <f t="shared" si="12"/>
        <v>0</v>
      </c>
    </row>
    <row r="104" spans="23:38" x14ac:dyDescent="0.35">
      <c r="W104" t="s">
        <v>205</v>
      </c>
      <c r="Y104" s="49" t="s">
        <v>205</v>
      </c>
      <c r="Z104" s="50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2"/>
      <c r="AL104" s="53">
        <f t="shared" si="12"/>
        <v>0</v>
      </c>
    </row>
    <row r="105" spans="23:38" x14ac:dyDescent="0.35">
      <c r="Y105" s="2"/>
      <c r="Z105" s="54">
        <f t="shared" ref="Z105:AL105" si="13">SUBTOTAL(9,Z32:Z104)</f>
        <v>175164.54468457584</v>
      </c>
      <c r="AA105" s="54">
        <f t="shared" si="13"/>
        <v>136117.91732069969</v>
      </c>
      <c r="AB105" s="54">
        <f t="shared" si="13"/>
        <v>176149.17574575116</v>
      </c>
      <c r="AC105" s="54">
        <f t="shared" si="13"/>
        <v>117634.29055995109</v>
      </c>
      <c r="AD105" s="54">
        <f t="shared" si="13"/>
        <v>143040.68677882219</v>
      </c>
      <c r="AE105" s="54">
        <f t="shared" si="13"/>
        <v>165272.69614024516</v>
      </c>
      <c r="AF105" s="54">
        <f t="shared" si="13"/>
        <v>124036.54976533748</v>
      </c>
      <c r="AG105" s="54">
        <f t="shared" si="13"/>
        <v>133013.11567822986</v>
      </c>
      <c r="AH105" s="54">
        <f t="shared" si="13"/>
        <v>188749.17574575116</v>
      </c>
      <c r="AI105" s="54">
        <f t="shared" si="13"/>
        <v>124905.71467961265</v>
      </c>
      <c r="AJ105" s="54">
        <f t="shared" si="13"/>
        <v>125992.8256416283</v>
      </c>
      <c r="AK105" s="54">
        <f t="shared" si="13"/>
        <v>273705.71467961266</v>
      </c>
      <c r="AL105" s="54">
        <f t="shared" si="13"/>
        <v>1883782.4074202171</v>
      </c>
    </row>
  </sheetData>
  <mergeCells count="2">
    <mergeCell ref="Z10:AL10"/>
    <mergeCell ref="G10:S1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2218-C41B-41B2-9A77-53F6BEF1ED26}">
  <sheetPr filterMode="1">
    <tabColor rgb="FF00B050"/>
  </sheetPr>
  <dimension ref="A1:R5907"/>
  <sheetViews>
    <sheetView showGridLines="0" zoomScale="85" zoomScaleNormal="85" workbookViewId="0">
      <pane ySplit="9" topLeftCell="A240" activePane="bottomLeft" state="frozen"/>
      <selection activeCell="BO11" sqref="BO11"/>
      <selection pane="bottomLeft" activeCell="I5912" sqref="I5912"/>
    </sheetView>
  </sheetViews>
  <sheetFormatPr defaultRowHeight="14.5" x14ac:dyDescent="0.35"/>
  <cols>
    <col min="1" max="1" width="18.453125" bestFit="1" customWidth="1"/>
    <col min="2" max="2" width="30.7265625" bestFit="1" customWidth="1"/>
    <col min="3" max="3" width="14.1796875" bestFit="1" customWidth="1"/>
    <col min="4" max="4" width="24.453125" customWidth="1"/>
    <col min="5" max="5" width="9.81640625" customWidth="1"/>
    <col min="6" max="6" width="23.7265625" customWidth="1"/>
    <col min="7" max="7" width="24.453125" style="55" customWidth="1"/>
    <col min="8" max="8" width="24.453125" style="56" customWidth="1"/>
    <col min="9" max="9" width="8.54296875" customWidth="1"/>
    <col min="10" max="10" width="24.453125" customWidth="1"/>
    <col min="11" max="11" width="24.453125" style="57" customWidth="1"/>
    <col min="12" max="12" width="24.453125" customWidth="1"/>
    <col min="13" max="13" width="12" bestFit="1" customWidth="1"/>
    <col min="14" max="14" width="13.81640625" bestFit="1" customWidth="1"/>
    <col min="15" max="15" width="10" bestFit="1" customWidth="1"/>
    <col min="16" max="16" width="13.26953125" bestFit="1" customWidth="1"/>
    <col min="17" max="17" width="11.1796875" bestFit="1" customWidth="1"/>
    <col min="18" max="22" width="24.453125" customWidth="1"/>
  </cols>
  <sheetData>
    <row r="1" spans="1:18" ht="15" thickBot="1" x14ac:dyDescent="0.4">
      <c r="G1" s="55">
        <v>19487085.019999985</v>
      </c>
      <c r="N1" s="55">
        <f>SUBTOTAL(9,N5:N6)</f>
        <v>1296859.2000000002</v>
      </c>
      <c r="Q1" t="s">
        <v>53</v>
      </c>
      <c r="R1" t="s">
        <v>54</v>
      </c>
    </row>
    <row r="2" spans="1:18" x14ac:dyDescent="0.35">
      <c r="J2" s="58" t="s">
        <v>55</v>
      </c>
      <c r="K2" s="59"/>
      <c r="L2" s="60"/>
      <c r="R2" t="s">
        <v>56</v>
      </c>
    </row>
    <row r="3" spans="1:18" ht="15" thickBot="1" x14ac:dyDescent="0.4">
      <c r="A3" s="61" t="s">
        <v>57</v>
      </c>
      <c r="B3" s="61" t="s">
        <v>58</v>
      </c>
      <c r="C3" s="61" t="s">
        <v>59</v>
      </c>
      <c r="D3" s="62" t="s">
        <v>60</v>
      </c>
      <c r="E3" s="62"/>
      <c r="F3" s="62"/>
      <c r="G3" s="63"/>
      <c r="H3" s="64"/>
      <c r="I3" s="62"/>
      <c r="J3" s="65" t="e">
        <f>VALUE(A3)</f>
        <v>#VALUE!</v>
      </c>
      <c r="K3" s="66" t="e">
        <f>VALUE(C3)</f>
        <v>#VALUE!</v>
      </c>
      <c r="L3" s="67" t="e">
        <f>VLOOKUP(K3,[1]Mapping!$L$3:$Q$231,4,FALSE)</f>
        <v>#VALUE!</v>
      </c>
      <c r="R3" t="s">
        <v>61</v>
      </c>
    </row>
    <row r="4" spans="1:18" x14ac:dyDescent="0.35">
      <c r="P4" s="68" t="s">
        <v>62</v>
      </c>
      <c r="R4" t="s">
        <v>63</v>
      </c>
    </row>
    <row r="5" spans="1:18" x14ac:dyDescent="0.35">
      <c r="D5" s="69"/>
      <c r="E5" s="69"/>
      <c r="F5" s="69"/>
      <c r="M5" s="70" t="s">
        <v>64</v>
      </c>
      <c r="N5" s="71">
        <v>718193.40000000014</v>
      </c>
      <c r="O5" t="s">
        <v>65</v>
      </c>
      <c r="P5">
        <v>732028</v>
      </c>
      <c r="R5" t="s">
        <v>66</v>
      </c>
    </row>
    <row r="6" spans="1:18" x14ac:dyDescent="0.35">
      <c r="D6" s="69"/>
      <c r="E6" s="69"/>
      <c r="F6" s="69"/>
      <c r="H6" s="56">
        <f>H7-H8</f>
        <v>5369023.8201441504</v>
      </c>
      <c r="M6" s="70" t="s">
        <v>67</v>
      </c>
      <c r="N6" s="55">
        <v>578665.79999999993</v>
      </c>
      <c r="O6" t="s">
        <v>65</v>
      </c>
      <c r="P6">
        <v>732029</v>
      </c>
      <c r="R6" t="s">
        <v>68</v>
      </c>
    </row>
    <row r="7" spans="1:18" x14ac:dyDescent="0.35">
      <c r="D7" s="69"/>
      <c r="E7" s="69"/>
      <c r="F7" s="69"/>
      <c r="G7" s="55">
        <v>-1820361</v>
      </c>
      <c r="H7" s="56">
        <f>'[1]Total QRA BvA'!K29</f>
        <v>5420845.9801441506</v>
      </c>
      <c r="N7" s="72">
        <f>N5-N6</f>
        <v>139527.60000000021</v>
      </c>
      <c r="P7">
        <v>732030</v>
      </c>
    </row>
    <row r="8" spans="1:18" x14ac:dyDescent="0.35">
      <c r="D8" s="69"/>
      <c r="E8" s="69"/>
      <c r="F8" s="69"/>
      <c r="G8" s="55">
        <f>SUBTOTAL(9,G10:G6000)</f>
        <v>51822.159999999996</v>
      </c>
      <c r="H8" s="56">
        <f>SUBTOTAL(9,H10:H6000)</f>
        <v>51822.159999999996</v>
      </c>
    </row>
    <row r="9" spans="1:18" s="57" customFormat="1" ht="15" customHeight="1" x14ac:dyDescent="0.35">
      <c r="A9" s="68" t="s">
        <v>62</v>
      </c>
      <c r="B9" s="68" t="s">
        <v>69</v>
      </c>
      <c r="C9" s="68" t="s">
        <v>70</v>
      </c>
      <c r="D9" s="73" t="s">
        <v>71</v>
      </c>
      <c r="E9" s="74" t="s">
        <v>72</v>
      </c>
      <c r="F9" s="73" t="s">
        <v>73</v>
      </c>
      <c r="G9" s="75" t="s">
        <v>74</v>
      </c>
      <c r="H9" s="76" t="s">
        <v>75</v>
      </c>
      <c r="I9" s="77" t="s">
        <v>76</v>
      </c>
      <c r="J9" s="78" t="s">
        <v>77</v>
      </c>
      <c r="K9" s="78" t="s">
        <v>78</v>
      </c>
      <c r="L9" s="78" t="s">
        <v>79</v>
      </c>
      <c r="M9" s="57" t="s">
        <v>80</v>
      </c>
    </row>
    <row r="10" spans="1:18" hidden="1" x14ac:dyDescent="0.35">
      <c r="A10" s="79">
        <v>2000113000</v>
      </c>
      <c r="B10" t="s">
        <v>81</v>
      </c>
      <c r="C10" s="80">
        <v>600019</v>
      </c>
      <c r="D10" t="s">
        <v>82</v>
      </c>
      <c r="E10" s="81">
        <v>1</v>
      </c>
      <c r="F10" t="s">
        <v>21</v>
      </c>
      <c r="G10" s="55">
        <v>28.54</v>
      </c>
      <c r="H10" s="82">
        <v>28.54</v>
      </c>
      <c r="I10" s="83" t="str">
        <f>VLOOKUP(E10,[1]Mapping!$A$3:$B$14,2,FALSE)</f>
        <v>Jul</v>
      </c>
      <c r="J10" s="84">
        <f>VALUE(A10)</f>
        <v>2000113000</v>
      </c>
      <c r="K10" s="84">
        <f>VALUE(C10)</f>
        <v>600019</v>
      </c>
      <c r="L10" s="61" t="str">
        <f>VLOOKUP(K10,[1]Mapping!$J$3:$Q$351,8,FALSE)</f>
        <v>Fringe Benefits</v>
      </c>
      <c r="M10" t="s">
        <v>83</v>
      </c>
      <c r="O10" s="85" t="s">
        <v>84</v>
      </c>
    </row>
    <row r="11" spans="1:18" hidden="1" x14ac:dyDescent="0.35">
      <c r="A11" s="79">
        <v>2000113000</v>
      </c>
      <c r="B11" t="s">
        <v>81</v>
      </c>
      <c r="C11" s="80">
        <v>501709</v>
      </c>
      <c r="D11" t="s">
        <v>85</v>
      </c>
      <c r="E11" s="81">
        <v>1</v>
      </c>
      <c r="F11" t="s">
        <v>27</v>
      </c>
      <c r="G11" s="55">
        <v>563.05999999999995</v>
      </c>
      <c r="H11" s="82">
        <v>563.05999999999995</v>
      </c>
      <c r="I11" s="83" t="str">
        <f>VLOOKUP(E11,[1]Mapping!$A$3:$B$14,2,FALSE)</f>
        <v>Jul</v>
      </c>
      <c r="J11" s="84">
        <f t="shared" ref="J11:J74" si="0">VALUE(A11)</f>
        <v>2000113000</v>
      </c>
      <c r="K11" s="84">
        <f t="shared" ref="K11:K74" si="1">VALUE(C11)</f>
        <v>501709</v>
      </c>
      <c r="L11" s="61" t="str">
        <f>VLOOKUP(K11,[1]Mapping!$J$3:$Q$351,8,FALSE)</f>
        <v>Outside Services</v>
      </c>
      <c r="M11" t="s">
        <v>83</v>
      </c>
      <c r="O11" s="85"/>
    </row>
    <row r="12" spans="1:18" hidden="1" x14ac:dyDescent="0.35">
      <c r="A12" s="79">
        <v>2000113000</v>
      </c>
      <c r="B12" t="s">
        <v>81</v>
      </c>
      <c r="C12" s="80">
        <v>600001</v>
      </c>
      <c r="D12" t="s">
        <v>86</v>
      </c>
      <c r="E12" s="81">
        <v>1</v>
      </c>
      <c r="F12" t="s">
        <v>19</v>
      </c>
      <c r="G12" s="55">
        <v>14051.6</v>
      </c>
      <c r="H12" s="82">
        <v>14051.6</v>
      </c>
      <c r="I12" s="83" t="str">
        <f>VLOOKUP(E12,[1]Mapping!$A$3:$B$14,2,FALSE)</f>
        <v>Jul</v>
      </c>
      <c r="J12" s="84">
        <f t="shared" si="0"/>
        <v>2000113000</v>
      </c>
      <c r="K12" s="84">
        <f t="shared" si="1"/>
        <v>600001</v>
      </c>
      <c r="L12" s="61" t="str">
        <f>VLOOKUP(K12,[1]Mapping!$J$3:$Q$351,8,FALSE)</f>
        <v>Wages &amp; Salaries</v>
      </c>
      <c r="M12" t="s">
        <v>83</v>
      </c>
      <c r="O12" s="85"/>
    </row>
    <row r="13" spans="1:18" hidden="1" x14ac:dyDescent="0.35">
      <c r="A13" s="79">
        <v>2000113000</v>
      </c>
      <c r="B13" t="s">
        <v>81</v>
      </c>
      <c r="C13" s="80">
        <v>600011</v>
      </c>
      <c r="D13" t="s">
        <v>87</v>
      </c>
      <c r="E13" s="81">
        <v>1</v>
      </c>
      <c r="F13" t="s">
        <v>21</v>
      </c>
      <c r="G13" s="55">
        <v>568.61</v>
      </c>
      <c r="H13" s="82">
        <v>568.61</v>
      </c>
      <c r="I13" s="83" t="str">
        <f>VLOOKUP(E13,[1]Mapping!$A$3:$B$14,2,FALSE)</f>
        <v>Jul</v>
      </c>
      <c r="J13" s="84">
        <f t="shared" si="0"/>
        <v>2000113000</v>
      </c>
      <c r="K13" s="84">
        <f t="shared" si="1"/>
        <v>600011</v>
      </c>
      <c r="L13" s="61" t="str">
        <f>VLOOKUP(K13,[1]Mapping!$J$3:$Q$351,8,FALSE)</f>
        <v>Fringe Benefits</v>
      </c>
      <c r="M13" t="s">
        <v>83</v>
      </c>
      <c r="O13" s="85"/>
    </row>
    <row r="14" spans="1:18" hidden="1" x14ac:dyDescent="0.35">
      <c r="A14" s="79">
        <v>2000113000</v>
      </c>
      <c r="B14" t="s">
        <v>81</v>
      </c>
      <c r="C14" s="80">
        <v>600013</v>
      </c>
      <c r="D14" t="s">
        <v>88</v>
      </c>
      <c r="E14" s="81">
        <v>1</v>
      </c>
      <c r="F14" t="s">
        <v>21</v>
      </c>
      <c r="G14" s="55">
        <v>1464.92</v>
      </c>
      <c r="H14" s="82">
        <v>1464.92</v>
      </c>
      <c r="I14" s="83" t="str">
        <f>VLOOKUP(E14,[1]Mapping!$A$3:$B$14,2,FALSE)</f>
        <v>Jul</v>
      </c>
      <c r="J14" s="84">
        <f t="shared" si="0"/>
        <v>2000113000</v>
      </c>
      <c r="K14" s="84">
        <f t="shared" si="1"/>
        <v>600013</v>
      </c>
      <c r="L14" s="61" t="str">
        <f>VLOOKUP(K14,[1]Mapping!$J$3:$Q$351,8,FALSE)</f>
        <v>Fringe Benefits</v>
      </c>
      <c r="M14" t="s">
        <v>83</v>
      </c>
      <c r="O14" s="85"/>
    </row>
    <row r="15" spans="1:18" hidden="1" x14ac:dyDescent="0.35">
      <c r="A15" s="79">
        <v>2000113000</v>
      </c>
      <c r="B15" t="s">
        <v>81</v>
      </c>
      <c r="C15" s="80">
        <v>600018</v>
      </c>
      <c r="D15" t="s">
        <v>89</v>
      </c>
      <c r="E15" s="81">
        <v>1</v>
      </c>
      <c r="F15" t="s">
        <v>21</v>
      </c>
      <c r="G15" s="55">
        <v>1049.28</v>
      </c>
      <c r="H15" s="82">
        <v>1049.28</v>
      </c>
      <c r="I15" s="83" t="str">
        <f>VLOOKUP(E15,[1]Mapping!$A$3:$B$14,2,FALSE)</f>
        <v>Jul</v>
      </c>
      <c r="J15" s="84">
        <f t="shared" si="0"/>
        <v>2000113000</v>
      </c>
      <c r="K15" s="84">
        <f t="shared" si="1"/>
        <v>600018</v>
      </c>
      <c r="L15" s="61" t="str">
        <f>VLOOKUP(K15,[1]Mapping!$J$3:$Q$351,8,FALSE)</f>
        <v>Fringe Benefits</v>
      </c>
      <c r="M15" t="s">
        <v>83</v>
      </c>
      <c r="O15" s="85"/>
    </row>
    <row r="16" spans="1:18" hidden="1" x14ac:dyDescent="0.35">
      <c r="A16" s="79">
        <v>2000113000</v>
      </c>
      <c r="B16" t="s">
        <v>81</v>
      </c>
      <c r="C16" s="80">
        <v>600022</v>
      </c>
      <c r="D16" t="s">
        <v>90</v>
      </c>
      <c r="E16" s="81">
        <v>1</v>
      </c>
      <c r="F16" t="s">
        <v>21</v>
      </c>
      <c r="G16" s="55">
        <v>36.979999999999997</v>
      </c>
      <c r="H16" s="82">
        <v>36.979999999999997</v>
      </c>
      <c r="I16" s="83" t="str">
        <f>VLOOKUP(E16,[1]Mapping!$A$3:$B$14,2,FALSE)</f>
        <v>Jul</v>
      </c>
      <c r="J16" s="84">
        <f t="shared" si="0"/>
        <v>2000113000</v>
      </c>
      <c r="K16" s="84">
        <f t="shared" si="1"/>
        <v>600022</v>
      </c>
      <c r="L16" s="61" t="str">
        <f>VLOOKUP(K16,[1]Mapping!$J$3:$Q$351,8,FALSE)</f>
        <v>Fringe Benefits</v>
      </c>
      <c r="M16" t="s">
        <v>83</v>
      </c>
      <c r="O16" s="85"/>
    </row>
    <row r="17" spans="1:15" hidden="1" x14ac:dyDescent="0.35">
      <c r="A17" s="79">
        <v>2000113000</v>
      </c>
      <c r="B17" t="s">
        <v>81</v>
      </c>
      <c r="C17" s="80">
        <v>600020</v>
      </c>
      <c r="D17" t="s">
        <v>91</v>
      </c>
      <c r="E17" s="81">
        <v>1</v>
      </c>
      <c r="F17" t="s">
        <v>21</v>
      </c>
      <c r="G17" s="55">
        <v>1323.7</v>
      </c>
      <c r="H17" s="82">
        <v>1323.7</v>
      </c>
      <c r="I17" s="83" t="str">
        <f>VLOOKUP(E17,[1]Mapping!$A$3:$B$14,2,FALSE)</f>
        <v>Jul</v>
      </c>
      <c r="J17" s="84">
        <f t="shared" si="0"/>
        <v>2000113000</v>
      </c>
      <c r="K17" s="84">
        <f t="shared" si="1"/>
        <v>600020</v>
      </c>
      <c r="L17" s="61" t="str">
        <f>VLOOKUP(K17,[1]Mapping!$J$3:$Q$351,8,FALSE)</f>
        <v>Fringe Benefits</v>
      </c>
      <c r="M17" t="s">
        <v>83</v>
      </c>
      <c r="O17" s="85"/>
    </row>
    <row r="18" spans="1:15" hidden="1" x14ac:dyDescent="0.35">
      <c r="A18" s="79">
        <v>2000113000</v>
      </c>
      <c r="B18" t="s">
        <v>81</v>
      </c>
      <c r="C18" s="80">
        <v>600055</v>
      </c>
      <c r="D18" t="s">
        <v>92</v>
      </c>
      <c r="E18" s="81">
        <v>1</v>
      </c>
      <c r="F18" t="s">
        <v>21</v>
      </c>
      <c r="G18" s="55">
        <v>105.9</v>
      </c>
      <c r="H18" s="82">
        <v>105.9</v>
      </c>
      <c r="I18" s="83" t="str">
        <f>VLOOKUP(E18,[1]Mapping!$A$3:$B$14,2,FALSE)</f>
        <v>Jul</v>
      </c>
      <c r="J18" s="84">
        <f t="shared" si="0"/>
        <v>2000113000</v>
      </c>
      <c r="K18" s="84">
        <f t="shared" si="1"/>
        <v>600055</v>
      </c>
      <c r="L18" s="61" t="str">
        <f>VLOOKUP(K18,[1]Mapping!$J$3:$Q$351,8,FALSE)</f>
        <v>Fringe Benefits</v>
      </c>
      <c r="M18" t="s">
        <v>83</v>
      </c>
      <c r="O18" s="85"/>
    </row>
    <row r="19" spans="1:15" hidden="1" x14ac:dyDescent="0.35">
      <c r="A19" s="79">
        <v>2000113000</v>
      </c>
      <c r="B19" t="s">
        <v>81</v>
      </c>
      <c r="C19" s="80">
        <v>600026</v>
      </c>
      <c r="D19" t="s">
        <v>93</v>
      </c>
      <c r="E19" s="81">
        <v>1</v>
      </c>
      <c r="F19" t="s">
        <v>21</v>
      </c>
      <c r="G19" s="55">
        <v>1082.48</v>
      </c>
      <c r="H19" s="82">
        <v>1082.48</v>
      </c>
      <c r="I19" s="83" t="str">
        <f>VLOOKUP(E19,[1]Mapping!$A$3:$B$14,2,FALSE)</f>
        <v>Jul</v>
      </c>
      <c r="J19" s="84">
        <f t="shared" si="0"/>
        <v>2000113000</v>
      </c>
      <c r="K19" s="84">
        <f t="shared" si="1"/>
        <v>600026</v>
      </c>
      <c r="L19" s="61" t="str">
        <f>VLOOKUP(K19,[1]Mapping!$J$3:$Q$351,8,FALSE)</f>
        <v>Fringe Benefits</v>
      </c>
      <c r="M19" t="s">
        <v>83</v>
      </c>
      <c r="O19" s="85"/>
    </row>
    <row r="20" spans="1:15" hidden="1" x14ac:dyDescent="0.35">
      <c r="A20" s="79">
        <v>2000113001</v>
      </c>
      <c r="B20" t="s">
        <v>94</v>
      </c>
      <c r="C20" s="80">
        <v>600019</v>
      </c>
      <c r="D20" t="s">
        <v>82</v>
      </c>
      <c r="E20" s="81">
        <v>1</v>
      </c>
      <c r="F20" t="s">
        <v>21</v>
      </c>
      <c r="G20" s="55">
        <v>113.12</v>
      </c>
      <c r="H20" s="82">
        <v>113.12</v>
      </c>
      <c r="I20" s="83" t="str">
        <f>VLOOKUP(E20,[1]Mapping!$A$3:$B$14,2,FALSE)</f>
        <v>Jul</v>
      </c>
      <c r="J20" s="84">
        <f t="shared" si="0"/>
        <v>2000113001</v>
      </c>
      <c r="K20" s="84">
        <f t="shared" si="1"/>
        <v>600019</v>
      </c>
      <c r="L20" s="61" t="str">
        <f>VLOOKUP(K20,[1]Mapping!$J$3:$Q$351,8,FALSE)</f>
        <v>Fringe Benefits</v>
      </c>
      <c r="M20" t="s">
        <v>83</v>
      </c>
      <c r="O20" s="85"/>
    </row>
    <row r="21" spans="1:15" hidden="1" x14ac:dyDescent="0.35">
      <c r="A21" s="79">
        <v>2000113001</v>
      </c>
      <c r="B21" t="s">
        <v>94</v>
      </c>
      <c r="C21" s="80">
        <v>600001</v>
      </c>
      <c r="D21" t="s">
        <v>86</v>
      </c>
      <c r="E21" s="81">
        <v>1</v>
      </c>
      <c r="F21" t="s">
        <v>19</v>
      </c>
      <c r="G21" s="55">
        <v>67010.179999999993</v>
      </c>
      <c r="H21" s="82">
        <v>67010.179999999993</v>
      </c>
      <c r="I21" s="83" t="str">
        <f>VLOOKUP(E21,[1]Mapping!$A$3:$B$14,2,FALSE)</f>
        <v>Jul</v>
      </c>
      <c r="J21" s="84">
        <f t="shared" si="0"/>
        <v>2000113001</v>
      </c>
      <c r="K21" s="84">
        <f t="shared" si="1"/>
        <v>600001</v>
      </c>
      <c r="L21" s="61" t="str">
        <f>VLOOKUP(K21,[1]Mapping!$J$3:$Q$351,8,FALSE)</f>
        <v>Wages &amp; Salaries</v>
      </c>
      <c r="M21" t="s">
        <v>83</v>
      </c>
      <c r="O21" s="85"/>
    </row>
    <row r="22" spans="1:15" hidden="1" x14ac:dyDescent="0.35">
      <c r="A22" s="79">
        <v>2000113001</v>
      </c>
      <c r="B22" t="s">
        <v>94</v>
      </c>
      <c r="C22" s="80">
        <v>501053</v>
      </c>
      <c r="D22" t="s">
        <v>40</v>
      </c>
      <c r="E22" s="81">
        <v>1</v>
      </c>
      <c r="F22" t="s">
        <v>20</v>
      </c>
      <c r="G22" s="55">
        <v>3.36</v>
      </c>
      <c r="H22" s="82">
        <v>3.36</v>
      </c>
      <c r="I22" s="83" t="str">
        <f>VLOOKUP(E22,[1]Mapping!$A$3:$B$14,2,FALSE)</f>
        <v>Jul</v>
      </c>
      <c r="J22" s="84">
        <f t="shared" si="0"/>
        <v>2000113001</v>
      </c>
      <c r="K22" s="84">
        <f t="shared" si="1"/>
        <v>501053</v>
      </c>
      <c r="L22" s="61" t="str">
        <f>VLOOKUP(K22,[1]Mapping!$J$3:$Q$351,8,FALSE)</f>
        <v>Overtime</v>
      </c>
      <c r="M22" t="s">
        <v>83</v>
      </c>
      <c r="O22" s="85"/>
    </row>
    <row r="23" spans="1:15" hidden="1" x14ac:dyDescent="0.35">
      <c r="A23" s="79">
        <v>2000113001</v>
      </c>
      <c r="B23" t="s">
        <v>94</v>
      </c>
      <c r="C23" s="80">
        <v>600011</v>
      </c>
      <c r="D23" t="s">
        <v>87</v>
      </c>
      <c r="E23" s="81">
        <v>1</v>
      </c>
      <c r="F23" t="s">
        <v>21</v>
      </c>
      <c r="G23" s="55">
        <v>3215.55</v>
      </c>
      <c r="H23" s="82">
        <v>3215.55</v>
      </c>
      <c r="I23" s="83" t="str">
        <f>VLOOKUP(E23,[1]Mapping!$A$3:$B$14,2,FALSE)</f>
        <v>Jul</v>
      </c>
      <c r="J23" s="84">
        <f t="shared" si="0"/>
        <v>2000113001</v>
      </c>
      <c r="K23" s="84">
        <f t="shared" si="1"/>
        <v>600011</v>
      </c>
      <c r="L23" s="61" t="str">
        <f>VLOOKUP(K23,[1]Mapping!$J$3:$Q$351,8,FALSE)</f>
        <v>Fringe Benefits</v>
      </c>
      <c r="M23" t="s">
        <v>83</v>
      </c>
      <c r="O23" s="85"/>
    </row>
    <row r="24" spans="1:15" hidden="1" x14ac:dyDescent="0.35">
      <c r="A24" s="79">
        <v>2000113001</v>
      </c>
      <c r="B24" t="s">
        <v>94</v>
      </c>
      <c r="C24" s="80">
        <v>600013</v>
      </c>
      <c r="D24" t="s">
        <v>88</v>
      </c>
      <c r="E24" s="81">
        <v>1</v>
      </c>
      <c r="F24" t="s">
        <v>21</v>
      </c>
      <c r="G24" s="55">
        <v>7879.6399999999994</v>
      </c>
      <c r="H24" s="82">
        <v>7879.6399999999994</v>
      </c>
      <c r="I24" s="83" t="str">
        <f>VLOOKUP(E24,[1]Mapping!$A$3:$B$14,2,FALSE)</f>
        <v>Jul</v>
      </c>
      <c r="J24" s="84">
        <f t="shared" si="0"/>
        <v>2000113001</v>
      </c>
      <c r="K24" s="84">
        <f t="shared" si="1"/>
        <v>600013</v>
      </c>
      <c r="L24" s="61" t="str">
        <f>VLOOKUP(K24,[1]Mapping!$J$3:$Q$351,8,FALSE)</f>
        <v>Fringe Benefits</v>
      </c>
      <c r="M24" t="s">
        <v>83</v>
      </c>
      <c r="O24" s="85"/>
    </row>
    <row r="25" spans="1:15" hidden="1" x14ac:dyDescent="0.35">
      <c r="A25" s="79">
        <v>2000113001</v>
      </c>
      <c r="B25" t="s">
        <v>94</v>
      </c>
      <c r="C25" s="80">
        <v>600018</v>
      </c>
      <c r="D25" t="s">
        <v>89</v>
      </c>
      <c r="E25" s="81">
        <v>1</v>
      </c>
      <c r="F25" t="s">
        <v>21</v>
      </c>
      <c r="G25" s="55">
        <v>4909.13</v>
      </c>
      <c r="H25" s="82">
        <v>4909.13</v>
      </c>
      <c r="I25" s="83" t="str">
        <f>VLOOKUP(E25,[1]Mapping!$A$3:$B$14,2,FALSE)</f>
        <v>Jul</v>
      </c>
      <c r="J25" s="84">
        <f t="shared" si="0"/>
        <v>2000113001</v>
      </c>
      <c r="K25" s="84">
        <f t="shared" si="1"/>
        <v>600018</v>
      </c>
      <c r="L25" s="61" t="str">
        <f>VLOOKUP(K25,[1]Mapping!$J$3:$Q$351,8,FALSE)</f>
        <v>Fringe Benefits</v>
      </c>
      <c r="M25" t="s">
        <v>83</v>
      </c>
      <c r="O25" s="85"/>
    </row>
    <row r="26" spans="1:15" hidden="1" x14ac:dyDescent="0.35">
      <c r="A26" s="79">
        <v>2000113001</v>
      </c>
      <c r="B26" t="s">
        <v>94</v>
      </c>
      <c r="C26" s="80">
        <v>600022</v>
      </c>
      <c r="D26" t="s">
        <v>90</v>
      </c>
      <c r="E26" s="81">
        <v>1</v>
      </c>
      <c r="F26" t="s">
        <v>21</v>
      </c>
      <c r="G26" s="55">
        <v>148.1</v>
      </c>
      <c r="H26" s="82">
        <v>148.1</v>
      </c>
      <c r="I26" s="83" t="str">
        <f>VLOOKUP(E26,[1]Mapping!$A$3:$B$14,2,FALSE)</f>
        <v>Jul</v>
      </c>
      <c r="J26" s="84">
        <f t="shared" si="0"/>
        <v>2000113001</v>
      </c>
      <c r="K26" s="84">
        <f t="shared" si="1"/>
        <v>600022</v>
      </c>
      <c r="L26" s="61" t="str">
        <f>VLOOKUP(K26,[1]Mapping!$J$3:$Q$351,8,FALSE)</f>
        <v>Fringe Benefits</v>
      </c>
      <c r="M26" t="s">
        <v>83</v>
      </c>
      <c r="O26" s="85"/>
    </row>
    <row r="27" spans="1:15" hidden="1" x14ac:dyDescent="0.35">
      <c r="A27" s="79">
        <v>2000113001</v>
      </c>
      <c r="B27" t="s">
        <v>94</v>
      </c>
      <c r="C27" s="80">
        <v>600017</v>
      </c>
      <c r="D27" t="s">
        <v>95</v>
      </c>
      <c r="E27" s="81">
        <v>1</v>
      </c>
      <c r="F27" t="s">
        <v>21</v>
      </c>
      <c r="G27" s="55">
        <v>6.67</v>
      </c>
      <c r="H27" s="82">
        <v>6.67</v>
      </c>
      <c r="I27" s="83" t="str">
        <f>VLOOKUP(E27,[1]Mapping!$A$3:$B$14,2,FALSE)</f>
        <v>Jul</v>
      </c>
      <c r="J27" s="84">
        <f t="shared" si="0"/>
        <v>2000113001</v>
      </c>
      <c r="K27" s="84">
        <f t="shared" si="1"/>
        <v>600017</v>
      </c>
      <c r="L27" s="61" t="str">
        <f>VLOOKUP(K27,[1]Mapping!$J$3:$Q$351,8,FALSE)</f>
        <v>Fringe Benefits</v>
      </c>
      <c r="M27" t="s">
        <v>83</v>
      </c>
      <c r="O27" s="85"/>
    </row>
    <row r="28" spans="1:15" hidden="1" x14ac:dyDescent="0.35">
      <c r="A28" s="79">
        <v>2000113001</v>
      </c>
      <c r="B28" t="s">
        <v>94</v>
      </c>
      <c r="C28" s="80">
        <v>600026</v>
      </c>
      <c r="D28" t="s">
        <v>93</v>
      </c>
      <c r="E28" s="81">
        <v>1</v>
      </c>
      <c r="F28" t="s">
        <v>21</v>
      </c>
      <c r="G28" s="55">
        <v>2880</v>
      </c>
      <c r="H28" s="82">
        <v>2880</v>
      </c>
      <c r="I28" s="83" t="str">
        <f>VLOOKUP(E28,[1]Mapping!$A$3:$B$14,2,FALSE)</f>
        <v>Jul</v>
      </c>
      <c r="J28" s="84">
        <f t="shared" si="0"/>
        <v>2000113001</v>
      </c>
      <c r="K28" s="84">
        <f t="shared" si="1"/>
        <v>600026</v>
      </c>
      <c r="L28" s="61" t="str">
        <f>VLOOKUP(K28,[1]Mapping!$J$3:$Q$351,8,FALSE)</f>
        <v>Fringe Benefits</v>
      </c>
      <c r="M28" t="s">
        <v>83</v>
      </c>
      <c r="O28" s="85"/>
    </row>
    <row r="29" spans="1:15" hidden="1" x14ac:dyDescent="0.35">
      <c r="A29" s="79">
        <v>2000113001</v>
      </c>
      <c r="B29" t="s">
        <v>94</v>
      </c>
      <c r="C29" s="80">
        <v>600016</v>
      </c>
      <c r="D29" t="s">
        <v>96</v>
      </c>
      <c r="E29" s="81">
        <v>1</v>
      </c>
      <c r="F29" t="s">
        <v>21</v>
      </c>
      <c r="G29" s="55">
        <v>26.740000000000002</v>
      </c>
      <c r="H29" s="82">
        <v>26.740000000000002</v>
      </c>
      <c r="I29" s="83" t="str">
        <f>VLOOKUP(E29,[1]Mapping!$A$3:$B$14,2,FALSE)</f>
        <v>Jul</v>
      </c>
      <c r="J29" s="84">
        <f t="shared" si="0"/>
        <v>2000113001</v>
      </c>
      <c r="K29" s="84">
        <f t="shared" si="1"/>
        <v>600016</v>
      </c>
      <c r="L29" s="61" t="str">
        <f>VLOOKUP(K29,[1]Mapping!$J$3:$Q$351,8,FALSE)</f>
        <v>Fringe Benefits</v>
      </c>
      <c r="M29" t="s">
        <v>83</v>
      </c>
      <c r="O29" s="85"/>
    </row>
    <row r="30" spans="1:15" hidden="1" x14ac:dyDescent="0.35">
      <c r="A30" s="79">
        <v>2000113001</v>
      </c>
      <c r="B30" t="s">
        <v>94</v>
      </c>
      <c r="C30" s="80">
        <v>600002</v>
      </c>
      <c r="D30" t="s">
        <v>97</v>
      </c>
      <c r="E30" s="81">
        <v>1</v>
      </c>
      <c r="F30" t="s">
        <v>21</v>
      </c>
      <c r="G30" s="55">
        <v>729.97</v>
      </c>
      <c r="H30" s="82">
        <v>729.97</v>
      </c>
      <c r="I30" s="83" t="str">
        <f>VLOOKUP(E30,[1]Mapping!$A$3:$B$14,2,FALSE)</f>
        <v>Jul</v>
      </c>
      <c r="J30" s="84">
        <f t="shared" si="0"/>
        <v>2000113001</v>
      </c>
      <c r="K30" s="84">
        <f t="shared" si="1"/>
        <v>600002</v>
      </c>
      <c r="L30" s="61" t="str">
        <f>VLOOKUP(K30,[1]Mapping!$J$3:$Q$351,8,FALSE)</f>
        <v>Fringe Benefits</v>
      </c>
      <c r="M30" t="s">
        <v>83</v>
      </c>
      <c r="O30" s="85"/>
    </row>
    <row r="31" spans="1:15" hidden="1" x14ac:dyDescent="0.35">
      <c r="A31" s="79">
        <v>2000123000</v>
      </c>
      <c r="B31" t="s">
        <v>98</v>
      </c>
      <c r="C31" s="80">
        <v>600019</v>
      </c>
      <c r="D31" t="s">
        <v>82</v>
      </c>
      <c r="E31" s="81">
        <v>1</v>
      </c>
      <c r="F31" t="s">
        <v>21</v>
      </c>
      <c r="G31" s="55">
        <v>438.72</v>
      </c>
      <c r="H31" s="82">
        <v>438.72</v>
      </c>
      <c r="I31" s="83" t="str">
        <f>VLOOKUP(E31,[1]Mapping!$A$3:$B$14,2,FALSE)</f>
        <v>Jul</v>
      </c>
      <c r="J31" s="84">
        <f t="shared" si="0"/>
        <v>2000123000</v>
      </c>
      <c r="K31" s="84">
        <f t="shared" si="1"/>
        <v>600019</v>
      </c>
      <c r="L31" s="61" t="str">
        <f>VLOOKUP(K31,[1]Mapping!$J$3:$Q$351,8,FALSE)</f>
        <v>Fringe Benefits</v>
      </c>
      <c r="M31" t="s">
        <v>83</v>
      </c>
      <c r="O31" s="85"/>
    </row>
    <row r="32" spans="1:15" hidden="1" x14ac:dyDescent="0.35">
      <c r="A32" s="79">
        <v>2000123000</v>
      </c>
      <c r="B32" t="s">
        <v>98</v>
      </c>
      <c r="C32" s="80">
        <v>501710</v>
      </c>
      <c r="D32" t="s">
        <v>45</v>
      </c>
      <c r="E32" s="81">
        <v>1</v>
      </c>
      <c r="F32" t="s">
        <v>27</v>
      </c>
      <c r="G32" s="55">
        <v>3496.5</v>
      </c>
      <c r="H32" s="82">
        <v>3496.5</v>
      </c>
      <c r="I32" s="83" t="str">
        <f>VLOOKUP(E32,[1]Mapping!$A$3:$B$14,2,FALSE)</f>
        <v>Jul</v>
      </c>
      <c r="J32" s="84">
        <f t="shared" si="0"/>
        <v>2000123000</v>
      </c>
      <c r="K32" s="84">
        <f t="shared" si="1"/>
        <v>501710</v>
      </c>
      <c r="L32" s="61" t="str">
        <f>VLOOKUP(K32,[1]Mapping!$J$3:$Q$351,8,FALSE)</f>
        <v>Outside Services</v>
      </c>
      <c r="M32" t="s">
        <v>83</v>
      </c>
      <c r="O32" s="85"/>
    </row>
    <row r="33" spans="1:15" hidden="1" x14ac:dyDescent="0.35">
      <c r="A33" s="79">
        <v>2000123000</v>
      </c>
      <c r="B33" t="s">
        <v>98</v>
      </c>
      <c r="C33" s="80">
        <v>500815</v>
      </c>
      <c r="D33" t="s">
        <v>99</v>
      </c>
      <c r="E33" s="81">
        <v>1</v>
      </c>
      <c r="F33" t="s">
        <v>28</v>
      </c>
      <c r="G33" s="55">
        <v>1661.4</v>
      </c>
      <c r="H33" s="82">
        <v>1661.4</v>
      </c>
      <c r="I33" s="83" t="str">
        <f>VLOOKUP(E33,[1]Mapping!$A$3:$B$14,2,FALSE)</f>
        <v>Jul</v>
      </c>
      <c r="J33" s="84">
        <f t="shared" si="0"/>
        <v>2000123000</v>
      </c>
      <c r="K33" s="84">
        <f t="shared" si="1"/>
        <v>500815</v>
      </c>
      <c r="L33" s="61" t="str">
        <f>VLOOKUP(K33,[1]Mapping!$J$3:$Q$351,8,FALSE)</f>
        <v>Inbound Freight</v>
      </c>
      <c r="M33" t="s">
        <v>83</v>
      </c>
      <c r="O33" s="85"/>
    </row>
    <row r="34" spans="1:15" hidden="1" x14ac:dyDescent="0.35">
      <c r="A34" s="79">
        <v>2000123000</v>
      </c>
      <c r="B34" t="s">
        <v>98</v>
      </c>
      <c r="C34" s="80">
        <v>501712</v>
      </c>
      <c r="D34" t="s">
        <v>100</v>
      </c>
      <c r="E34" s="81">
        <v>1</v>
      </c>
      <c r="F34" t="s">
        <v>27</v>
      </c>
      <c r="G34" s="55">
        <v>0</v>
      </c>
      <c r="H34" s="82">
        <v>0</v>
      </c>
      <c r="I34" s="83" t="str">
        <f>VLOOKUP(E34,[1]Mapping!$A$3:$B$14,2,FALSE)</f>
        <v>Jul</v>
      </c>
      <c r="J34" s="84">
        <f t="shared" si="0"/>
        <v>2000123000</v>
      </c>
      <c r="K34" s="84">
        <f t="shared" si="1"/>
        <v>501712</v>
      </c>
      <c r="L34" s="61" t="str">
        <f>VLOOKUP(K34,[1]Mapping!$J$3:$Q$351,8,FALSE)</f>
        <v>Outside Services</v>
      </c>
      <c r="M34" t="s">
        <v>83</v>
      </c>
      <c r="O34" s="85"/>
    </row>
    <row r="35" spans="1:15" hidden="1" x14ac:dyDescent="0.35">
      <c r="A35" s="79">
        <v>2000123000</v>
      </c>
      <c r="B35" t="s">
        <v>98</v>
      </c>
      <c r="C35" s="80">
        <v>600050</v>
      </c>
      <c r="D35" t="s">
        <v>101</v>
      </c>
      <c r="E35" s="81">
        <v>1</v>
      </c>
      <c r="F35" t="s">
        <v>23</v>
      </c>
      <c r="G35" s="55">
        <v>3542</v>
      </c>
      <c r="H35" s="82">
        <v>3542</v>
      </c>
      <c r="I35" s="83" t="str">
        <f>VLOOKUP(E35,[1]Mapping!$A$3:$B$14,2,FALSE)</f>
        <v>Jul</v>
      </c>
      <c r="J35" s="84">
        <f t="shared" si="0"/>
        <v>2000123000</v>
      </c>
      <c r="K35" s="84">
        <f t="shared" si="1"/>
        <v>600050</v>
      </c>
      <c r="L35" s="61" t="str">
        <f>VLOOKUP(K35,[1]Mapping!$J$3:$Q$351,8,FALSE)</f>
        <v>Travel &amp; Entertainment</v>
      </c>
      <c r="M35" t="s">
        <v>83</v>
      </c>
      <c r="O35" s="85"/>
    </row>
    <row r="36" spans="1:15" hidden="1" x14ac:dyDescent="0.35">
      <c r="A36" s="79">
        <v>2000123000</v>
      </c>
      <c r="B36" t="s">
        <v>98</v>
      </c>
      <c r="C36" s="80">
        <v>600043</v>
      </c>
      <c r="D36" t="s">
        <v>102</v>
      </c>
      <c r="E36" s="81">
        <v>1</v>
      </c>
      <c r="F36" t="s">
        <v>23</v>
      </c>
      <c r="G36" s="55">
        <v>24.45</v>
      </c>
      <c r="H36" s="82">
        <v>24.45</v>
      </c>
      <c r="I36" s="83" t="str">
        <f>VLOOKUP(E36,[1]Mapping!$A$3:$B$14,2,FALSE)</f>
        <v>Jul</v>
      </c>
      <c r="J36" s="84">
        <f t="shared" si="0"/>
        <v>2000123000</v>
      </c>
      <c r="K36" s="84">
        <f t="shared" si="1"/>
        <v>600043</v>
      </c>
      <c r="L36" s="61" t="str">
        <f>VLOOKUP(K36,[1]Mapping!$J$3:$Q$351,8,FALSE)</f>
        <v>Travel &amp; Entertainment</v>
      </c>
      <c r="M36" t="s">
        <v>83</v>
      </c>
      <c r="O36" s="85"/>
    </row>
    <row r="37" spans="1:15" hidden="1" x14ac:dyDescent="0.35">
      <c r="A37" s="79">
        <v>2000123000</v>
      </c>
      <c r="B37" t="s">
        <v>98</v>
      </c>
      <c r="C37" s="80">
        <v>600042</v>
      </c>
      <c r="D37" t="s">
        <v>43</v>
      </c>
      <c r="E37" s="81">
        <v>1</v>
      </c>
      <c r="F37" t="s">
        <v>22</v>
      </c>
      <c r="G37" s="55">
        <v>193.59000000000003</v>
      </c>
      <c r="H37" s="82">
        <v>193.59000000000003</v>
      </c>
      <c r="I37" s="83" t="str">
        <f>VLOOKUP(E37,[1]Mapping!$A$3:$B$14,2,FALSE)</f>
        <v>Jul</v>
      </c>
      <c r="J37" s="84">
        <f t="shared" si="0"/>
        <v>2000123000</v>
      </c>
      <c r="K37" s="84">
        <f t="shared" si="1"/>
        <v>600042</v>
      </c>
      <c r="L37" s="61" t="str">
        <f>VLOOKUP(K37,[1]Mapping!$J$3:$Q$351,8,FALSE)</f>
        <v>Employee Related Expenses</v>
      </c>
      <c r="M37" t="s">
        <v>83</v>
      </c>
      <c r="O37" s="85"/>
    </row>
    <row r="38" spans="1:15" hidden="1" x14ac:dyDescent="0.35">
      <c r="A38" s="79">
        <v>2000123000</v>
      </c>
      <c r="B38" t="s">
        <v>98</v>
      </c>
      <c r="C38" s="80">
        <v>600001</v>
      </c>
      <c r="D38" t="s">
        <v>86</v>
      </c>
      <c r="E38" s="81">
        <v>1</v>
      </c>
      <c r="F38" t="s">
        <v>19</v>
      </c>
      <c r="G38" s="55">
        <v>235462.22000000003</v>
      </c>
      <c r="H38" s="82">
        <v>235462.22000000003</v>
      </c>
      <c r="I38" s="83" t="str">
        <f>VLOOKUP(E38,[1]Mapping!$A$3:$B$14,2,FALSE)</f>
        <v>Jul</v>
      </c>
      <c r="J38" s="84">
        <f t="shared" si="0"/>
        <v>2000123000</v>
      </c>
      <c r="K38" s="84">
        <f t="shared" si="1"/>
        <v>600001</v>
      </c>
      <c r="L38" s="61" t="str">
        <f>VLOOKUP(K38,[1]Mapping!$J$3:$Q$351,8,FALSE)</f>
        <v>Wages &amp; Salaries</v>
      </c>
      <c r="M38" t="s">
        <v>83</v>
      </c>
      <c r="O38" s="85"/>
    </row>
    <row r="39" spans="1:15" hidden="1" x14ac:dyDescent="0.35">
      <c r="A39" s="79">
        <v>2000123000</v>
      </c>
      <c r="B39" t="s">
        <v>98</v>
      </c>
      <c r="C39" s="80">
        <v>600011</v>
      </c>
      <c r="D39" t="s">
        <v>87</v>
      </c>
      <c r="E39" s="81">
        <v>1</v>
      </c>
      <c r="F39" t="s">
        <v>21</v>
      </c>
      <c r="G39" s="55">
        <v>11766</v>
      </c>
      <c r="H39" s="82">
        <v>11766</v>
      </c>
      <c r="I39" s="83" t="str">
        <f>VLOOKUP(E39,[1]Mapping!$A$3:$B$14,2,FALSE)</f>
        <v>Jul</v>
      </c>
      <c r="J39" s="84">
        <f t="shared" si="0"/>
        <v>2000123000</v>
      </c>
      <c r="K39" s="84">
        <f t="shared" si="1"/>
        <v>600011</v>
      </c>
      <c r="L39" s="61" t="str">
        <f>VLOOKUP(K39,[1]Mapping!$J$3:$Q$351,8,FALSE)</f>
        <v>Fringe Benefits</v>
      </c>
      <c r="M39" t="s">
        <v>83</v>
      </c>
      <c r="O39" s="85"/>
    </row>
    <row r="40" spans="1:15" hidden="1" x14ac:dyDescent="0.35">
      <c r="A40" s="79">
        <v>2000123000</v>
      </c>
      <c r="B40" t="s">
        <v>98</v>
      </c>
      <c r="C40" s="80">
        <v>600013</v>
      </c>
      <c r="D40" t="s">
        <v>88</v>
      </c>
      <c r="E40" s="81">
        <v>1</v>
      </c>
      <c r="F40" t="s">
        <v>21</v>
      </c>
      <c r="G40" s="55">
        <v>21469.15</v>
      </c>
      <c r="H40" s="82">
        <v>21469.15</v>
      </c>
      <c r="I40" s="83" t="str">
        <f>VLOOKUP(E40,[1]Mapping!$A$3:$B$14,2,FALSE)</f>
        <v>Jul</v>
      </c>
      <c r="J40" s="84">
        <f t="shared" si="0"/>
        <v>2000123000</v>
      </c>
      <c r="K40" s="84">
        <f t="shared" si="1"/>
        <v>600013</v>
      </c>
      <c r="L40" s="61" t="str">
        <f>VLOOKUP(K40,[1]Mapping!$J$3:$Q$351,8,FALSE)</f>
        <v>Fringe Benefits</v>
      </c>
      <c r="M40" t="s">
        <v>83</v>
      </c>
      <c r="O40" s="85"/>
    </row>
    <row r="41" spans="1:15" hidden="1" x14ac:dyDescent="0.35">
      <c r="A41" s="79">
        <v>2000123000</v>
      </c>
      <c r="B41" t="s">
        <v>98</v>
      </c>
      <c r="C41" s="80">
        <v>600018</v>
      </c>
      <c r="D41" t="s">
        <v>89</v>
      </c>
      <c r="E41" s="81">
        <v>1</v>
      </c>
      <c r="F41" t="s">
        <v>21</v>
      </c>
      <c r="G41" s="55">
        <v>18260.73</v>
      </c>
      <c r="H41" s="82">
        <v>18260.73</v>
      </c>
      <c r="I41" s="83" t="str">
        <f>VLOOKUP(E41,[1]Mapping!$A$3:$B$14,2,FALSE)</f>
        <v>Jul</v>
      </c>
      <c r="J41" s="84">
        <f t="shared" si="0"/>
        <v>2000123000</v>
      </c>
      <c r="K41" s="84">
        <f t="shared" si="1"/>
        <v>600018</v>
      </c>
      <c r="L41" s="61" t="str">
        <f>VLOOKUP(K41,[1]Mapping!$J$3:$Q$351,8,FALSE)</f>
        <v>Fringe Benefits</v>
      </c>
      <c r="M41" t="s">
        <v>83</v>
      </c>
      <c r="O41" s="85"/>
    </row>
    <row r="42" spans="1:15" hidden="1" x14ac:dyDescent="0.35">
      <c r="A42" s="79">
        <v>2000123000</v>
      </c>
      <c r="B42" t="s">
        <v>98</v>
      </c>
      <c r="C42" s="80">
        <v>600022</v>
      </c>
      <c r="D42" t="s">
        <v>90</v>
      </c>
      <c r="E42" s="81">
        <v>1</v>
      </c>
      <c r="F42" t="s">
        <v>21</v>
      </c>
      <c r="G42" s="55">
        <v>580.19000000000005</v>
      </c>
      <c r="H42" s="82">
        <v>580.19000000000005</v>
      </c>
      <c r="I42" s="83" t="str">
        <f>VLOOKUP(E42,[1]Mapping!$A$3:$B$14,2,FALSE)</f>
        <v>Jul</v>
      </c>
      <c r="J42" s="84">
        <f t="shared" si="0"/>
        <v>2000123000</v>
      </c>
      <c r="K42" s="84">
        <f t="shared" si="1"/>
        <v>600022</v>
      </c>
      <c r="L42" s="61" t="str">
        <f>VLOOKUP(K42,[1]Mapping!$J$3:$Q$351,8,FALSE)</f>
        <v>Fringe Benefits</v>
      </c>
      <c r="M42" t="s">
        <v>83</v>
      </c>
      <c r="O42" s="85"/>
    </row>
    <row r="43" spans="1:15" hidden="1" x14ac:dyDescent="0.35">
      <c r="A43" s="79">
        <v>2000123000</v>
      </c>
      <c r="B43" t="s">
        <v>98</v>
      </c>
      <c r="C43" s="80">
        <v>600025</v>
      </c>
      <c r="D43" t="s">
        <v>103</v>
      </c>
      <c r="E43" s="81">
        <v>1</v>
      </c>
      <c r="F43" t="s">
        <v>21</v>
      </c>
      <c r="G43" s="55">
        <v>100.61000000000001</v>
      </c>
      <c r="H43" s="82">
        <v>100.61000000000001</v>
      </c>
      <c r="I43" s="83" t="str">
        <f>VLOOKUP(E43,[1]Mapping!$A$3:$B$14,2,FALSE)</f>
        <v>Jul</v>
      </c>
      <c r="J43" s="84">
        <f t="shared" si="0"/>
        <v>2000123000</v>
      </c>
      <c r="K43" s="84">
        <f t="shared" si="1"/>
        <v>600025</v>
      </c>
      <c r="L43" s="61" t="str">
        <f>VLOOKUP(K43,[1]Mapping!$J$3:$Q$351,8,FALSE)</f>
        <v>Fringe Benefits</v>
      </c>
      <c r="M43" t="s">
        <v>83</v>
      </c>
      <c r="O43" s="85"/>
    </row>
    <row r="44" spans="1:15" hidden="1" x14ac:dyDescent="0.35">
      <c r="A44" s="79">
        <v>2000123000</v>
      </c>
      <c r="B44" t="s">
        <v>98</v>
      </c>
      <c r="C44" s="80">
        <v>607038</v>
      </c>
      <c r="D44" t="s">
        <v>100</v>
      </c>
      <c r="E44" s="81">
        <v>1</v>
      </c>
      <c r="F44" t="s">
        <v>27</v>
      </c>
      <c r="G44" s="55">
        <v>7053.75</v>
      </c>
      <c r="H44" s="82">
        <v>7053.75</v>
      </c>
      <c r="I44" s="83" t="str">
        <f>VLOOKUP(E44,[1]Mapping!$A$3:$B$14,2,FALSE)</f>
        <v>Jul</v>
      </c>
      <c r="J44" s="84">
        <f t="shared" si="0"/>
        <v>2000123000</v>
      </c>
      <c r="K44" s="84">
        <f t="shared" si="1"/>
        <v>607038</v>
      </c>
      <c r="L44" s="61" t="str">
        <f>VLOOKUP(K44,[1]Mapping!$J$3:$Q$351,8,FALSE)</f>
        <v>Outside Services</v>
      </c>
      <c r="M44" t="s">
        <v>83</v>
      </c>
      <c r="O44" s="85"/>
    </row>
    <row r="45" spans="1:15" hidden="1" x14ac:dyDescent="0.35">
      <c r="A45" s="79">
        <v>2000123000</v>
      </c>
      <c r="B45" t="s">
        <v>98</v>
      </c>
      <c r="C45" s="80">
        <v>600020</v>
      </c>
      <c r="D45" t="s">
        <v>91</v>
      </c>
      <c r="E45" s="81">
        <v>1</v>
      </c>
      <c r="F45" t="s">
        <v>21</v>
      </c>
      <c r="G45" s="55">
        <v>34892.949999999997</v>
      </c>
      <c r="H45" s="82">
        <v>34892.949999999997</v>
      </c>
      <c r="I45" s="83" t="str">
        <f>VLOOKUP(E45,[1]Mapping!$A$3:$B$14,2,FALSE)</f>
        <v>Jul</v>
      </c>
      <c r="J45" s="84">
        <f t="shared" si="0"/>
        <v>2000123000</v>
      </c>
      <c r="K45" s="84">
        <f t="shared" si="1"/>
        <v>600020</v>
      </c>
      <c r="L45" s="61" t="str">
        <f>VLOOKUP(K45,[1]Mapping!$J$3:$Q$351,8,FALSE)</f>
        <v>Fringe Benefits</v>
      </c>
      <c r="M45" t="s">
        <v>83</v>
      </c>
      <c r="O45" s="85"/>
    </row>
    <row r="46" spans="1:15" hidden="1" x14ac:dyDescent="0.35">
      <c r="A46" s="79">
        <v>2000123000</v>
      </c>
      <c r="B46" t="s">
        <v>98</v>
      </c>
      <c r="C46" s="80">
        <v>600055</v>
      </c>
      <c r="D46" t="s">
        <v>92</v>
      </c>
      <c r="E46" s="81">
        <v>1</v>
      </c>
      <c r="F46" t="s">
        <v>21</v>
      </c>
      <c r="G46" s="55">
        <v>2791.44</v>
      </c>
      <c r="H46" s="82">
        <v>2791.44</v>
      </c>
      <c r="I46" s="83" t="str">
        <f>VLOOKUP(E46,[1]Mapping!$A$3:$B$14,2,FALSE)</f>
        <v>Jul</v>
      </c>
      <c r="J46" s="84">
        <f t="shared" si="0"/>
        <v>2000123000</v>
      </c>
      <c r="K46" s="84">
        <f t="shared" si="1"/>
        <v>600055</v>
      </c>
      <c r="L46" s="61" t="str">
        <f>VLOOKUP(K46,[1]Mapping!$J$3:$Q$351,8,FALSE)</f>
        <v>Fringe Benefits</v>
      </c>
      <c r="M46" t="s">
        <v>83</v>
      </c>
      <c r="O46" s="85"/>
    </row>
    <row r="47" spans="1:15" hidden="1" x14ac:dyDescent="0.35">
      <c r="A47" s="79">
        <v>2000123000</v>
      </c>
      <c r="B47" t="s">
        <v>98</v>
      </c>
      <c r="C47" s="80">
        <v>607036</v>
      </c>
      <c r="D47" t="s">
        <v>45</v>
      </c>
      <c r="E47" s="81">
        <v>1</v>
      </c>
      <c r="F47" t="s">
        <v>27</v>
      </c>
      <c r="G47" s="55">
        <v>63626.87</v>
      </c>
      <c r="H47" s="82">
        <v>63626.87</v>
      </c>
      <c r="I47" s="83" t="str">
        <f>VLOOKUP(E47,[1]Mapping!$A$3:$B$14,2,FALSE)</f>
        <v>Jul</v>
      </c>
      <c r="J47" s="84">
        <f t="shared" si="0"/>
        <v>2000123000</v>
      </c>
      <c r="K47" s="84">
        <f t="shared" si="1"/>
        <v>607036</v>
      </c>
      <c r="L47" s="61" t="str">
        <f>VLOOKUP(K47,[1]Mapping!$J$3:$Q$351,8,FALSE)</f>
        <v>Outside Services</v>
      </c>
      <c r="M47" t="s">
        <v>83</v>
      </c>
      <c r="O47" s="85"/>
    </row>
    <row r="48" spans="1:15" hidden="1" x14ac:dyDescent="0.35">
      <c r="A48" s="79">
        <v>2000123000</v>
      </c>
      <c r="B48" t="s">
        <v>98</v>
      </c>
      <c r="C48" s="80">
        <v>600026</v>
      </c>
      <c r="D48" t="s">
        <v>93</v>
      </c>
      <c r="E48" s="81">
        <v>1</v>
      </c>
      <c r="F48" t="s">
        <v>21</v>
      </c>
      <c r="G48" s="55">
        <v>13680</v>
      </c>
      <c r="H48" s="82">
        <v>13680</v>
      </c>
      <c r="I48" s="83" t="str">
        <f>VLOOKUP(E48,[1]Mapping!$A$3:$B$14,2,FALSE)</f>
        <v>Jul</v>
      </c>
      <c r="J48" s="84">
        <f t="shared" si="0"/>
        <v>2000123000</v>
      </c>
      <c r="K48" s="84">
        <f t="shared" si="1"/>
        <v>600026</v>
      </c>
      <c r="L48" s="61" t="str">
        <f>VLOOKUP(K48,[1]Mapping!$J$3:$Q$351,8,FALSE)</f>
        <v>Fringe Benefits</v>
      </c>
      <c r="M48" t="s">
        <v>83</v>
      </c>
      <c r="O48" s="85"/>
    </row>
    <row r="49" spans="1:15" hidden="1" x14ac:dyDescent="0.35">
      <c r="A49" s="79">
        <v>2000123000</v>
      </c>
      <c r="B49" t="s">
        <v>98</v>
      </c>
      <c r="C49" s="80">
        <v>600048</v>
      </c>
      <c r="D49" t="s">
        <v>104</v>
      </c>
      <c r="E49" s="81">
        <v>1</v>
      </c>
      <c r="F49" t="s">
        <v>22</v>
      </c>
      <c r="G49" s="55">
        <v>129.88999999999999</v>
      </c>
      <c r="H49" s="82">
        <v>129.88999999999999</v>
      </c>
      <c r="I49" s="83" t="str">
        <f>VLOOKUP(E49,[1]Mapping!$A$3:$B$14,2,FALSE)</f>
        <v>Jul</v>
      </c>
      <c r="J49" s="84">
        <f t="shared" si="0"/>
        <v>2000123000</v>
      </c>
      <c r="K49" s="84">
        <f t="shared" si="1"/>
        <v>600048</v>
      </c>
      <c r="L49" s="61" t="str">
        <f>VLOOKUP(K49,[1]Mapping!$J$3:$Q$351,8,FALSE)</f>
        <v>Employee Related Expenses</v>
      </c>
      <c r="M49" t="s">
        <v>83</v>
      </c>
      <c r="O49" s="85"/>
    </row>
    <row r="50" spans="1:15" hidden="1" x14ac:dyDescent="0.35">
      <c r="A50" s="79">
        <v>2000123000</v>
      </c>
      <c r="B50" t="s">
        <v>98</v>
      </c>
      <c r="C50" s="80">
        <v>600008</v>
      </c>
      <c r="D50" t="s">
        <v>105</v>
      </c>
      <c r="E50" s="81">
        <v>1</v>
      </c>
      <c r="F50" t="s">
        <v>19</v>
      </c>
      <c r="G50" s="55">
        <v>75</v>
      </c>
      <c r="H50" s="82">
        <v>75</v>
      </c>
      <c r="I50" s="83" t="str">
        <f>VLOOKUP(E50,[1]Mapping!$A$3:$B$14,2,FALSE)</f>
        <v>Jul</v>
      </c>
      <c r="J50" s="84">
        <f t="shared" si="0"/>
        <v>2000123000</v>
      </c>
      <c r="K50" s="84">
        <f t="shared" si="1"/>
        <v>600008</v>
      </c>
      <c r="L50" s="61" t="str">
        <f>VLOOKUP(K50,[1]Mapping!$J$3:$Q$351,8,FALSE)</f>
        <v>Wages &amp; Salaries</v>
      </c>
      <c r="M50" t="s">
        <v>83</v>
      </c>
      <c r="O50" s="85"/>
    </row>
    <row r="51" spans="1:15" hidden="1" x14ac:dyDescent="0.35">
      <c r="A51" s="79">
        <v>2000123000</v>
      </c>
      <c r="B51" t="s">
        <v>98</v>
      </c>
      <c r="C51" s="80">
        <v>607063</v>
      </c>
      <c r="D51" t="s">
        <v>106</v>
      </c>
      <c r="E51" s="81">
        <v>1</v>
      </c>
      <c r="F51" t="s">
        <v>24</v>
      </c>
      <c r="G51" s="55">
        <v>38.65</v>
      </c>
      <c r="H51" s="82">
        <v>38.65</v>
      </c>
      <c r="I51" s="83" t="str">
        <f>VLOOKUP(E51,[1]Mapping!$A$3:$B$14,2,FALSE)</f>
        <v>Jul</v>
      </c>
      <c r="J51" s="84">
        <f t="shared" si="0"/>
        <v>2000123000</v>
      </c>
      <c r="K51" s="84">
        <f t="shared" si="1"/>
        <v>607063</v>
      </c>
      <c r="L51" s="61" t="str">
        <f>VLOOKUP(K51,[1]Mapping!$J$3:$Q$351,8,FALSE)</f>
        <v>Other</v>
      </c>
      <c r="M51" t="s">
        <v>83</v>
      </c>
      <c r="O51" s="85"/>
    </row>
    <row r="52" spans="1:15" hidden="1" x14ac:dyDescent="0.35">
      <c r="A52" s="79">
        <v>2000123000</v>
      </c>
      <c r="B52" t="s">
        <v>98</v>
      </c>
      <c r="C52" s="80">
        <v>600002</v>
      </c>
      <c r="D52" t="s">
        <v>97</v>
      </c>
      <c r="E52" s="81">
        <v>1</v>
      </c>
      <c r="F52" t="s">
        <v>21</v>
      </c>
      <c r="G52" s="55">
        <v>5504.73</v>
      </c>
      <c r="H52" s="82">
        <v>5504.73</v>
      </c>
      <c r="I52" s="83" t="str">
        <f>VLOOKUP(E52,[1]Mapping!$A$3:$B$14,2,FALSE)</f>
        <v>Jul</v>
      </c>
      <c r="J52" s="84">
        <f t="shared" si="0"/>
        <v>2000123000</v>
      </c>
      <c r="K52" s="84">
        <f t="shared" si="1"/>
        <v>600002</v>
      </c>
      <c r="L52" s="61" t="str">
        <f>VLOOKUP(K52,[1]Mapping!$J$3:$Q$351,8,FALSE)</f>
        <v>Fringe Benefits</v>
      </c>
      <c r="M52" t="s">
        <v>83</v>
      </c>
      <c r="O52" s="85"/>
    </row>
    <row r="53" spans="1:15" hidden="1" x14ac:dyDescent="0.35">
      <c r="A53" s="79">
        <v>2000123000</v>
      </c>
      <c r="B53" t="s">
        <v>98</v>
      </c>
      <c r="C53" s="80">
        <v>607009</v>
      </c>
      <c r="D53" t="s">
        <v>50</v>
      </c>
      <c r="E53" s="81">
        <v>1</v>
      </c>
      <c r="F53" t="s">
        <v>22</v>
      </c>
      <c r="G53" s="55">
        <v>0</v>
      </c>
      <c r="H53" s="82">
        <v>0</v>
      </c>
      <c r="I53" s="83" t="str">
        <f>VLOOKUP(E53,[1]Mapping!$A$3:$B$14,2,FALSE)</f>
        <v>Jul</v>
      </c>
      <c r="J53" s="84">
        <f t="shared" si="0"/>
        <v>2000123000</v>
      </c>
      <c r="K53" s="84">
        <f t="shared" si="1"/>
        <v>607009</v>
      </c>
      <c r="L53" s="61" t="str">
        <f>VLOOKUP(K53,[1]Mapping!$J$3:$Q$351,8,FALSE)</f>
        <v>Employee Related Expenses</v>
      </c>
      <c r="M53" t="s">
        <v>83</v>
      </c>
      <c r="O53" s="85"/>
    </row>
    <row r="54" spans="1:15" hidden="1" x14ac:dyDescent="0.35">
      <c r="A54" s="79">
        <v>2000121000</v>
      </c>
      <c r="B54" t="s">
        <v>107</v>
      </c>
      <c r="C54" s="80">
        <v>600019</v>
      </c>
      <c r="D54" t="s">
        <v>82</v>
      </c>
      <c r="E54" s="81">
        <v>1</v>
      </c>
      <c r="F54" t="s">
        <v>21</v>
      </c>
      <c r="G54" s="55">
        <v>5882.93</v>
      </c>
      <c r="H54" s="82">
        <v>5882.93</v>
      </c>
      <c r="I54" s="83" t="str">
        <f>VLOOKUP(E54,[1]Mapping!$A$3:$B$14,2,FALSE)</f>
        <v>Jul</v>
      </c>
      <c r="J54" s="84">
        <f t="shared" si="0"/>
        <v>2000121000</v>
      </c>
      <c r="K54" s="84">
        <f t="shared" si="1"/>
        <v>600019</v>
      </c>
      <c r="L54" s="61" t="str">
        <f>VLOOKUP(K54,[1]Mapping!$J$3:$Q$351,8,FALSE)</f>
        <v>Fringe Benefits</v>
      </c>
      <c r="M54" t="s">
        <v>83</v>
      </c>
      <c r="O54" s="85"/>
    </row>
    <row r="55" spans="1:15" hidden="1" x14ac:dyDescent="0.35">
      <c r="A55" s="79">
        <v>2000121000</v>
      </c>
      <c r="B55" t="s">
        <v>107</v>
      </c>
      <c r="C55" s="80">
        <v>607035</v>
      </c>
      <c r="D55" t="s">
        <v>108</v>
      </c>
      <c r="E55" s="81">
        <v>1</v>
      </c>
      <c r="F55" t="s">
        <v>27</v>
      </c>
      <c r="G55" s="55">
        <v>39500.58</v>
      </c>
      <c r="H55" s="82">
        <v>39500.58</v>
      </c>
      <c r="I55" s="83" t="str">
        <f>VLOOKUP(E55,[1]Mapping!$A$3:$B$14,2,FALSE)</f>
        <v>Jul</v>
      </c>
      <c r="J55" s="84">
        <f t="shared" si="0"/>
        <v>2000121000</v>
      </c>
      <c r="K55" s="84">
        <f t="shared" si="1"/>
        <v>607035</v>
      </c>
      <c r="L55" s="61" t="str">
        <f>VLOOKUP(K55,[1]Mapping!$J$3:$Q$351,8,FALSE)</f>
        <v>Outside Services</v>
      </c>
      <c r="M55" t="s">
        <v>83</v>
      </c>
      <c r="O55" s="85"/>
    </row>
    <row r="56" spans="1:15" hidden="1" x14ac:dyDescent="0.35">
      <c r="A56" s="79">
        <v>2000121000</v>
      </c>
      <c r="B56" t="s">
        <v>107</v>
      </c>
      <c r="C56" s="80">
        <v>607035</v>
      </c>
      <c r="D56" t="s">
        <v>108</v>
      </c>
      <c r="E56" s="81">
        <v>1</v>
      </c>
      <c r="F56" t="s">
        <v>27</v>
      </c>
      <c r="G56" s="55">
        <v>36726.44</v>
      </c>
      <c r="H56" s="82">
        <v>36726.44</v>
      </c>
      <c r="I56" s="83" t="str">
        <f>VLOOKUP(E56,[1]Mapping!$A$3:$B$14,2,FALSE)</f>
        <v>Jul</v>
      </c>
      <c r="J56" s="84">
        <f t="shared" si="0"/>
        <v>2000121000</v>
      </c>
      <c r="K56" s="84">
        <f t="shared" si="1"/>
        <v>607035</v>
      </c>
      <c r="L56" s="61" t="str">
        <f>VLOOKUP(K56,[1]Mapping!$J$3:$Q$351,8,FALSE)</f>
        <v>Outside Services</v>
      </c>
      <c r="M56" t="s">
        <v>83</v>
      </c>
      <c r="O56" s="85"/>
    </row>
    <row r="57" spans="1:15" hidden="1" x14ac:dyDescent="0.35">
      <c r="A57" s="79">
        <v>2000121000</v>
      </c>
      <c r="B57" t="s">
        <v>107</v>
      </c>
      <c r="C57" s="80">
        <v>600001</v>
      </c>
      <c r="D57" t="s">
        <v>86</v>
      </c>
      <c r="E57" s="81">
        <v>1</v>
      </c>
      <c r="F57" t="s">
        <v>19</v>
      </c>
      <c r="G57" s="55">
        <v>55631.149999999994</v>
      </c>
      <c r="H57" s="82">
        <v>55631.149999999994</v>
      </c>
      <c r="I57" s="83" t="str">
        <f>VLOOKUP(E57,[1]Mapping!$A$3:$B$14,2,FALSE)</f>
        <v>Jul</v>
      </c>
      <c r="J57" s="84">
        <f t="shared" si="0"/>
        <v>2000121000</v>
      </c>
      <c r="K57" s="84">
        <f t="shared" si="1"/>
        <v>600001</v>
      </c>
      <c r="L57" s="61" t="str">
        <f>VLOOKUP(K57,[1]Mapping!$J$3:$Q$351,8,FALSE)</f>
        <v>Wages &amp; Salaries</v>
      </c>
      <c r="M57" t="s">
        <v>83</v>
      </c>
      <c r="O57" s="85"/>
    </row>
    <row r="58" spans="1:15" hidden="1" x14ac:dyDescent="0.35">
      <c r="A58" s="79">
        <v>2000121000</v>
      </c>
      <c r="B58" t="s">
        <v>107</v>
      </c>
      <c r="C58" s="80">
        <v>600011</v>
      </c>
      <c r="D58" t="s">
        <v>87</v>
      </c>
      <c r="E58" s="81">
        <v>1</v>
      </c>
      <c r="F58" t="s">
        <v>21</v>
      </c>
      <c r="G58" s="55">
        <v>3139.37</v>
      </c>
      <c r="H58" s="82">
        <v>3139.37</v>
      </c>
      <c r="I58" s="83" t="str">
        <f>VLOOKUP(E58,[1]Mapping!$A$3:$B$14,2,FALSE)</f>
        <v>Jul</v>
      </c>
      <c r="J58" s="84">
        <f t="shared" si="0"/>
        <v>2000121000</v>
      </c>
      <c r="K58" s="84">
        <f t="shared" si="1"/>
        <v>600011</v>
      </c>
      <c r="L58" s="61" t="str">
        <f>VLOOKUP(K58,[1]Mapping!$J$3:$Q$351,8,FALSE)</f>
        <v>Fringe Benefits</v>
      </c>
      <c r="M58" t="s">
        <v>83</v>
      </c>
      <c r="O58" s="85"/>
    </row>
    <row r="59" spans="1:15" hidden="1" x14ac:dyDescent="0.35">
      <c r="A59" s="79">
        <v>2000121000</v>
      </c>
      <c r="B59" t="s">
        <v>107</v>
      </c>
      <c r="C59" s="80">
        <v>600013</v>
      </c>
      <c r="D59" t="s">
        <v>88</v>
      </c>
      <c r="E59" s="81">
        <v>1</v>
      </c>
      <c r="F59" t="s">
        <v>21</v>
      </c>
      <c r="G59" s="55">
        <v>6039.5</v>
      </c>
      <c r="H59" s="82">
        <v>6039.5</v>
      </c>
      <c r="I59" s="83" t="str">
        <f>VLOOKUP(E59,[1]Mapping!$A$3:$B$14,2,FALSE)</f>
        <v>Jul</v>
      </c>
      <c r="J59" s="84">
        <f t="shared" si="0"/>
        <v>2000121000</v>
      </c>
      <c r="K59" s="84">
        <f t="shared" si="1"/>
        <v>600013</v>
      </c>
      <c r="L59" s="61" t="str">
        <f>VLOOKUP(K59,[1]Mapping!$J$3:$Q$351,8,FALSE)</f>
        <v>Fringe Benefits</v>
      </c>
      <c r="M59" t="s">
        <v>83</v>
      </c>
      <c r="O59" s="85"/>
    </row>
    <row r="60" spans="1:15" hidden="1" x14ac:dyDescent="0.35">
      <c r="A60" s="79">
        <v>2000121000</v>
      </c>
      <c r="B60" t="s">
        <v>107</v>
      </c>
      <c r="C60" s="80">
        <v>600018</v>
      </c>
      <c r="D60" t="s">
        <v>89</v>
      </c>
      <c r="E60" s="81">
        <v>1</v>
      </c>
      <c r="F60" t="s">
        <v>21</v>
      </c>
      <c r="G60" s="55">
        <v>4815.3500000000004</v>
      </c>
      <c r="H60" s="82">
        <v>4815.3500000000004</v>
      </c>
      <c r="I60" s="83" t="str">
        <f>VLOOKUP(E60,[1]Mapping!$A$3:$B$14,2,FALSE)</f>
        <v>Jul</v>
      </c>
      <c r="J60" s="84">
        <f t="shared" si="0"/>
        <v>2000121000</v>
      </c>
      <c r="K60" s="84">
        <f t="shared" si="1"/>
        <v>600018</v>
      </c>
      <c r="L60" s="61" t="str">
        <f>VLOOKUP(K60,[1]Mapping!$J$3:$Q$351,8,FALSE)</f>
        <v>Fringe Benefits</v>
      </c>
      <c r="M60" t="s">
        <v>83</v>
      </c>
      <c r="O60" s="85"/>
    </row>
    <row r="61" spans="1:15" hidden="1" x14ac:dyDescent="0.35">
      <c r="A61" s="79">
        <v>2000121000</v>
      </c>
      <c r="B61" t="s">
        <v>107</v>
      </c>
      <c r="C61" s="80">
        <v>600022</v>
      </c>
      <c r="D61" t="s">
        <v>90</v>
      </c>
      <c r="E61" s="81">
        <v>1</v>
      </c>
      <c r="F61" t="s">
        <v>21</v>
      </c>
      <c r="G61" s="55">
        <v>153.74</v>
      </c>
      <c r="H61" s="82">
        <v>153.74</v>
      </c>
      <c r="I61" s="83" t="str">
        <f>VLOOKUP(E61,[1]Mapping!$A$3:$B$14,2,FALSE)</f>
        <v>Jul</v>
      </c>
      <c r="J61" s="84">
        <f t="shared" si="0"/>
        <v>2000121000</v>
      </c>
      <c r="K61" s="84">
        <f t="shared" si="1"/>
        <v>600022</v>
      </c>
      <c r="L61" s="61" t="str">
        <f>VLOOKUP(K61,[1]Mapping!$J$3:$Q$351,8,FALSE)</f>
        <v>Fringe Benefits</v>
      </c>
      <c r="M61" t="s">
        <v>83</v>
      </c>
      <c r="O61" s="85"/>
    </row>
    <row r="62" spans="1:15" hidden="1" x14ac:dyDescent="0.35">
      <c r="A62" s="79">
        <v>2000121000</v>
      </c>
      <c r="B62" t="s">
        <v>107</v>
      </c>
      <c r="C62" s="80">
        <v>600020</v>
      </c>
      <c r="D62" t="s">
        <v>91</v>
      </c>
      <c r="E62" s="81">
        <v>1</v>
      </c>
      <c r="F62" t="s">
        <v>21</v>
      </c>
      <c r="G62" s="55">
        <v>8663.77</v>
      </c>
      <c r="H62" s="82">
        <v>8663.77</v>
      </c>
      <c r="I62" s="83" t="str">
        <f>VLOOKUP(E62,[1]Mapping!$A$3:$B$14,2,FALSE)</f>
        <v>Jul</v>
      </c>
      <c r="J62" s="84">
        <f t="shared" si="0"/>
        <v>2000121000</v>
      </c>
      <c r="K62" s="84">
        <f t="shared" si="1"/>
        <v>600020</v>
      </c>
      <c r="L62" s="61" t="str">
        <f>VLOOKUP(K62,[1]Mapping!$J$3:$Q$351,8,FALSE)</f>
        <v>Fringe Benefits</v>
      </c>
      <c r="M62" t="s">
        <v>83</v>
      </c>
      <c r="O62" s="85"/>
    </row>
    <row r="63" spans="1:15" hidden="1" x14ac:dyDescent="0.35">
      <c r="A63" s="79">
        <v>2000121000</v>
      </c>
      <c r="B63" t="s">
        <v>107</v>
      </c>
      <c r="C63" s="80">
        <v>600055</v>
      </c>
      <c r="D63" t="s">
        <v>92</v>
      </c>
      <c r="E63" s="81">
        <v>1</v>
      </c>
      <c r="F63" t="s">
        <v>21</v>
      </c>
      <c r="G63" s="55">
        <v>693.1</v>
      </c>
      <c r="H63" s="82">
        <v>693.1</v>
      </c>
      <c r="I63" s="83" t="str">
        <f>VLOOKUP(E63,[1]Mapping!$A$3:$B$14,2,FALSE)</f>
        <v>Jul</v>
      </c>
      <c r="J63" s="84">
        <f t="shared" si="0"/>
        <v>2000121000</v>
      </c>
      <c r="K63" s="84">
        <f t="shared" si="1"/>
        <v>600055</v>
      </c>
      <c r="L63" s="61" t="str">
        <f>VLOOKUP(K63,[1]Mapping!$J$3:$Q$351,8,FALSE)</f>
        <v>Fringe Benefits</v>
      </c>
      <c r="M63" t="s">
        <v>83</v>
      </c>
      <c r="O63" s="85"/>
    </row>
    <row r="64" spans="1:15" hidden="1" x14ac:dyDescent="0.35">
      <c r="A64" s="79">
        <v>2000121000</v>
      </c>
      <c r="B64" t="s">
        <v>107</v>
      </c>
      <c r="C64" s="80">
        <v>600026</v>
      </c>
      <c r="D64" t="s">
        <v>93</v>
      </c>
      <c r="E64" s="81">
        <v>1</v>
      </c>
      <c r="F64" t="s">
        <v>21</v>
      </c>
      <c r="G64" s="55">
        <v>1440</v>
      </c>
      <c r="H64" s="82">
        <v>1440</v>
      </c>
      <c r="I64" s="83" t="str">
        <f>VLOOKUP(E64,[1]Mapping!$A$3:$B$14,2,FALSE)</f>
        <v>Jul</v>
      </c>
      <c r="J64" s="84">
        <f t="shared" si="0"/>
        <v>2000121000</v>
      </c>
      <c r="K64" s="84">
        <f t="shared" si="1"/>
        <v>600026</v>
      </c>
      <c r="L64" s="61" t="str">
        <f>VLOOKUP(K64,[1]Mapping!$J$3:$Q$351,8,FALSE)</f>
        <v>Fringe Benefits</v>
      </c>
      <c r="M64" t="s">
        <v>83</v>
      </c>
      <c r="O64" s="85"/>
    </row>
    <row r="65" spans="1:15" hidden="1" x14ac:dyDescent="0.35">
      <c r="A65" s="79">
        <v>2000121000</v>
      </c>
      <c r="B65" t="s">
        <v>107</v>
      </c>
      <c r="C65" s="80">
        <v>600002</v>
      </c>
      <c r="D65" t="s">
        <v>97</v>
      </c>
      <c r="E65" s="81">
        <v>1</v>
      </c>
      <c r="F65" t="s">
        <v>21</v>
      </c>
      <c r="G65" s="55">
        <v>1499.29</v>
      </c>
      <c r="H65" s="82">
        <v>1499.29</v>
      </c>
      <c r="I65" s="83" t="str">
        <f>VLOOKUP(E65,[1]Mapping!$A$3:$B$14,2,FALSE)</f>
        <v>Jul</v>
      </c>
      <c r="J65" s="84">
        <f t="shared" si="0"/>
        <v>2000121000</v>
      </c>
      <c r="K65" s="84">
        <f t="shared" si="1"/>
        <v>600002</v>
      </c>
      <c r="L65" s="61" t="str">
        <f>VLOOKUP(K65,[1]Mapping!$J$3:$Q$351,8,FALSE)</f>
        <v>Fringe Benefits</v>
      </c>
      <c r="M65" t="s">
        <v>83</v>
      </c>
      <c r="O65" s="85"/>
    </row>
    <row r="66" spans="1:15" hidden="1" x14ac:dyDescent="0.35">
      <c r="A66" s="79">
        <v>2000122000</v>
      </c>
      <c r="B66" t="s">
        <v>109</v>
      </c>
      <c r="C66" s="80">
        <v>600019</v>
      </c>
      <c r="D66" t="s">
        <v>82</v>
      </c>
      <c r="E66" s="81">
        <v>1</v>
      </c>
      <c r="F66" t="s">
        <v>21</v>
      </c>
      <c r="G66" s="55">
        <v>269.95</v>
      </c>
      <c r="H66" s="82">
        <v>269.95</v>
      </c>
      <c r="I66" s="83" t="str">
        <f>VLOOKUP(E66,[1]Mapping!$A$3:$B$14,2,FALSE)</f>
        <v>Jul</v>
      </c>
      <c r="J66" s="84">
        <f t="shared" si="0"/>
        <v>2000122000</v>
      </c>
      <c r="K66" s="84">
        <f t="shared" si="1"/>
        <v>600019</v>
      </c>
      <c r="L66" s="61" t="str">
        <f>VLOOKUP(K66,[1]Mapping!$J$3:$Q$351,8,FALSE)</f>
        <v>Fringe Benefits</v>
      </c>
      <c r="M66" t="s">
        <v>83</v>
      </c>
      <c r="O66" s="85"/>
    </row>
    <row r="67" spans="1:15" hidden="1" x14ac:dyDescent="0.35">
      <c r="A67" s="79">
        <v>2000122000</v>
      </c>
      <c r="B67" t="s">
        <v>109</v>
      </c>
      <c r="C67" s="80">
        <v>600030</v>
      </c>
      <c r="D67" t="s">
        <v>110</v>
      </c>
      <c r="E67" s="81">
        <v>1</v>
      </c>
      <c r="F67" t="s">
        <v>23</v>
      </c>
      <c r="G67" s="55">
        <v>163.99</v>
      </c>
      <c r="H67" s="82">
        <v>163.99</v>
      </c>
      <c r="I67" s="83" t="str">
        <f>VLOOKUP(E67,[1]Mapping!$A$3:$B$14,2,FALSE)</f>
        <v>Jul</v>
      </c>
      <c r="J67" s="84">
        <f t="shared" si="0"/>
        <v>2000122000</v>
      </c>
      <c r="K67" s="84">
        <f t="shared" si="1"/>
        <v>600030</v>
      </c>
      <c r="L67" s="61" t="str">
        <f>VLOOKUP(K67,[1]Mapping!$J$3:$Q$351,8,FALSE)</f>
        <v>Travel &amp; Entertainment</v>
      </c>
      <c r="M67" t="s">
        <v>83</v>
      </c>
      <c r="O67" s="85"/>
    </row>
    <row r="68" spans="1:15" hidden="1" x14ac:dyDescent="0.35">
      <c r="A68" s="79">
        <v>2000122000</v>
      </c>
      <c r="B68" t="s">
        <v>109</v>
      </c>
      <c r="C68" s="80">
        <v>600044</v>
      </c>
      <c r="D68" t="s">
        <v>111</v>
      </c>
      <c r="E68" s="81">
        <v>1</v>
      </c>
      <c r="F68" t="s">
        <v>23</v>
      </c>
      <c r="G68" s="55">
        <v>96.529999999999959</v>
      </c>
      <c r="H68" s="82">
        <v>96.529999999999959</v>
      </c>
      <c r="I68" s="83" t="str">
        <f>VLOOKUP(E68,[1]Mapping!$A$3:$B$14,2,FALSE)</f>
        <v>Jul</v>
      </c>
      <c r="J68" s="84">
        <f t="shared" si="0"/>
        <v>2000122000</v>
      </c>
      <c r="K68" s="84">
        <f t="shared" si="1"/>
        <v>600044</v>
      </c>
      <c r="L68" s="61" t="str">
        <f>VLOOKUP(K68,[1]Mapping!$J$3:$Q$351,8,FALSE)</f>
        <v>Travel &amp; Entertainment</v>
      </c>
      <c r="M68" t="s">
        <v>83</v>
      </c>
      <c r="O68" s="85"/>
    </row>
    <row r="69" spans="1:15" hidden="1" x14ac:dyDescent="0.35">
      <c r="A69" s="79">
        <v>2000122000</v>
      </c>
      <c r="B69" t="s">
        <v>109</v>
      </c>
      <c r="C69" s="80">
        <v>600043</v>
      </c>
      <c r="D69" t="s">
        <v>102</v>
      </c>
      <c r="E69" s="81">
        <v>1</v>
      </c>
      <c r="F69" t="s">
        <v>23</v>
      </c>
      <c r="G69" s="55">
        <v>2616.3399999999983</v>
      </c>
      <c r="H69" s="82">
        <v>2616.3399999999983</v>
      </c>
      <c r="I69" s="83" t="str">
        <f>VLOOKUP(E69,[1]Mapping!$A$3:$B$14,2,FALSE)</f>
        <v>Jul</v>
      </c>
      <c r="J69" s="84">
        <f t="shared" si="0"/>
        <v>2000122000</v>
      </c>
      <c r="K69" s="84">
        <f t="shared" si="1"/>
        <v>600043</v>
      </c>
      <c r="L69" s="61" t="str">
        <f>VLOOKUP(K69,[1]Mapping!$J$3:$Q$351,8,FALSE)</f>
        <v>Travel &amp; Entertainment</v>
      </c>
      <c r="M69" t="s">
        <v>83</v>
      </c>
      <c r="O69" s="85"/>
    </row>
    <row r="70" spans="1:15" hidden="1" x14ac:dyDescent="0.35">
      <c r="A70" s="79">
        <v>2000122000</v>
      </c>
      <c r="B70" t="s">
        <v>109</v>
      </c>
      <c r="C70" s="80">
        <v>600027</v>
      </c>
      <c r="D70" t="s">
        <v>112</v>
      </c>
      <c r="E70" s="81">
        <v>1</v>
      </c>
      <c r="F70" t="s">
        <v>23</v>
      </c>
      <c r="G70" s="55">
        <v>46.829999999999814</v>
      </c>
      <c r="H70" s="82">
        <v>46.829999999999814</v>
      </c>
      <c r="I70" s="83" t="str">
        <f>VLOOKUP(E70,[1]Mapping!$A$3:$B$14,2,FALSE)</f>
        <v>Jul</v>
      </c>
      <c r="J70" s="84">
        <f t="shared" si="0"/>
        <v>2000122000</v>
      </c>
      <c r="K70" s="84">
        <f t="shared" si="1"/>
        <v>600027</v>
      </c>
      <c r="L70" s="61" t="str">
        <f>VLOOKUP(K70,[1]Mapping!$J$3:$Q$351,8,FALSE)</f>
        <v>Travel &amp; Entertainment</v>
      </c>
      <c r="M70" t="s">
        <v>83</v>
      </c>
      <c r="O70" s="85"/>
    </row>
    <row r="71" spans="1:15" hidden="1" x14ac:dyDescent="0.35">
      <c r="A71" s="79">
        <v>2000122000</v>
      </c>
      <c r="B71" t="s">
        <v>109</v>
      </c>
      <c r="C71" s="80">
        <v>600029</v>
      </c>
      <c r="D71" t="s">
        <v>113</v>
      </c>
      <c r="E71" s="81">
        <v>1</v>
      </c>
      <c r="F71" t="s">
        <v>23</v>
      </c>
      <c r="G71" s="55">
        <v>360.68000000000006</v>
      </c>
      <c r="H71" s="82">
        <v>360.68000000000006</v>
      </c>
      <c r="I71" s="83" t="str">
        <f>VLOOKUP(E71,[1]Mapping!$A$3:$B$14,2,FALSE)</f>
        <v>Jul</v>
      </c>
      <c r="J71" s="84">
        <f t="shared" si="0"/>
        <v>2000122000</v>
      </c>
      <c r="K71" s="84">
        <f t="shared" si="1"/>
        <v>600029</v>
      </c>
      <c r="L71" s="61" t="str">
        <f>VLOOKUP(K71,[1]Mapping!$J$3:$Q$351,8,FALSE)</f>
        <v>Travel &amp; Entertainment</v>
      </c>
      <c r="M71" t="s">
        <v>83</v>
      </c>
      <c r="O71" s="85"/>
    </row>
    <row r="72" spans="1:15" hidden="1" x14ac:dyDescent="0.35">
      <c r="A72" s="79">
        <v>2000122000</v>
      </c>
      <c r="B72" t="s">
        <v>109</v>
      </c>
      <c r="C72" s="80">
        <v>600042</v>
      </c>
      <c r="D72" t="s">
        <v>43</v>
      </c>
      <c r="E72" s="81">
        <v>1</v>
      </c>
      <c r="F72" t="s">
        <v>22</v>
      </c>
      <c r="G72" s="55">
        <v>0</v>
      </c>
      <c r="H72" s="82">
        <v>0</v>
      </c>
      <c r="I72" s="83" t="str">
        <f>VLOOKUP(E72,[1]Mapping!$A$3:$B$14,2,FALSE)</f>
        <v>Jul</v>
      </c>
      <c r="J72" s="84">
        <f t="shared" si="0"/>
        <v>2000122000</v>
      </c>
      <c r="K72" s="84">
        <f t="shared" si="1"/>
        <v>600042</v>
      </c>
      <c r="L72" s="61" t="str">
        <f>VLOOKUP(K72,[1]Mapping!$J$3:$Q$351,8,FALSE)</f>
        <v>Employee Related Expenses</v>
      </c>
      <c r="M72" t="s">
        <v>83</v>
      </c>
      <c r="O72" s="85"/>
    </row>
    <row r="73" spans="1:15" hidden="1" x14ac:dyDescent="0.35">
      <c r="A73" s="79">
        <v>2000122000</v>
      </c>
      <c r="B73" t="s">
        <v>109</v>
      </c>
      <c r="C73" s="80">
        <v>607035</v>
      </c>
      <c r="D73" t="s">
        <v>108</v>
      </c>
      <c r="E73" s="81">
        <v>1</v>
      </c>
      <c r="F73" t="s">
        <v>27</v>
      </c>
      <c r="G73" s="55">
        <v>37714.78</v>
      </c>
      <c r="H73" s="82">
        <v>37714.78</v>
      </c>
      <c r="I73" s="83" t="str">
        <f>VLOOKUP(E73,[1]Mapping!$A$3:$B$14,2,FALSE)</f>
        <v>Jul</v>
      </c>
      <c r="J73" s="84">
        <f t="shared" si="0"/>
        <v>2000122000</v>
      </c>
      <c r="K73" s="84">
        <f t="shared" si="1"/>
        <v>607035</v>
      </c>
      <c r="L73" s="61" t="str">
        <f>VLOOKUP(K73,[1]Mapping!$J$3:$Q$351,8,FALSE)</f>
        <v>Outside Services</v>
      </c>
      <c r="M73" t="s">
        <v>83</v>
      </c>
      <c r="O73" s="85"/>
    </row>
    <row r="74" spans="1:15" hidden="1" x14ac:dyDescent="0.35">
      <c r="A74" s="79">
        <v>2000122000</v>
      </c>
      <c r="B74" t="s">
        <v>109</v>
      </c>
      <c r="C74" s="80">
        <v>600001</v>
      </c>
      <c r="D74" t="s">
        <v>86</v>
      </c>
      <c r="E74" s="81">
        <v>1</v>
      </c>
      <c r="F74" t="s">
        <v>19</v>
      </c>
      <c r="G74" s="55">
        <v>150755.65</v>
      </c>
      <c r="H74" s="82">
        <v>150755.65</v>
      </c>
      <c r="I74" s="83" t="str">
        <f>VLOOKUP(E74,[1]Mapping!$A$3:$B$14,2,FALSE)</f>
        <v>Jul</v>
      </c>
      <c r="J74" s="84">
        <f t="shared" si="0"/>
        <v>2000122000</v>
      </c>
      <c r="K74" s="84">
        <f t="shared" si="1"/>
        <v>600001</v>
      </c>
      <c r="L74" s="61" t="str">
        <f>VLOOKUP(K74,[1]Mapping!$J$3:$Q$351,8,FALSE)</f>
        <v>Wages &amp; Salaries</v>
      </c>
      <c r="M74" t="s">
        <v>83</v>
      </c>
      <c r="O74" s="85"/>
    </row>
    <row r="75" spans="1:15" hidden="1" x14ac:dyDescent="0.35">
      <c r="A75" s="79">
        <v>2000122000</v>
      </c>
      <c r="B75" t="s">
        <v>109</v>
      </c>
      <c r="C75" s="80">
        <v>600011</v>
      </c>
      <c r="D75" t="s">
        <v>87</v>
      </c>
      <c r="E75" s="81">
        <v>1</v>
      </c>
      <c r="F75" t="s">
        <v>21</v>
      </c>
      <c r="G75" s="55">
        <v>7575.7199999999993</v>
      </c>
      <c r="H75" s="82">
        <v>7575.7199999999993</v>
      </c>
      <c r="I75" s="83" t="str">
        <f>VLOOKUP(E75,[1]Mapping!$A$3:$B$14,2,FALSE)</f>
        <v>Jul</v>
      </c>
      <c r="J75" s="84">
        <f t="shared" ref="J75:J138" si="2">VALUE(A75)</f>
        <v>2000122000</v>
      </c>
      <c r="K75" s="84">
        <f t="shared" ref="K75:K138" si="3">VALUE(C75)</f>
        <v>600011</v>
      </c>
      <c r="L75" s="61" t="str">
        <f>VLOOKUP(K75,[1]Mapping!$J$3:$Q$351,8,FALSE)</f>
        <v>Fringe Benefits</v>
      </c>
      <c r="M75" t="s">
        <v>83</v>
      </c>
      <c r="O75" s="85"/>
    </row>
    <row r="76" spans="1:15" hidden="1" x14ac:dyDescent="0.35">
      <c r="A76" s="79">
        <v>2000122000</v>
      </c>
      <c r="B76" t="s">
        <v>109</v>
      </c>
      <c r="C76" s="80">
        <v>600013</v>
      </c>
      <c r="D76" t="s">
        <v>88</v>
      </c>
      <c r="E76" s="81">
        <v>1</v>
      </c>
      <c r="F76" t="s">
        <v>21</v>
      </c>
      <c r="G76" s="55">
        <v>8618.51</v>
      </c>
      <c r="H76" s="82">
        <v>8618.51</v>
      </c>
      <c r="I76" s="83" t="str">
        <f>VLOOKUP(E76,[1]Mapping!$A$3:$B$14,2,FALSE)</f>
        <v>Jul</v>
      </c>
      <c r="J76" s="84">
        <f t="shared" si="2"/>
        <v>2000122000</v>
      </c>
      <c r="K76" s="84">
        <f t="shared" si="3"/>
        <v>600013</v>
      </c>
      <c r="L76" s="61" t="str">
        <f>VLOOKUP(K76,[1]Mapping!$J$3:$Q$351,8,FALSE)</f>
        <v>Fringe Benefits</v>
      </c>
      <c r="M76" t="s">
        <v>83</v>
      </c>
      <c r="O76" s="85"/>
    </row>
    <row r="77" spans="1:15" hidden="1" x14ac:dyDescent="0.35">
      <c r="A77" s="79">
        <v>2000122000</v>
      </c>
      <c r="B77" t="s">
        <v>109</v>
      </c>
      <c r="C77" s="80">
        <v>600018</v>
      </c>
      <c r="D77" t="s">
        <v>89</v>
      </c>
      <c r="E77" s="81">
        <v>1</v>
      </c>
      <c r="F77" t="s">
        <v>21</v>
      </c>
      <c r="G77" s="55">
        <v>9124.2999999999993</v>
      </c>
      <c r="H77" s="82">
        <v>9124.2999999999993</v>
      </c>
      <c r="I77" s="83" t="str">
        <f>VLOOKUP(E77,[1]Mapping!$A$3:$B$14,2,FALSE)</f>
        <v>Jul</v>
      </c>
      <c r="J77" s="84">
        <f t="shared" si="2"/>
        <v>2000122000</v>
      </c>
      <c r="K77" s="84">
        <f t="shared" si="3"/>
        <v>600018</v>
      </c>
      <c r="L77" s="61" t="str">
        <f>VLOOKUP(K77,[1]Mapping!$J$3:$Q$351,8,FALSE)</f>
        <v>Fringe Benefits</v>
      </c>
      <c r="M77" t="s">
        <v>83</v>
      </c>
      <c r="O77" s="85"/>
    </row>
    <row r="78" spans="1:15" hidden="1" x14ac:dyDescent="0.35">
      <c r="A78" s="79">
        <v>2000122000</v>
      </c>
      <c r="B78" t="s">
        <v>109</v>
      </c>
      <c r="C78" s="80">
        <v>600022</v>
      </c>
      <c r="D78" t="s">
        <v>90</v>
      </c>
      <c r="E78" s="81">
        <v>1</v>
      </c>
      <c r="F78" t="s">
        <v>21</v>
      </c>
      <c r="G78" s="55">
        <v>345.05</v>
      </c>
      <c r="H78" s="82">
        <v>345.05</v>
      </c>
      <c r="I78" s="83" t="str">
        <f>VLOOKUP(E78,[1]Mapping!$A$3:$B$14,2,FALSE)</f>
        <v>Jul</v>
      </c>
      <c r="J78" s="84">
        <f t="shared" si="2"/>
        <v>2000122000</v>
      </c>
      <c r="K78" s="84">
        <f t="shared" si="3"/>
        <v>600022</v>
      </c>
      <c r="L78" s="61" t="str">
        <f>VLOOKUP(K78,[1]Mapping!$J$3:$Q$351,8,FALSE)</f>
        <v>Fringe Benefits</v>
      </c>
      <c r="M78" t="s">
        <v>83</v>
      </c>
      <c r="O78" s="85"/>
    </row>
    <row r="79" spans="1:15" hidden="1" x14ac:dyDescent="0.35">
      <c r="A79" s="79">
        <v>2000122000</v>
      </c>
      <c r="B79" t="s">
        <v>109</v>
      </c>
      <c r="C79" s="80">
        <v>600024</v>
      </c>
      <c r="D79" t="s">
        <v>114</v>
      </c>
      <c r="E79" s="81">
        <v>1</v>
      </c>
      <c r="F79" t="s">
        <v>21</v>
      </c>
      <c r="G79" s="55">
        <v>194.60000000000002</v>
      </c>
      <c r="H79" s="82">
        <v>194.60000000000002</v>
      </c>
      <c r="I79" s="83" t="str">
        <f>VLOOKUP(E79,[1]Mapping!$A$3:$B$14,2,FALSE)</f>
        <v>Jul</v>
      </c>
      <c r="J79" s="84">
        <f t="shared" si="2"/>
        <v>2000122000</v>
      </c>
      <c r="K79" s="84">
        <f t="shared" si="3"/>
        <v>600024</v>
      </c>
      <c r="L79" s="61" t="str">
        <f>VLOOKUP(K79,[1]Mapping!$J$3:$Q$351,8,FALSE)</f>
        <v>Fringe Benefits</v>
      </c>
      <c r="M79" t="s">
        <v>83</v>
      </c>
      <c r="O79" s="85"/>
    </row>
    <row r="80" spans="1:15" hidden="1" x14ac:dyDescent="0.35">
      <c r="A80" s="79">
        <v>2000122000</v>
      </c>
      <c r="B80" t="s">
        <v>109</v>
      </c>
      <c r="C80" s="80">
        <v>600020</v>
      </c>
      <c r="D80" t="s">
        <v>91</v>
      </c>
      <c r="E80" s="81">
        <v>1</v>
      </c>
      <c r="F80" t="s">
        <v>21</v>
      </c>
      <c r="G80" s="55">
        <v>25224.58</v>
      </c>
      <c r="H80" s="82">
        <v>25224.58</v>
      </c>
      <c r="I80" s="83" t="str">
        <f>VLOOKUP(E80,[1]Mapping!$A$3:$B$14,2,FALSE)</f>
        <v>Jul</v>
      </c>
      <c r="J80" s="84">
        <f t="shared" si="2"/>
        <v>2000122000</v>
      </c>
      <c r="K80" s="84">
        <f t="shared" si="3"/>
        <v>600020</v>
      </c>
      <c r="L80" s="61" t="str">
        <f>VLOOKUP(K80,[1]Mapping!$J$3:$Q$351,8,FALSE)</f>
        <v>Fringe Benefits</v>
      </c>
      <c r="M80" t="s">
        <v>83</v>
      </c>
      <c r="O80" s="85"/>
    </row>
    <row r="81" spans="1:15" hidden="1" x14ac:dyDescent="0.35">
      <c r="A81" s="79">
        <v>2000122000</v>
      </c>
      <c r="B81" t="s">
        <v>109</v>
      </c>
      <c r="C81" s="80">
        <v>600055</v>
      </c>
      <c r="D81" t="s">
        <v>92</v>
      </c>
      <c r="E81" s="81">
        <v>1</v>
      </c>
      <c r="F81" t="s">
        <v>21</v>
      </c>
      <c r="G81" s="55">
        <v>2017.97</v>
      </c>
      <c r="H81" s="82">
        <v>2017.97</v>
      </c>
      <c r="I81" s="83" t="str">
        <f>VLOOKUP(E81,[1]Mapping!$A$3:$B$14,2,FALSE)</f>
        <v>Jul</v>
      </c>
      <c r="J81" s="84">
        <f t="shared" si="2"/>
        <v>2000122000</v>
      </c>
      <c r="K81" s="84">
        <f t="shared" si="3"/>
        <v>600055</v>
      </c>
      <c r="L81" s="61" t="str">
        <f>VLOOKUP(K81,[1]Mapping!$J$3:$Q$351,8,FALSE)</f>
        <v>Fringe Benefits</v>
      </c>
      <c r="M81" t="s">
        <v>83</v>
      </c>
      <c r="O81" s="85"/>
    </row>
    <row r="82" spans="1:15" hidden="1" x14ac:dyDescent="0.35">
      <c r="A82" s="79">
        <v>2000122000</v>
      </c>
      <c r="B82" t="s">
        <v>109</v>
      </c>
      <c r="C82" s="80">
        <v>607036</v>
      </c>
      <c r="D82" t="s">
        <v>45</v>
      </c>
      <c r="E82" s="81">
        <v>1</v>
      </c>
      <c r="F82" t="s">
        <v>27</v>
      </c>
      <c r="G82" s="55">
        <v>12067.5</v>
      </c>
      <c r="H82" s="82">
        <v>12067.5</v>
      </c>
      <c r="I82" s="83" t="str">
        <f>VLOOKUP(E82,[1]Mapping!$A$3:$B$14,2,FALSE)</f>
        <v>Jul</v>
      </c>
      <c r="J82" s="84">
        <f t="shared" si="2"/>
        <v>2000122000</v>
      </c>
      <c r="K82" s="84">
        <f t="shared" si="3"/>
        <v>607036</v>
      </c>
      <c r="L82" s="61" t="str">
        <f>VLOOKUP(K82,[1]Mapping!$J$3:$Q$351,8,FALSE)</f>
        <v>Outside Services</v>
      </c>
      <c r="M82" t="s">
        <v>83</v>
      </c>
      <c r="O82" s="85"/>
    </row>
    <row r="83" spans="1:15" hidden="1" x14ac:dyDescent="0.35">
      <c r="A83" s="79">
        <v>2000122000</v>
      </c>
      <c r="B83" t="s">
        <v>109</v>
      </c>
      <c r="C83" s="80">
        <v>600017</v>
      </c>
      <c r="D83" t="s">
        <v>95</v>
      </c>
      <c r="E83" s="81">
        <v>1</v>
      </c>
      <c r="F83" t="s">
        <v>21</v>
      </c>
      <c r="G83" s="55">
        <v>150.07999999999998</v>
      </c>
      <c r="H83" s="82">
        <v>150.07999999999998</v>
      </c>
      <c r="I83" s="83" t="str">
        <f>VLOOKUP(E83,[1]Mapping!$A$3:$B$14,2,FALSE)</f>
        <v>Jul</v>
      </c>
      <c r="J83" s="84">
        <f t="shared" si="2"/>
        <v>2000122000</v>
      </c>
      <c r="K83" s="84">
        <f t="shared" si="3"/>
        <v>600017</v>
      </c>
      <c r="L83" s="61" t="str">
        <f>VLOOKUP(K83,[1]Mapping!$J$3:$Q$351,8,FALSE)</f>
        <v>Fringe Benefits</v>
      </c>
      <c r="M83" t="s">
        <v>83</v>
      </c>
    </row>
    <row r="84" spans="1:15" hidden="1" x14ac:dyDescent="0.35">
      <c r="A84" s="79">
        <v>2000122000</v>
      </c>
      <c r="B84" t="s">
        <v>109</v>
      </c>
      <c r="C84" s="80">
        <v>600026</v>
      </c>
      <c r="D84" t="s">
        <v>93</v>
      </c>
      <c r="E84" s="81">
        <v>1</v>
      </c>
      <c r="F84" t="s">
        <v>21</v>
      </c>
      <c r="G84" s="55">
        <v>3240</v>
      </c>
      <c r="H84" s="82">
        <v>3240</v>
      </c>
      <c r="I84" s="83" t="str">
        <f>VLOOKUP(E84,[1]Mapping!$A$3:$B$14,2,FALSE)</f>
        <v>Jul</v>
      </c>
      <c r="J84" s="84">
        <f t="shared" si="2"/>
        <v>2000122000</v>
      </c>
      <c r="K84" s="84">
        <f t="shared" si="3"/>
        <v>600026</v>
      </c>
      <c r="L84" s="61" t="str">
        <f>VLOOKUP(K84,[1]Mapping!$J$3:$Q$351,8,FALSE)</f>
        <v>Fringe Benefits</v>
      </c>
      <c r="M84" t="s">
        <v>83</v>
      </c>
    </row>
    <row r="85" spans="1:15" hidden="1" x14ac:dyDescent="0.35">
      <c r="A85" s="79">
        <v>2000122000</v>
      </c>
      <c r="B85" t="s">
        <v>109</v>
      </c>
      <c r="C85" s="80">
        <v>600028</v>
      </c>
      <c r="D85" t="s">
        <v>115</v>
      </c>
      <c r="E85" s="81">
        <v>1</v>
      </c>
      <c r="F85" t="s">
        <v>23</v>
      </c>
      <c r="G85" s="55">
        <v>252</v>
      </c>
      <c r="H85" s="82">
        <v>252</v>
      </c>
      <c r="I85" s="83" t="str">
        <f>VLOOKUP(E85,[1]Mapping!$A$3:$B$14,2,FALSE)</f>
        <v>Jul</v>
      </c>
      <c r="J85" s="84">
        <f t="shared" si="2"/>
        <v>2000122000</v>
      </c>
      <c r="K85" s="84">
        <f t="shared" si="3"/>
        <v>600028</v>
      </c>
      <c r="L85" s="61" t="str">
        <f>VLOOKUP(K85,[1]Mapping!$J$3:$Q$351,8,FALSE)</f>
        <v>Travel &amp; Entertainment</v>
      </c>
      <c r="M85" t="s">
        <v>83</v>
      </c>
    </row>
    <row r="86" spans="1:15" hidden="1" x14ac:dyDescent="0.35">
      <c r="A86" s="79">
        <v>2000122000</v>
      </c>
      <c r="B86" t="s">
        <v>109</v>
      </c>
      <c r="C86" s="80">
        <v>607063</v>
      </c>
      <c r="D86" t="s">
        <v>106</v>
      </c>
      <c r="E86" s="81">
        <v>1</v>
      </c>
      <c r="F86" t="s">
        <v>24</v>
      </c>
      <c r="G86" s="55">
        <v>89.64</v>
      </c>
      <c r="H86" s="82">
        <v>89.64</v>
      </c>
      <c r="I86" s="83" t="str">
        <f>VLOOKUP(E86,[1]Mapping!$A$3:$B$14,2,FALSE)</f>
        <v>Jul</v>
      </c>
      <c r="J86" s="84">
        <f t="shared" si="2"/>
        <v>2000122000</v>
      </c>
      <c r="K86" s="84">
        <f t="shared" si="3"/>
        <v>607063</v>
      </c>
      <c r="L86" s="61" t="str">
        <f>VLOOKUP(K86,[1]Mapping!$J$3:$Q$351,8,FALSE)</f>
        <v>Other</v>
      </c>
      <c r="M86" t="s">
        <v>83</v>
      </c>
    </row>
    <row r="87" spans="1:15" hidden="1" x14ac:dyDescent="0.35">
      <c r="A87" s="79">
        <v>2000122000</v>
      </c>
      <c r="B87" t="s">
        <v>109</v>
      </c>
      <c r="C87" s="80">
        <v>607059</v>
      </c>
      <c r="D87" t="s">
        <v>116</v>
      </c>
      <c r="E87" s="81">
        <v>1</v>
      </c>
      <c r="F87" t="s">
        <v>117</v>
      </c>
      <c r="G87" s="55">
        <v>599</v>
      </c>
      <c r="H87" s="82">
        <v>599</v>
      </c>
      <c r="I87" s="83" t="str">
        <f>VLOOKUP(E87,[1]Mapping!$A$3:$B$14,2,FALSE)</f>
        <v>Jul</v>
      </c>
      <c r="J87" s="84">
        <f t="shared" si="2"/>
        <v>2000122000</v>
      </c>
      <c r="K87" s="84">
        <f t="shared" si="3"/>
        <v>607059</v>
      </c>
      <c r="L87" s="61" t="e">
        <f>VLOOKUP(K87,[1]Mapping!$J$3:$Q$351,8,FALSE)</f>
        <v>#N/A</v>
      </c>
      <c r="M87" t="s">
        <v>83</v>
      </c>
    </row>
    <row r="88" spans="1:15" hidden="1" x14ac:dyDescent="0.35">
      <c r="A88" s="79">
        <v>2000122000</v>
      </c>
      <c r="B88" t="s">
        <v>109</v>
      </c>
      <c r="C88" s="80">
        <v>600002</v>
      </c>
      <c r="D88" t="s">
        <v>97</v>
      </c>
      <c r="E88" s="81">
        <v>1</v>
      </c>
      <c r="F88" t="s">
        <v>21</v>
      </c>
      <c r="G88" s="55">
        <v>2159.86</v>
      </c>
      <c r="H88" s="82">
        <v>2159.86</v>
      </c>
      <c r="I88" s="83" t="str">
        <f>VLOOKUP(E88,[1]Mapping!$A$3:$B$14,2,FALSE)</f>
        <v>Jul</v>
      </c>
      <c r="J88" s="84">
        <f t="shared" si="2"/>
        <v>2000122000</v>
      </c>
      <c r="K88" s="84">
        <f t="shared" si="3"/>
        <v>600002</v>
      </c>
      <c r="L88" s="61" t="str">
        <f>VLOOKUP(K88,[1]Mapping!$J$3:$Q$351,8,FALSE)</f>
        <v>Fringe Benefits</v>
      </c>
      <c r="M88" t="s">
        <v>83</v>
      </c>
    </row>
    <row r="89" spans="1:15" hidden="1" x14ac:dyDescent="0.35">
      <c r="A89" s="79">
        <v>2000122000</v>
      </c>
      <c r="B89" t="s">
        <v>109</v>
      </c>
      <c r="C89" s="80">
        <v>600035</v>
      </c>
      <c r="D89" t="s">
        <v>118</v>
      </c>
      <c r="E89" s="81">
        <v>1</v>
      </c>
      <c r="F89" t="s">
        <v>29</v>
      </c>
      <c r="G89" s="55">
        <v>149</v>
      </c>
      <c r="H89" s="82">
        <v>149</v>
      </c>
      <c r="I89" s="83" t="str">
        <f>VLOOKUP(E89,[1]Mapping!$A$3:$B$14,2,FALSE)</f>
        <v>Jul</v>
      </c>
      <c r="J89" s="84">
        <f t="shared" si="2"/>
        <v>2000122000</v>
      </c>
      <c r="K89" s="84">
        <f t="shared" si="3"/>
        <v>600035</v>
      </c>
      <c r="L89" s="61" t="str">
        <f>VLOOKUP(K89,[1]Mapping!$J$3:$Q$351,8,FALSE)</f>
        <v>Other</v>
      </c>
      <c r="M89" t="s">
        <v>83</v>
      </c>
    </row>
    <row r="90" spans="1:15" hidden="1" x14ac:dyDescent="0.35">
      <c r="A90" s="79">
        <v>2000134001</v>
      </c>
      <c r="B90" t="s">
        <v>119</v>
      </c>
      <c r="C90" s="80">
        <v>607036</v>
      </c>
      <c r="D90" t="s">
        <v>45</v>
      </c>
      <c r="E90" s="81">
        <v>1</v>
      </c>
      <c r="F90" t="s">
        <v>27</v>
      </c>
      <c r="G90" s="55">
        <v>20000</v>
      </c>
      <c r="H90" s="82">
        <v>20000</v>
      </c>
      <c r="I90" s="83" t="str">
        <f>VLOOKUP(E90,[1]Mapping!$A$3:$B$14,2,FALSE)</f>
        <v>Jul</v>
      </c>
      <c r="J90" s="84">
        <f t="shared" si="2"/>
        <v>2000134001</v>
      </c>
      <c r="K90" s="84">
        <f t="shared" si="3"/>
        <v>607036</v>
      </c>
      <c r="L90" s="61" t="str">
        <f>VLOOKUP(K90,[1]Mapping!$J$3:$Q$351,8,FALSE)</f>
        <v>Outside Services</v>
      </c>
      <c r="M90" t="s">
        <v>83</v>
      </c>
    </row>
    <row r="91" spans="1:15" hidden="1" x14ac:dyDescent="0.35">
      <c r="A91" s="79">
        <v>1000110074</v>
      </c>
      <c r="B91" t="s">
        <v>120</v>
      </c>
      <c r="C91" s="80">
        <v>501050</v>
      </c>
      <c r="D91" t="s">
        <v>39</v>
      </c>
      <c r="E91" s="81">
        <v>1</v>
      </c>
      <c r="F91" t="s">
        <v>19</v>
      </c>
      <c r="G91" s="55">
        <v>83390.559999999998</v>
      </c>
      <c r="H91" s="82">
        <v>83390.559999999998</v>
      </c>
      <c r="I91" s="83" t="str">
        <f>VLOOKUP(E91,[1]Mapping!$A$3:$B$14,2,FALSE)</f>
        <v>Jul</v>
      </c>
      <c r="J91" s="84">
        <f t="shared" si="2"/>
        <v>1000110074</v>
      </c>
      <c r="K91" s="84">
        <f t="shared" si="3"/>
        <v>501050</v>
      </c>
      <c r="L91" s="61" t="str">
        <f>VLOOKUP(K91,[1]Mapping!$J$3:$Q$351,8,FALSE)</f>
        <v>Wages &amp; Salaries</v>
      </c>
      <c r="M91" t="s">
        <v>83</v>
      </c>
    </row>
    <row r="92" spans="1:15" hidden="1" x14ac:dyDescent="0.35">
      <c r="A92" s="79">
        <v>1000110074</v>
      </c>
      <c r="B92" t="s">
        <v>120</v>
      </c>
      <c r="C92" s="80">
        <v>501051</v>
      </c>
      <c r="D92" t="s">
        <v>121</v>
      </c>
      <c r="E92" s="81">
        <v>1</v>
      </c>
      <c r="F92" t="s">
        <v>19</v>
      </c>
      <c r="G92" s="55">
        <v>5340.1099999999988</v>
      </c>
      <c r="H92" s="82">
        <v>5340.1099999999988</v>
      </c>
      <c r="I92" s="83" t="str">
        <f>VLOOKUP(E92,[1]Mapping!$A$3:$B$14,2,FALSE)</f>
        <v>Jul</v>
      </c>
      <c r="J92" s="84">
        <f t="shared" si="2"/>
        <v>1000110074</v>
      </c>
      <c r="K92" s="84">
        <f t="shared" si="3"/>
        <v>501051</v>
      </c>
      <c r="L92" s="61" t="str">
        <f>VLOOKUP(K92,[1]Mapping!$J$3:$Q$351,8,FALSE)</f>
        <v>Wages &amp; Salaries</v>
      </c>
      <c r="M92" t="s">
        <v>83</v>
      </c>
    </row>
    <row r="93" spans="1:15" hidden="1" x14ac:dyDescent="0.35">
      <c r="A93" s="79">
        <v>1000110074</v>
      </c>
      <c r="B93" t="s">
        <v>120</v>
      </c>
      <c r="C93" s="80">
        <v>501058</v>
      </c>
      <c r="D93" t="s">
        <v>122</v>
      </c>
      <c r="E93" s="81">
        <v>1</v>
      </c>
      <c r="F93" t="s">
        <v>21</v>
      </c>
      <c r="G93" s="55">
        <v>7439.65</v>
      </c>
      <c r="H93" s="82">
        <v>7439.65</v>
      </c>
      <c r="I93" s="83" t="str">
        <f>VLOOKUP(E93,[1]Mapping!$A$3:$B$14,2,FALSE)</f>
        <v>Jul</v>
      </c>
      <c r="J93" s="84">
        <f t="shared" si="2"/>
        <v>1000110074</v>
      </c>
      <c r="K93" s="84">
        <f t="shared" si="3"/>
        <v>501058</v>
      </c>
      <c r="L93" s="61" t="str">
        <f>VLOOKUP(K93,[1]Mapping!$J$3:$Q$351,8,FALSE)</f>
        <v>Fringe Benefits</v>
      </c>
      <c r="M93" t="s">
        <v>83</v>
      </c>
    </row>
    <row r="94" spans="1:15" hidden="1" x14ac:dyDescent="0.35">
      <c r="A94" s="79">
        <v>1000110074</v>
      </c>
      <c r="B94" t="s">
        <v>120</v>
      </c>
      <c r="C94" s="80">
        <v>501062</v>
      </c>
      <c r="D94" t="s">
        <v>41</v>
      </c>
      <c r="E94" s="81">
        <v>1</v>
      </c>
      <c r="F94" t="s">
        <v>21</v>
      </c>
      <c r="G94" s="55">
        <v>173.49</v>
      </c>
      <c r="H94" s="82">
        <v>173.49</v>
      </c>
      <c r="I94" s="83" t="str">
        <f>VLOOKUP(E94,[1]Mapping!$A$3:$B$14,2,FALSE)</f>
        <v>Jul</v>
      </c>
      <c r="J94" s="84">
        <f t="shared" si="2"/>
        <v>1000110074</v>
      </c>
      <c r="K94" s="84">
        <f t="shared" si="3"/>
        <v>501062</v>
      </c>
      <c r="L94" s="61" t="str">
        <f>VLOOKUP(K94,[1]Mapping!$J$3:$Q$351,8,FALSE)</f>
        <v>Fringe Benefits</v>
      </c>
      <c r="M94" t="s">
        <v>83</v>
      </c>
    </row>
    <row r="95" spans="1:15" hidden="1" x14ac:dyDescent="0.35">
      <c r="A95" s="79">
        <v>1000110074</v>
      </c>
      <c r="B95" t="s">
        <v>120</v>
      </c>
      <c r="C95" s="80">
        <v>501063</v>
      </c>
      <c r="D95" t="s">
        <v>123</v>
      </c>
      <c r="E95" s="81">
        <v>1</v>
      </c>
      <c r="F95" t="s">
        <v>21</v>
      </c>
      <c r="G95" s="55">
        <v>9053.19</v>
      </c>
      <c r="H95" s="82">
        <v>9053.19</v>
      </c>
      <c r="I95" s="83" t="str">
        <f>VLOOKUP(E95,[1]Mapping!$A$3:$B$14,2,FALSE)</f>
        <v>Jul</v>
      </c>
      <c r="J95" s="84">
        <f t="shared" si="2"/>
        <v>1000110074</v>
      </c>
      <c r="K95" s="84">
        <f t="shared" si="3"/>
        <v>501063</v>
      </c>
      <c r="L95" s="61" t="str">
        <f>VLOOKUP(K95,[1]Mapping!$J$3:$Q$351,8,FALSE)</f>
        <v>Fringe Benefits</v>
      </c>
      <c r="M95" t="s">
        <v>83</v>
      </c>
    </row>
    <row r="96" spans="1:15" hidden="1" x14ac:dyDescent="0.35">
      <c r="A96" s="79">
        <v>1000110074</v>
      </c>
      <c r="B96" t="s">
        <v>120</v>
      </c>
      <c r="C96" s="80">
        <v>501065</v>
      </c>
      <c r="D96" t="s">
        <v>124</v>
      </c>
      <c r="E96" s="81">
        <v>1</v>
      </c>
      <c r="F96" t="s">
        <v>21</v>
      </c>
      <c r="G96" s="55">
        <v>228.95000000000005</v>
      </c>
      <c r="H96" s="82">
        <v>228.95000000000005</v>
      </c>
      <c r="I96" s="83" t="str">
        <f>VLOOKUP(E96,[1]Mapping!$A$3:$B$14,2,FALSE)</f>
        <v>Jul</v>
      </c>
      <c r="J96" s="84">
        <f t="shared" si="2"/>
        <v>1000110074</v>
      </c>
      <c r="K96" s="84">
        <f t="shared" si="3"/>
        <v>501065</v>
      </c>
      <c r="L96" s="61" t="str">
        <f>VLOOKUP(K96,[1]Mapping!$J$3:$Q$351,8,FALSE)</f>
        <v>Fringe Benefits</v>
      </c>
      <c r="M96" t="s">
        <v>83</v>
      </c>
    </row>
    <row r="97" spans="1:13" hidden="1" x14ac:dyDescent="0.35">
      <c r="A97" s="79">
        <v>1000110074</v>
      </c>
      <c r="B97" t="s">
        <v>120</v>
      </c>
      <c r="C97" s="80">
        <v>501069</v>
      </c>
      <c r="D97" t="s">
        <v>125</v>
      </c>
      <c r="E97" s="81">
        <v>1</v>
      </c>
      <c r="F97" t="s">
        <v>21</v>
      </c>
      <c r="G97" s="55">
        <v>4656</v>
      </c>
      <c r="H97" s="82">
        <v>4656</v>
      </c>
      <c r="I97" s="83" t="str">
        <f>VLOOKUP(E97,[1]Mapping!$A$3:$B$14,2,FALSE)</f>
        <v>Jul</v>
      </c>
      <c r="J97" s="84">
        <f t="shared" si="2"/>
        <v>1000110074</v>
      </c>
      <c r="K97" s="84">
        <f t="shared" si="3"/>
        <v>501069</v>
      </c>
      <c r="L97" s="61" t="str">
        <f>VLOOKUP(K97,[1]Mapping!$J$3:$Q$351,8,FALSE)</f>
        <v>Fringe Benefits</v>
      </c>
      <c r="M97" t="s">
        <v>83</v>
      </c>
    </row>
    <row r="98" spans="1:13" hidden="1" x14ac:dyDescent="0.35">
      <c r="A98" s="79">
        <v>1000110074</v>
      </c>
      <c r="B98" t="s">
        <v>120</v>
      </c>
      <c r="C98" s="80">
        <v>607082</v>
      </c>
      <c r="D98" t="s">
        <v>126</v>
      </c>
      <c r="E98" s="81">
        <v>1</v>
      </c>
      <c r="F98" t="s">
        <v>24</v>
      </c>
      <c r="G98" s="55">
        <v>4850.3999999999996</v>
      </c>
      <c r="H98" s="82">
        <v>4850.3999999999996</v>
      </c>
      <c r="I98" s="83" t="str">
        <f>VLOOKUP(E98,[1]Mapping!$A$3:$B$14,2,FALSE)</f>
        <v>Jul</v>
      </c>
      <c r="J98" s="84">
        <f t="shared" si="2"/>
        <v>1000110074</v>
      </c>
      <c r="K98" s="84">
        <f t="shared" si="3"/>
        <v>607082</v>
      </c>
      <c r="L98" s="61" t="str">
        <f>VLOOKUP(K98,[1]Mapping!$J$3:$Q$351,8,FALSE)</f>
        <v>Supplies Expenses</v>
      </c>
      <c r="M98" t="s">
        <v>83</v>
      </c>
    </row>
    <row r="99" spans="1:13" hidden="1" x14ac:dyDescent="0.35">
      <c r="A99" s="79">
        <v>1000110074</v>
      </c>
      <c r="B99" t="s">
        <v>120</v>
      </c>
      <c r="C99" s="80">
        <v>600044</v>
      </c>
      <c r="D99" t="s">
        <v>111</v>
      </c>
      <c r="E99" s="81">
        <v>1</v>
      </c>
      <c r="F99" t="s">
        <v>23</v>
      </c>
      <c r="G99" s="55">
        <v>139.04</v>
      </c>
      <c r="H99" s="82">
        <v>139.04</v>
      </c>
      <c r="I99" s="83" t="str">
        <f>VLOOKUP(E99,[1]Mapping!$A$3:$B$14,2,FALSE)</f>
        <v>Jul</v>
      </c>
      <c r="J99" s="84">
        <f t="shared" si="2"/>
        <v>1000110074</v>
      </c>
      <c r="K99" s="84">
        <f t="shared" si="3"/>
        <v>600044</v>
      </c>
      <c r="L99" s="61" t="str">
        <f>VLOOKUP(K99,[1]Mapping!$J$3:$Q$351,8,FALSE)</f>
        <v>Travel &amp; Entertainment</v>
      </c>
      <c r="M99" t="s">
        <v>83</v>
      </c>
    </row>
    <row r="100" spans="1:13" hidden="1" x14ac:dyDescent="0.35">
      <c r="A100" s="79">
        <v>1000110074</v>
      </c>
      <c r="B100" t="s">
        <v>120</v>
      </c>
      <c r="C100" s="80">
        <v>501053</v>
      </c>
      <c r="D100" t="s">
        <v>40</v>
      </c>
      <c r="E100" s="81">
        <v>1</v>
      </c>
      <c r="F100" t="s">
        <v>20</v>
      </c>
      <c r="G100" s="55">
        <v>7023.33</v>
      </c>
      <c r="H100" s="82">
        <v>7023.33</v>
      </c>
      <c r="I100" s="83" t="str">
        <f>VLOOKUP(E100,[1]Mapping!$A$3:$B$14,2,FALSE)</f>
        <v>Jul</v>
      </c>
      <c r="J100" s="84">
        <f t="shared" si="2"/>
        <v>1000110074</v>
      </c>
      <c r="K100" s="84">
        <f t="shared" si="3"/>
        <v>501053</v>
      </c>
      <c r="L100" s="61" t="str">
        <f>VLOOKUP(K100,[1]Mapping!$J$3:$Q$351,8,FALSE)</f>
        <v>Overtime</v>
      </c>
      <c r="M100" t="s">
        <v>83</v>
      </c>
    </row>
    <row r="101" spans="1:13" hidden="1" x14ac:dyDescent="0.35">
      <c r="A101" s="79">
        <v>1000110074</v>
      </c>
      <c r="B101" t="s">
        <v>120</v>
      </c>
      <c r="C101" s="80">
        <v>600045</v>
      </c>
      <c r="D101" t="s">
        <v>127</v>
      </c>
      <c r="E101" s="81">
        <v>1</v>
      </c>
      <c r="F101" t="s">
        <v>23</v>
      </c>
      <c r="G101" s="55">
        <v>149.6</v>
      </c>
      <c r="H101" s="82">
        <v>149.6</v>
      </c>
      <c r="I101" s="83" t="str">
        <f>VLOOKUP(E101,[1]Mapping!$A$3:$B$14,2,FALSE)</f>
        <v>Jul</v>
      </c>
      <c r="J101" s="84">
        <f t="shared" si="2"/>
        <v>1000110074</v>
      </c>
      <c r="K101" s="84">
        <f t="shared" si="3"/>
        <v>600045</v>
      </c>
      <c r="L101" s="61" t="str">
        <f>VLOOKUP(K101,[1]Mapping!$J$3:$Q$351,8,FALSE)</f>
        <v>Travel &amp; Entertainment</v>
      </c>
      <c r="M101" t="s">
        <v>83</v>
      </c>
    </row>
    <row r="102" spans="1:13" hidden="1" x14ac:dyDescent="0.35">
      <c r="A102" s="79">
        <v>1000110074</v>
      </c>
      <c r="B102" t="s">
        <v>120</v>
      </c>
      <c r="C102" s="80">
        <v>501072</v>
      </c>
      <c r="D102" t="s">
        <v>128</v>
      </c>
      <c r="E102" s="81">
        <v>1</v>
      </c>
      <c r="F102" t="s">
        <v>21</v>
      </c>
      <c r="G102" s="55">
        <v>5926.17</v>
      </c>
      <c r="H102" s="82">
        <v>5926.17</v>
      </c>
      <c r="I102" s="83" t="str">
        <f>VLOOKUP(E102,[1]Mapping!$A$3:$B$14,2,FALSE)</f>
        <v>Jul</v>
      </c>
      <c r="J102" s="84">
        <f t="shared" si="2"/>
        <v>1000110074</v>
      </c>
      <c r="K102" s="84">
        <f t="shared" si="3"/>
        <v>501072</v>
      </c>
      <c r="L102" s="61" t="str">
        <f>VLOOKUP(K102,[1]Mapping!$J$3:$Q$351,8,FALSE)</f>
        <v>Fringe Benefits</v>
      </c>
      <c r="M102" t="s">
        <v>83</v>
      </c>
    </row>
    <row r="103" spans="1:13" hidden="1" x14ac:dyDescent="0.35">
      <c r="A103" s="79">
        <v>1000110074</v>
      </c>
      <c r="B103" t="s">
        <v>120</v>
      </c>
      <c r="C103" s="80">
        <v>501073</v>
      </c>
      <c r="D103" t="s">
        <v>129</v>
      </c>
      <c r="E103" s="81">
        <v>1</v>
      </c>
      <c r="F103" t="s">
        <v>21</v>
      </c>
      <c r="G103" s="55">
        <v>474.09</v>
      </c>
      <c r="H103" s="82">
        <v>474.09</v>
      </c>
      <c r="I103" s="83" t="str">
        <f>VLOOKUP(E103,[1]Mapping!$A$3:$B$14,2,FALSE)</f>
        <v>Jul</v>
      </c>
      <c r="J103" s="84">
        <f t="shared" si="2"/>
        <v>1000110074</v>
      </c>
      <c r="K103" s="84">
        <f t="shared" si="3"/>
        <v>501073</v>
      </c>
      <c r="L103" s="61" t="str">
        <f>VLOOKUP(K103,[1]Mapping!$J$3:$Q$351,8,FALSE)</f>
        <v>Fringe Benefits</v>
      </c>
      <c r="M103" t="s">
        <v>83</v>
      </c>
    </row>
    <row r="104" spans="1:13" hidden="1" x14ac:dyDescent="0.35">
      <c r="A104" s="79">
        <v>1000110074</v>
      </c>
      <c r="B104" t="s">
        <v>120</v>
      </c>
      <c r="C104" s="80">
        <v>508004</v>
      </c>
      <c r="D104" t="s">
        <v>130</v>
      </c>
      <c r="E104" s="81">
        <v>1</v>
      </c>
      <c r="F104" t="s">
        <v>31</v>
      </c>
      <c r="G104" s="55">
        <v>698.31</v>
      </c>
      <c r="H104" s="82">
        <v>698.31</v>
      </c>
      <c r="I104" s="83" t="str">
        <f>VLOOKUP(E104,[1]Mapping!$A$3:$B$14,2,FALSE)</f>
        <v>Jul</v>
      </c>
      <c r="J104" s="84">
        <f t="shared" si="2"/>
        <v>1000110074</v>
      </c>
      <c r="K104" s="84">
        <f t="shared" si="3"/>
        <v>508004</v>
      </c>
      <c r="L104" s="61" t="str">
        <f>VLOOKUP(K104,[1]Mapping!$J$3:$Q$351,8,FALSE)</f>
        <v>Depreciation</v>
      </c>
      <c r="M104" t="s">
        <v>83</v>
      </c>
    </row>
    <row r="105" spans="1:13" hidden="1" x14ac:dyDescent="0.35">
      <c r="A105" s="79">
        <v>1000110074</v>
      </c>
      <c r="B105" t="s">
        <v>120</v>
      </c>
      <c r="C105" s="80">
        <v>501220</v>
      </c>
      <c r="D105" t="s">
        <v>131</v>
      </c>
      <c r="E105" s="81">
        <v>1</v>
      </c>
      <c r="F105" t="s">
        <v>24</v>
      </c>
      <c r="G105" s="55">
        <v>4229.91</v>
      </c>
      <c r="H105" s="82">
        <v>4229.91</v>
      </c>
      <c r="I105" s="83" t="str">
        <f>VLOOKUP(E105,[1]Mapping!$A$3:$B$14,2,FALSE)</f>
        <v>Jul</v>
      </c>
      <c r="J105" s="84">
        <f t="shared" si="2"/>
        <v>1000110074</v>
      </c>
      <c r="K105" s="84">
        <f t="shared" si="3"/>
        <v>501220</v>
      </c>
      <c r="L105" s="61" t="str">
        <f>VLOOKUP(K105,[1]Mapping!$J$3:$Q$351,8,FALSE)</f>
        <v>Supplies Expenses</v>
      </c>
      <c r="M105" t="s">
        <v>83</v>
      </c>
    </row>
    <row r="106" spans="1:13" hidden="1" x14ac:dyDescent="0.35">
      <c r="A106" s="79">
        <v>1000110074</v>
      </c>
      <c r="B106" t="s">
        <v>120</v>
      </c>
      <c r="C106" s="80">
        <v>501055</v>
      </c>
      <c r="D106" t="s">
        <v>132</v>
      </c>
      <c r="E106" s="81">
        <v>1</v>
      </c>
      <c r="F106" t="s">
        <v>19</v>
      </c>
      <c r="G106" s="55">
        <v>1366.88</v>
      </c>
      <c r="H106" s="82">
        <v>1366.88</v>
      </c>
      <c r="I106" s="83" t="str">
        <f>VLOOKUP(E106,[1]Mapping!$A$3:$B$14,2,FALSE)</f>
        <v>Jul</v>
      </c>
      <c r="J106" s="84">
        <f t="shared" si="2"/>
        <v>1000110074</v>
      </c>
      <c r="K106" s="84">
        <f t="shared" si="3"/>
        <v>501055</v>
      </c>
      <c r="L106" s="61" t="str">
        <f>VLOOKUP(K106,[1]Mapping!$J$3:$Q$351,8,FALSE)</f>
        <v>Wages &amp; Salaries</v>
      </c>
      <c r="M106" t="s">
        <v>83</v>
      </c>
    </row>
    <row r="107" spans="1:13" hidden="1" x14ac:dyDescent="0.35">
      <c r="A107" s="79">
        <v>1000110074</v>
      </c>
      <c r="B107" t="s">
        <v>120</v>
      </c>
      <c r="C107" s="80">
        <v>501654</v>
      </c>
      <c r="D107" t="s">
        <v>126</v>
      </c>
      <c r="E107" s="81">
        <v>1</v>
      </c>
      <c r="F107" t="s">
        <v>24</v>
      </c>
      <c r="G107" s="55">
        <v>-4850.3999999999996</v>
      </c>
      <c r="H107" s="82">
        <v>-4850.3999999999996</v>
      </c>
      <c r="I107" s="83" t="str">
        <f>VLOOKUP(E107,[1]Mapping!$A$3:$B$14,2,FALSE)</f>
        <v>Jul</v>
      </c>
      <c r="J107" s="84">
        <f t="shared" si="2"/>
        <v>1000110074</v>
      </c>
      <c r="K107" s="84">
        <f t="shared" si="3"/>
        <v>501654</v>
      </c>
      <c r="L107" s="61" t="str">
        <f>VLOOKUP(K107,[1]Mapping!$J$3:$Q$351,8,FALSE)</f>
        <v>Supplies Expenses</v>
      </c>
      <c r="M107" t="s">
        <v>83</v>
      </c>
    </row>
    <row r="108" spans="1:13" hidden="1" x14ac:dyDescent="0.35">
      <c r="A108" s="79">
        <v>1000110074</v>
      </c>
      <c r="B108" t="s">
        <v>120</v>
      </c>
      <c r="C108" s="80">
        <v>501810</v>
      </c>
      <c r="D108" t="s">
        <v>133</v>
      </c>
      <c r="E108" s="81">
        <v>1</v>
      </c>
      <c r="F108" t="s">
        <v>27</v>
      </c>
      <c r="G108" s="55">
        <v>7674</v>
      </c>
      <c r="H108" s="82">
        <v>7674</v>
      </c>
      <c r="I108" s="83" t="str">
        <f>VLOOKUP(E108,[1]Mapping!$A$3:$B$14,2,FALSE)</f>
        <v>Jul</v>
      </c>
      <c r="J108" s="84">
        <f t="shared" si="2"/>
        <v>1000110074</v>
      </c>
      <c r="K108" s="84">
        <f t="shared" si="3"/>
        <v>501810</v>
      </c>
      <c r="L108" s="61" t="str">
        <f>VLOOKUP(K108,[1]Mapping!$J$3:$Q$351,8,FALSE)</f>
        <v>Outside Services</v>
      </c>
      <c r="M108" t="s">
        <v>83</v>
      </c>
    </row>
    <row r="109" spans="1:13" hidden="1" x14ac:dyDescent="0.35">
      <c r="A109" s="79">
        <v>1000110074</v>
      </c>
      <c r="B109" t="s">
        <v>120</v>
      </c>
      <c r="C109" s="80">
        <v>501714</v>
      </c>
      <c r="D109" t="s">
        <v>134</v>
      </c>
      <c r="E109" s="81">
        <v>1</v>
      </c>
      <c r="F109" t="s">
        <v>24</v>
      </c>
      <c r="G109" s="55">
        <v>2497.7399999999998</v>
      </c>
      <c r="H109" s="82">
        <v>2497.7399999999998</v>
      </c>
      <c r="I109" s="83" t="str">
        <f>VLOOKUP(E109,[1]Mapping!$A$3:$B$14,2,FALSE)</f>
        <v>Jul</v>
      </c>
      <c r="J109" s="84">
        <f t="shared" si="2"/>
        <v>1000110074</v>
      </c>
      <c r="K109" s="84">
        <f t="shared" si="3"/>
        <v>501714</v>
      </c>
      <c r="L109" s="61" t="str">
        <f>VLOOKUP(K109,[1]Mapping!$J$3:$Q$351,8,FALSE)</f>
        <v>Supplies Expenses</v>
      </c>
      <c r="M109" t="s">
        <v>83</v>
      </c>
    </row>
    <row r="110" spans="1:13" hidden="1" x14ac:dyDescent="0.35">
      <c r="A110" s="79">
        <v>1000110074</v>
      </c>
      <c r="B110" t="s">
        <v>120</v>
      </c>
      <c r="C110" s="80">
        <v>501070</v>
      </c>
      <c r="D110" t="s">
        <v>135</v>
      </c>
      <c r="E110" s="81">
        <v>1</v>
      </c>
      <c r="F110" t="s">
        <v>21</v>
      </c>
      <c r="G110" s="55">
        <v>7920</v>
      </c>
      <c r="H110" s="82">
        <v>7920</v>
      </c>
      <c r="I110" s="83" t="str">
        <f>VLOOKUP(E110,[1]Mapping!$A$3:$B$14,2,FALSE)</f>
        <v>Jul</v>
      </c>
      <c r="J110" s="84">
        <f t="shared" si="2"/>
        <v>1000110074</v>
      </c>
      <c r="K110" s="84">
        <f t="shared" si="3"/>
        <v>501070</v>
      </c>
      <c r="L110" s="61" t="str">
        <f>VLOOKUP(K110,[1]Mapping!$J$3:$Q$351,8,FALSE)</f>
        <v>Fringe Benefits</v>
      </c>
      <c r="M110" t="s">
        <v>83</v>
      </c>
    </row>
    <row r="111" spans="1:13" hidden="1" x14ac:dyDescent="0.35">
      <c r="A111" s="79">
        <v>1000110074</v>
      </c>
      <c r="B111" t="s">
        <v>120</v>
      </c>
      <c r="C111" s="80">
        <v>501607</v>
      </c>
      <c r="D111" t="s">
        <v>136</v>
      </c>
      <c r="E111" s="81">
        <v>1</v>
      </c>
      <c r="F111" t="s">
        <v>24</v>
      </c>
      <c r="G111" s="55">
        <v>63.24</v>
      </c>
      <c r="H111" s="82">
        <v>63.24</v>
      </c>
      <c r="I111" s="83" t="str">
        <f>VLOOKUP(E111,[1]Mapping!$A$3:$B$14,2,FALSE)</f>
        <v>Jul</v>
      </c>
      <c r="J111" s="84">
        <f t="shared" si="2"/>
        <v>1000110074</v>
      </c>
      <c r="K111" s="84">
        <f t="shared" si="3"/>
        <v>501607</v>
      </c>
      <c r="L111" s="61" t="str">
        <f>VLOOKUP(K111,[1]Mapping!$J$3:$Q$351,8,FALSE)</f>
        <v>Supplies Expenses</v>
      </c>
      <c r="M111" t="s">
        <v>83</v>
      </c>
    </row>
    <row r="112" spans="1:13" hidden="1" x14ac:dyDescent="0.35">
      <c r="A112" s="79">
        <v>2000310102</v>
      </c>
      <c r="B112" t="s">
        <v>137</v>
      </c>
      <c r="C112" s="80">
        <v>501050</v>
      </c>
      <c r="D112" t="s">
        <v>39</v>
      </c>
      <c r="E112" s="81">
        <v>1</v>
      </c>
      <c r="F112" t="s">
        <v>19</v>
      </c>
      <c r="G112" s="55">
        <v>27881.35</v>
      </c>
      <c r="H112" s="82">
        <v>27881.35</v>
      </c>
      <c r="I112" s="83" t="str">
        <f>VLOOKUP(E112,[1]Mapping!$A$3:$B$14,2,FALSE)</f>
        <v>Jul</v>
      </c>
      <c r="J112" s="84">
        <f t="shared" si="2"/>
        <v>2000310102</v>
      </c>
      <c r="K112" s="84">
        <f t="shared" si="3"/>
        <v>501050</v>
      </c>
      <c r="L112" s="61" t="str">
        <f>VLOOKUP(K112,[1]Mapping!$J$3:$Q$351,8,FALSE)</f>
        <v>Wages &amp; Salaries</v>
      </c>
      <c r="M112" t="s">
        <v>83</v>
      </c>
    </row>
    <row r="113" spans="1:13" hidden="1" x14ac:dyDescent="0.35">
      <c r="A113" s="79">
        <v>2000310102</v>
      </c>
      <c r="B113" t="s">
        <v>137</v>
      </c>
      <c r="C113" s="80">
        <v>501051</v>
      </c>
      <c r="D113" t="s">
        <v>121</v>
      </c>
      <c r="E113" s="81">
        <v>1</v>
      </c>
      <c r="F113" t="s">
        <v>19</v>
      </c>
      <c r="G113" s="55">
        <v>2073.71</v>
      </c>
      <c r="H113" s="82">
        <v>2073.71</v>
      </c>
      <c r="I113" s="83" t="str">
        <f>VLOOKUP(E113,[1]Mapping!$A$3:$B$14,2,FALSE)</f>
        <v>Jul</v>
      </c>
      <c r="J113" s="84">
        <f t="shared" si="2"/>
        <v>2000310102</v>
      </c>
      <c r="K113" s="84">
        <f t="shared" si="3"/>
        <v>501051</v>
      </c>
      <c r="L113" s="61" t="str">
        <f>VLOOKUP(K113,[1]Mapping!$J$3:$Q$351,8,FALSE)</f>
        <v>Wages &amp; Salaries</v>
      </c>
      <c r="M113" t="s">
        <v>83</v>
      </c>
    </row>
    <row r="114" spans="1:13" hidden="1" x14ac:dyDescent="0.35">
      <c r="A114" s="79">
        <v>2000310102</v>
      </c>
      <c r="B114" t="s">
        <v>137</v>
      </c>
      <c r="C114" s="80">
        <v>501058</v>
      </c>
      <c r="D114" t="s">
        <v>122</v>
      </c>
      <c r="E114" s="81">
        <v>1</v>
      </c>
      <c r="F114" t="s">
        <v>21</v>
      </c>
      <c r="G114" s="55">
        <v>8084.81</v>
      </c>
      <c r="H114" s="82">
        <v>8084.81</v>
      </c>
      <c r="I114" s="83" t="str">
        <f>VLOOKUP(E114,[1]Mapping!$A$3:$B$14,2,FALSE)</f>
        <v>Jul</v>
      </c>
      <c r="J114" s="84">
        <f t="shared" si="2"/>
        <v>2000310102</v>
      </c>
      <c r="K114" s="84">
        <f t="shared" si="3"/>
        <v>501058</v>
      </c>
      <c r="L114" s="61" t="str">
        <f>VLOOKUP(K114,[1]Mapping!$J$3:$Q$351,8,FALSE)</f>
        <v>Fringe Benefits</v>
      </c>
      <c r="M114" t="s">
        <v>83</v>
      </c>
    </row>
    <row r="115" spans="1:13" hidden="1" x14ac:dyDescent="0.35">
      <c r="A115" s="79">
        <v>2000310102</v>
      </c>
      <c r="B115" t="s">
        <v>137</v>
      </c>
      <c r="C115" s="80">
        <v>501062</v>
      </c>
      <c r="D115" t="s">
        <v>41</v>
      </c>
      <c r="E115" s="81">
        <v>1</v>
      </c>
      <c r="F115" t="s">
        <v>21</v>
      </c>
      <c r="G115" s="55">
        <v>11253.68</v>
      </c>
      <c r="H115" s="82">
        <v>11253.68</v>
      </c>
      <c r="I115" s="83" t="str">
        <f>VLOOKUP(E115,[1]Mapping!$A$3:$B$14,2,FALSE)</f>
        <v>Jul</v>
      </c>
      <c r="J115" s="84">
        <f t="shared" si="2"/>
        <v>2000310102</v>
      </c>
      <c r="K115" s="84">
        <f t="shared" si="3"/>
        <v>501062</v>
      </c>
      <c r="L115" s="61" t="str">
        <f>VLOOKUP(K115,[1]Mapping!$J$3:$Q$351,8,FALSE)</f>
        <v>Fringe Benefits</v>
      </c>
      <c r="M115" t="s">
        <v>83</v>
      </c>
    </row>
    <row r="116" spans="1:13" hidden="1" x14ac:dyDescent="0.35">
      <c r="A116" s="79">
        <v>2000310102</v>
      </c>
      <c r="B116" t="s">
        <v>137</v>
      </c>
      <c r="C116" s="80">
        <v>501062</v>
      </c>
      <c r="D116" t="s">
        <v>41</v>
      </c>
      <c r="E116" s="81">
        <v>1</v>
      </c>
      <c r="F116" t="s">
        <v>21</v>
      </c>
      <c r="G116" s="55">
        <v>3330.9700000000003</v>
      </c>
      <c r="H116" s="82">
        <v>3330.9700000000003</v>
      </c>
      <c r="I116" s="83" t="str">
        <f>VLOOKUP(E116,[1]Mapping!$A$3:$B$14,2,FALSE)</f>
        <v>Jul</v>
      </c>
      <c r="J116" s="84">
        <f t="shared" si="2"/>
        <v>2000310102</v>
      </c>
      <c r="K116" s="84">
        <f t="shared" si="3"/>
        <v>501062</v>
      </c>
      <c r="L116" s="61" t="str">
        <f>VLOOKUP(K116,[1]Mapping!$J$3:$Q$351,8,FALSE)</f>
        <v>Fringe Benefits</v>
      </c>
      <c r="M116" t="s">
        <v>83</v>
      </c>
    </row>
    <row r="117" spans="1:13" hidden="1" x14ac:dyDescent="0.35">
      <c r="A117" s="79">
        <v>2000310102</v>
      </c>
      <c r="B117" t="s">
        <v>137</v>
      </c>
      <c r="C117" s="80">
        <v>501063</v>
      </c>
      <c r="D117" t="s">
        <v>123</v>
      </c>
      <c r="E117" s="81">
        <v>1</v>
      </c>
      <c r="F117" t="s">
        <v>21</v>
      </c>
      <c r="G117" s="55">
        <v>923.83</v>
      </c>
      <c r="H117" s="82">
        <v>923.83</v>
      </c>
      <c r="I117" s="83" t="str">
        <f>VLOOKUP(E117,[1]Mapping!$A$3:$B$14,2,FALSE)</f>
        <v>Jul</v>
      </c>
      <c r="J117" s="84">
        <f t="shared" si="2"/>
        <v>2000310102</v>
      </c>
      <c r="K117" s="84">
        <f t="shared" si="3"/>
        <v>501063</v>
      </c>
      <c r="L117" s="61" t="str">
        <f>VLOOKUP(K117,[1]Mapping!$J$3:$Q$351,8,FALSE)</f>
        <v>Fringe Benefits</v>
      </c>
      <c r="M117" t="s">
        <v>83</v>
      </c>
    </row>
    <row r="118" spans="1:13" hidden="1" x14ac:dyDescent="0.35">
      <c r="A118" s="79">
        <v>2000310102</v>
      </c>
      <c r="B118" t="s">
        <v>137</v>
      </c>
      <c r="C118" s="80">
        <v>501053</v>
      </c>
      <c r="D118" t="s">
        <v>40</v>
      </c>
      <c r="E118" s="81">
        <v>1</v>
      </c>
      <c r="F118" t="s">
        <v>20</v>
      </c>
      <c r="G118" s="55">
        <v>4780.28</v>
      </c>
      <c r="H118" s="82">
        <v>4780.28</v>
      </c>
      <c r="I118" s="83" t="str">
        <f>VLOOKUP(E118,[1]Mapping!$A$3:$B$14,2,FALSE)</f>
        <v>Jul</v>
      </c>
      <c r="J118" s="84">
        <f t="shared" si="2"/>
        <v>2000310102</v>
      </c>
      <c r="K118" s="84">
        <f t="shared" si="3"/>
        <v>501053</v>
      </c>
      <c r="L118" s="61" t="str">
        <f>VLOOKUP(K118,[1]Mapping!$J$3:$Q$351,8,FALSE)</f>
        <v>Overtime</v>
      </c>
      <c r="M118" t="s">
        <v>83</v>
      </c>
    </row>
    <row r="119" spans="1:13" hidden="1" x14ac:dyDescent="0.35">
      <c r="A119" s="79">
        <v>2000310102</v>
      </c>
      <c r="B119" t="s">
        <v>137</v>
      </c>
      <c r="C119" s="80">
        <v>501059</v>
      </c>
      <c r="D119" t="s">
        <v>138</v>
      </c>
      <c r="E119" s="81">
        <v>1</v>
      </c>
      <c r="F119" t="s">
        <v>21</v>
      </c>
      <c r="G119" s="55">
        <v>1521.9699999999998</v>
      </c>
      <c r="H119" s="82">
        <v>1521.9699999999998</v>
      </c>
      <c r="I119" s="83" t="str">
        <f>VLOOKUP(E119,[1]Mapping!$A$3:$B$14,2,FALSE)</f>
        <v>Jul</v>
      </c>
      <c r="J119" s="84">
        <f t="shared" si="2"/>
        <v>2000310102</v>
      </c>
      <c r="K119" s="84">
        <f t="shared" si="3"/>
        <v>501059</v>
      </c>
      <c r="L119" s="61" t="str">
        <f>VLOOKUP(K119,[1]Mapping!$J$3:$Q$351,8,FALSE)</f>
        <v>Fringe Benefits</v>
      </c>
      <c r="M119" t="s">
        <v>83</v>
      </c>
    </row>
    <row r="120" spans="1:13" hidden="1" x14ac:dyDescent="0.35">
      <c r="A120" s="79">
        <v>2000310102</v>
      </c>
      <c r="B120" t="s">
        <v>137</v>
      </c>
      <c r="C120" s="80">
        <v>501072</v>
      </c>
      <c r="D120" t="s">
        <v>128</v>
      </c>
      <c r="E120" s="81">
        <v>1</v>
      </c>
      <c r="F120" t="s">
        <v>21</v>
      </c>
      <c r="G120" s="55">
        <v>-503.18000000000006</v>
      </c>
      <c r="H120" s="82">
        <v>-503.18000000000006</v>
      </c>
      <c r="I120" s="83" t="str">
        <f>VLOOKUP(E120,[1]Mapping!$A$3:$B$14,2,FALSE)</f>
        <v>Jul</v>
      </c>
      <c r="J120" s="84">
        <f t="shared" si="2"/>
        <v>2000310102</v>
      </c>
      <c r="K120" s="84">
        <f t="shared" si="3"/>
        <v>501072</v>
      </c>
      <c r="L120" s="61" t="str">
        <f>VLOOKUP(K120,[1]Mapping!$J$3:$Q$351,8,FALSE)</f>
        <v>Fringe Benefits</v>
      </c>
      <c r="M120" t="s">
        <v>83</v>
      </c>
    </row>
    <row r="121" spans="1:13" hidden="1" x14ac:dyDescent="0.35">
      <c r="A121" s="79">
        <v>2000310102</v>
      </c>
      <c r="B121" t="s">
        <v>137</v>
      </c>
      <c r="C121" s="80">
        <v>501073</v>
      </c>
      <c r="D121" t="s">
        <v>129</v>
      </c>
      <c r="E121" s="81">
        <v>1</v>
      </c>
      <c r="F121" t="s">
        <v>21</v>
      </c>
      <c r="G121" s="55">
        <v>-105.66999999999999</v>
      </c>
      <c r="H121" s="82">
        <v>-105.66999999999999</v>
      </c>
      <c r="I121" s="83" t="str">
        <f>VLOOKUP(E121,[1]Mapping!$A$3:$B$14,2,FALSE)</f>
        <v>Jul</v>
      </c>
      <c r="J121" s="84">
        <f t="shared" si="2"/>
        <v>2000310102</v>
      </c>
      <c r="K121" s="84">
        <f t="shared" si="3"/>
        <v>501073</v>
      </c>
      <c r="L121" s="61" t="str">
        <f>VLOOKUP(K121,[1]Mapping!$J$3:$Q$351,8,FALSE)</f>
        <v>Fringe Benefits</v>
      </c>
      <c r="M121" t="s">
        <v>83</v>
      </c>
    </row>
    <row r="122" spans="1:13" hidden="1" x14ac:dyDescent="0.35">
      <c r="A122" s="79">
        <v>2000310102</v>
      </c>
      <c r="B122" t="s">
        <v>137</v>
      </c>
      <c r="C122" s="80">
        <v>600020</v>
      </c>
      <c r="D122" t="s">
        <v>91</v>
      </c>
      <c r="E122" s="81">
        <v>1</v>
      </c>
      <c r="F122" t="s">
        <v>21</v>
      </c>
      <c r="G122" s="55">
        <v>0</v>
      </c>
      <c r="H122" s="82">
        <v>0</v>
      </c>
      <c r="I122" s="83" t="str">
        <f>VLOOKUP(E122,[1]Mapping!$A$3:$B$14,2,FALSE)</f>
        <v>Jul</v>
      </c>
      <c r="J122" s="84">
        <f t="shared" si="2"/>
        <v>2000310102</v>
      </c>
      <c r="K122" s="84">
        <f t="shared" si="3"/>
        <v>600020</v>
      </c>
      <c r="L122" s="61" t="str">
        <f>VLOOKUP(K122,[1]Mapping!$J$3:$Q$351,8,FALSE)</f>
        <v>Fringe Benefits</v>
      </c>
      <c r="M122" t="s">
        <v>83</v>
      </c>
    </row>
    <row r="123" spans="1:13" hidden="1" x14ac:dyDescent="0.35">
      <c r="A123" s="79">
        <v>2000310102</v>
      </c>
      <c r="B123" t="s">
        <v>137</v>
      </c>
      <c r="C123" s="80">
        <v>600055</v>
      </c>
      <c r="D123" t="s">
        <v>92</v>
      </c>
      <c r="E123" s="81">
        <v>1</v>
      </c>
      <c r="F123" t="s">
        <v>21</v>
      </c>
      <c r="G123" s="55">
        <v>0</v>
      </c>
      <c r="H123" s="82">
        <v>0</v>
      </c>
      <c r="I123" s="83" t="str">
        <f>VLOOKUP(E123,[1]Mapping!$A$3:$B$14,2,FALSE)</f>
        <v>Jul</v>
      </c>
      <c r="J123" s="84">
        <f t="shared" si="2"/>
        <v>2000310102</v>
      </c>
      <c r="K123" s="84">
        <f t="shared" si="3"/>
        <v>600055</v>
      </c>
      <c r="L123" s="61" t="str">
        <f>VLOOKUP(K123,[1]Mapping!$J$3:$Q$351,8,FALSE)</f>
        <v>Fringe Benefits</v>
      </c>
      <c r="M123" t="s">
        <v>83</v>
      </c>
    </row>
    <row r="124" spans="1:13" hidden="1" x14ac:dyDescent="0.35">
      <c r="A124" s="79">
        <v>2000310102</v>
      </c>
      <c r="B124" t="s">
        <v>137</v>
      </c>
      <c r="C124" s="80">
        <v>501654</v>
      </c>
      <c r="D124" t="s">
        <v>126</v>
      </c>
      <c r="E124" s="81">
        <v>1</v>
      </c>
      <c r="F124" t="s">
        <v>24</v>
      </c>
      <c r="G124" s="55">
        <v>40.49</v>
      </c>
      <c r="H124" s="82">
        <v>40.49</v>
      </c>
      <c r="I124" s="83" t="str">
        <f>VLOOKUP(E124,[1]Mapping!$A$3:$B$14,2,FALSE)</f>
        <v>Jul</v>
      </c>
      <c r="J124" s="84">
        <f t="shared" si="2"/>
        <v>2000310102</v>
      </c>
      <c r="K124" s="84">
        <f t="shared" si="3"/>
        <v>501654</v>
      </c>
      <c r="L124" s="61" t="str">
        <f>VLOOKUP(K124,[1]Mapping!$J$3:$Q$351,8,FALSE)</f>
        <v>Supplies Expenses</v>
      </c>
      <c r="M124" t="s">
        <v>83</v>
      </c>
    </row>
    <row r="125" spans="1:13" hidden="1" x14ac:dyDescent="0.35">
      <c r="A125" s="79">
        <v>2000310102</v>
      </c>
      <c r="B125" t="s">
        <v>137</v>
      </c>
      <c r="C125" s="80">
        <v>501716</v>
      </c>
      <c r="D125" t="s">
        <v>139</v>
      </c>
      <c r="E125" s="81">
        <v>1</v>
      </c>
      <c r="F125" t="s">
        <v>117</v>
      </c>
      <c r="G125" s="55">
        <v>-59282.239999999998</v>
      </c>
      <c r="H125" s="82">
        <v>-59282.239999999998</v>
      </c>
      <c r="I125" s="83" t="str">
        <f>VLOOKUP(E125,[1]Mapping!$A$3:$B$14,2,FALSE)</f>
        <v>Jul</v>
      </c>
      <c r="J125" s="84">
        <f t="shared" si="2"/>
        <v>2000310102</v>
      </c>
      <c r="K125" s="84">
        <f t="shared" si="3"/>
        <v>501716</v>
      </c>
      <c r="L125" s="61" t="e">
        <f>VLOOKUP(K125,[1]Mapping!$J$3:$Q$351,8,FALSE)</f>
        <v>#N/A</v>
      </c>
      <c r="M125" t="s">
        <v>83</v>
      </c>
    </row>
    <row r="126" spans="1:13" hidden="1" x14ac:dyDescent="0.35">
      <c r="A126" s="79">
        <v>2000310115</v>
      </c>
      <c r="B126" t="s">
        <v>140</v>
      </c>
      <c r="C126" s="80">
        <v>501050</v>
      </c>
      <c r="D126" t="s">
        <v>39</v>
      </c>
      <c r="E126" s="81">
        <v>1</v>
      </c>
      <c r="F126" t="s">
        <v>19</v>
      </c>
      <c r="G126" s="55">
        <v>15109.05</v>
      </c>
      <c r="H126" s="82">
        <v>15109.05</v>
      </c>
      <c r="I126" s="83" t="str">
        <f>VLOOKUP(E126,[1]Mapping!$A$3:$B$14,2,FALSE)</f>
        <v>Jul</v>
      </c>
      <c r="J126" s="84">
        <f t="shared" si="2"/>
        <v>2000310115</v>
      </c>
      <c r="K126" s="84">
        <f t="shared" si="3"/>
        <v>501050</v>
      </c>
      <c r="L126" s="61" t="str">
        <f>VLOOKUP(K126,[1]Mapping!$J$3:$Q$351,8,FALSE)</f>
        <v>Wages &amp; Salaries</v>
      </c>
      <c r="M126" t="s">
        <v>83</v>
      </c>
    </row>
    <row r="127" spans="1:13" hidden="1" x14ac:dyDescent="0.35">
      <c r="A127" s="79">
        <v>2000310115</v>
      </c>
      <c r="B127" t="s">
        <v>140</v>
      </c>
      <c r="C127" s="80">
        <v>501051</v>
      </c>
      <c r="D127" t="s">
        <v>121</v>
      </c>
      <c r="E127" s="81">
        <v>1</v>
      </c>
      <c r="F127" t="s">
        <v>19</v>
      </c>
      <c r="G127" s="55">
        <v>986.42</v>
      </c>
      <c r="H127" s="82">
        <v>986.42</v>
      </c>
      <c r="I127" s="83" t="str">
        <f>VLOOKUP(E127,[1]Mapping!$A$3:$B$14,2,FALSE)</f>
        <v>Jul</v>
      </c>
      <c r="J127" s="84">
        <f t="shared" si="2"/>
        <v>2000310115</v>
      </c>
      <c r="K127" s="84">
        <f t="shared" si="3"/>
        <v>501051</v>
      </c>
      <c r="L127" s="61" t="str">
        <f>VLOOKUP(K127,[1]Mapping!$J$3:$Q$351,8,FALSE)</f>
        <v>Wages &amp; Salaries</v>
      </c>
      <c r="M127" t="s">
        <v>83</v>
      </c>
    </row>
    <row r="128" spans="1:13" hidden="1" x14ac:dyDescent="0.35">
      <c r="A128" s="79">
        <v>2000310115</v>
      </c>
      <c r="B128" t="s">
        <v>140</v>
      </c>
      <c r="C128" s="80">
        <v>501058</v>
      </c>
      <c r="D128" t="s">
        <v>122</v>
      </c>
      <c r="E128" s="81">
        <v>1</v>
      </c>
      <c r="F128" t="s">
        <v>21</v>
      </c>
      <c r="G128" s="55">
        <v>3466.2800000000007</v>
      </c>
      <c r="H128" s="82">
        <v>3466.2800000000007</v>
      </c>
      <c r="I128" s="83" t="str">
        <f>VLOOKUP(E128,[1]Mapping!$A$3:$B$14,2,FALSE)</f>
        <v>Jul</v>
      </c>
      <c r="J128" s="84">
        <f t="shared" si="2"/>
        <v>2000310115</v>
      </c>
      <c r="K128" s="84">
        <f t="shared" si="3"/>
        <v>501058</v>
      </c>
      <c r="L128" s="61" t="str">
        <f>VLOOKUP(K128,[1]Mapping!$J$3:$Q$351,8,FALSE)</f>
        <v>Fringe Benefits</v>
      </c>
      <c r="M128" t="s">
        <v>83</v>
      </c>
    </row>
    <row r="129" spans="1:13" hidden="1" x14ac:dyDescent="0.35">
      <c r="A129" s="79">
        <v>2000310115</v>
      </c>
      <c r="B129" t="s">
        <v>140</v>
      </c>
      <c r="C129" s="80">
        <v>501062</v>
      </c>
      <c r="D129" t="s">
        <v>41</v>
      </c>
      <c r="E129" s="81">
        <v>1</v>
      </c>
      <c r="F129" t="s">
        <v>21</v>
      </c>
      <c r="G129" s="55">
        <v>4341.09</v>
      </c>
      <c r="H129" s="82">
        <v>4341.09</v>
      </c>
      <c r="I129" s="83" t="str">
        <f>VLOOKUP(E129,[1]Mapping!$A$3:$B$14,2,FALSE)</f>
        <v>Jul</v>
      </c>
      <c r="J129" s="84">
        <f t="shared" si="2"/>
        <v>2000310115</v>
      </c>
      <c r="K129" s="84">
        <f t="shared" si="3"/>
        <v>501062</v>
      </c>
      <c r="L129" s="61" t="str">
        <f>VLOOKUP(K129,[1]Mapping!$J$3:$Q$351,8,FALSE)</f>
        <v>Fringe Benefits</v>
      </c>
      <c r="M129" t="s">
        <v>83</v>
      </c>
    </row>
    <row r="130" spans="1:13" hidden="1" x14ac:dyDescent="0.35">
      <c r="A130" s="79">
        <v>2000310115</v>
      </c>
      <c r="B130" t="s">
        <v>140</v>
      </c>
      <c r="C130" s="80">
        <v>501062</v>
      </c>
      <c r="D130" t="s">
        <v>41</v>
      </c>
      <c r="E130" s="81">
        <v>1</v>
      </c>
      <c r="F130" t="s">
        <v>21</v>
      </c>
      <c r="G130" s="55">
        <v>1828.91</v>
      </c>
      <c r="H130" s="82">
        <v>1828.91</v>
      </c>
      <c r="I130" s="83" t="str">
        <f>VLOOKUP(E130,[1]Mapping!$A$3:$B$14,2,FALSE)</f>
        <v>Jul</v>
      </c>
      <c r="J130" s="84">
        <f t="shared" si="2"/>
        <v>2000310115</v>
      </c>
      <c r="K130" s="84">
        <f t="shared" si="3"/>
        <v>501062</v>
      </c>
      <c r="L130" s="61" t="str">
        <f>VLOOKUP(K130,[1]Mapping!$J$3:$Q$351,8,FALSE)</f>
        <v>Fringe Benefits</v>
      </c>
      <c r="M130" t="s">
        <v>83</v>
      </c>
    </row>
    <row r="131" spans="1:13" hidden="1" x14ac:dyDescent="0.35">
      <c r="A131" s="79">
        <v>2000310115</v>
      </c>
      <c r="B131" t="s">
        <v>140</v>
      </c>
      <c r="C131" s="80">
        <v>501063</v>
      </c>
      <c r="D131" t="s">
        <v>123</v>
      </c>
      <c r="E131" s="81">
        <v>1</v>
      </c>
      <c r="F131" t="s">
        <v>21</v>
      </c>
      <c r="G131" s="55">
        <v>1111.46</v>
      </c>
      <c r="H131" s="82">
        <v>1111.46</v>
      </c>
      <c r="I131" s="83" t="str">
        <f>VLOOKUP(E131,[1]Mapping!$A$3:$B$14,2,FALSE)</f>
        <v>Jul</v>
      </c>
      <c r="J131" s="84">
        <f t="shared" si="2"/>
        <v>2000310115</v>
      </c>
      <c r="K131" s="84">
        <f t="shared" si="3"/>
        <v>501063</v>
      </c>
      <c r="L131" s="61" t="str">
        <f>VLOOKUP(K131,[1]Mapping!$J$3:$Q$351,8,FALSE)</f>
        <v>Fringe Benefits</v>
      </c>
      <c r="M131" t="s">
        <v>83</v>
      </c>
    </row>
    <row r="132" spans="1:13" hidden="1" x14ac:dyDescent="0.35">
      <c r="A132" s="79">
        <v>2000310115</v>
      </c>
      <c r="B132" t="s">
        <v>140</v>
      </c>
      <c r="C132" s="80">
        <v>501059</v>
      </c>
      <c r="D132" t="s">
        <v>138</v>
      </c>
      <c r="E132" s="81">
        <v>1</v>
      </c>
      <c r="F132" t="s">
        <v>21</v>
      </c>
      <c r="G132" s="55">
        <v>623.72</v>
      </c>
      <c r="H132" s="82">
        <v>623.72</v>
      </c>
      <c r="I132" s="83" t="str">
        <f>VLOOKUP(E132,[1]Mapping!$A$3:$B$14,2,FALSE)</f>
        <v>Jul</v>
      </c>
      <c r="J132" s="84">
        <f t="shared" si="2"/>
        <v>2000310115</v>
      </c>
      <c r="K132" s="84">
        <f t="shared" si="3"/>
        <v>501059</v>
      </c>
      <c r="L132" s="61" t="str">
        <f>VLOOKUP(K132,[1]Mapping!$J$3:$Q$351,8,FALSE)</f>
        <v>Fringe Benefits</v>
      </c>
      <c r="M132" t="s">
        <v>83</v>
      </c>
    </row>
    <row r="133" spans="1:13" hidden="1" x14ac:dyDescent="0.35">
      <c r="A133" s="79">
        <v>2000310115</v>
      </c>
      <c r="B133" t="s">
        <v>140</v>
      </c>
      <c r="C133" s="80">
        <v>501072</v>
      </c>
      <c r="D133" t="s">
        <v>128</v>
      </c>
      <c r="E133" s="81">
        <v>1</v>
      </c>
      <c r="F133" t="s">
        <v>21</v>
      </c>
      <c r="G133" s="55">
        <v>-1831.88</v>
      </c>
      <c r="H133" s="82">
        <v>-1831.88</v>
      </c>
      <c r="I133" s="83" t="str">
        <f>VLOOKUP(E133,[1]Mapping!$A$3:$B$14,2,FALSE)</f>
        <v>Jul</v>
      </c>
      <c r="J133" s="84">
        <f t="shared" si="2"/>
        <v>2000310115</v>
      </c>
      <c r="K133" s="84">
        <f t="shared" si="3"/>
        <v>501072</v>
      </c>
      <c r="L133" s="61" t="str">
        <f>VLOOKUP(K133,[1]Mapping!$J$3:$Q$351,8,FALSE)</f>
        <v>Fringe Benefits</v>
      </c>
      <c r="M133" t="s">
        <v>83</v>
      </c>
    </row>
    <row r="134" spans="1:13" hidden="1" x14ac:dyDescent="0.35">
      <c r="A134" s="79">
        <v>2000310115</v>
      </c>
      <c r="B134" t="s">
        <v>140</v>
      </c>
      <c r="C134" s="80">
        <v>501073</v>
      </c>
      <c r="D134" t="s">
        <v>129</v>
      </c>
      <c r="E134" s="81">
        <v>1</v>
      </c>
      <c r="F134" t="s">
        <v>21</v>
      </c>
      <c r="G134" s="55">
        <v>-384.68999999999994</v>
      </c>
      <c r="H134" s="82">
        <v>-384.68999999999994</v>
      </c>
      <c r="I134" s="83" t="str">
        <f>VLOOKUP(E134,[1]Mapping!$A$3:$B$14,2,FALSE)</f>
        <v>Jul</v>
      </c>
      <c r="J134" s="84">
        <f t="shared" si="2"/>
        <v>2000310115</v>
      </c>
      <c r="K134" s="84">
        <f t="shared" si="3"/>
        <v>501073</v>
      </c>
      <c r="L134" s="61" t="str">
        <f>VLOOKUP(K134,[1]Mapping!$J$3:$Q$351,8,FALSE)</f>
        <v>Fringe Benefits</v>
      </c>
      <c r="M134" t="s">
        <v>83</v>
      </c>
    </row>
    <row r="135" spans="1:13" hidden="1" x14ac:dyDescent="0.35">
      <c r="A135" s="79">
        <v>2000310115</v>
      </c>
      <c r="B135" t="s">
        <v>140</v>
      </c>
      <c r="C135" s="80">
        <v>600020</v>
      </c>
      <c r="D135" t="s">
        <v>91</v>
      </c>
      <c r="E135" s="81">
        <v>1</v>
      </c>
      <c r="F135" t="s">
        <v>21</v>
      </c>
      <c r="G135" s="55">
        <v>0</v>
      </c>
      <c r="H135" s="82">
        <v>0</v>
      </c>
      <c r="I135" s="83" t="str">
        <f>VLOOKUP(E135,[1]Mapping!$A$3:$B$14,2,FALSE)</f>
        <v>Jul</v>
      </c>
      <c r="J135" s="84">
        <f t="shared" si="2"/>
        <v>2000310115</v>
      </c>
      <c r="K135" s="84">
        <f t="shared" si="3"/>
        <v>600020</v>
      </c>
      <c r="L135" s="61" t="str">
        <f>VLOOKUP(K135,[1]Mapping!$J$3:$Q$351,8,FALSE)</f>
        <v>Fringe Benefits</v>
      </c>
      <c r="M135" t="s">
        <v>83</v>
      </c>
    </row>
    <row r="136" spans="1:13" hidden="1" x14ac:dyDescent="0.35">
      <c r="A136" s="79">
        <v>2000310115</v>
      </c>
      <c r="B136" t="s">
        <v>140</v>
      </c>
      <c r="C136" s="80">
        <v>600055</v>
      </c>
      <c r="D136" t="s">
        <v>92</v>
      </c>
      <c r="E136" s="81">
        <v>1</v>
      </c>
      <c r="F136" t="s">
        <v>21</v>
      </c>
      <c r="G136" s="55">
        <v>0</v>
      </c>
      <c r="H136" s="82">
        <v>0</v>
      </c>
      <c r="I136" s="83" t="str">
        <f>VLOOKUP(E136,[1]Mapping!$A$3:$B$14,2,FALSE)</f>
        <v>Jul</v>
      </c>
      <c r="J136" s="84">
        <f t="shared" si="2"/>
        <v>2000310115</v>
      </c>
      <c r="K136" s="84">
        <f t="shared" si="3"/>
        <v>600055</v>
      </c>
      <c r="L136" s="61" t="str">
        <f>VLOOKUP(K136,[1]Mapping!$J$3:$Q$351,8,FALSE)</f>
        <v>Fringe Benefits</v>
      </c>
      <c r="M136" t="s">
        <v>83</v>
      </c>
    </row>
    <row r="137" spans="1:13" hidden="1" x14ac:dyDescent="0.35">
      <c r="A137" s="79">
        <v>2000310115</v>
      </c>
      <c r="B137" t="s">
        <v>140</v>
      </c>
      <c r="C137" s="80">
        <v>501716</v>
      </c>
      <c r="D137" t="s">
        <v>139</v>
      </c>
      <c r="E137" s="81">
        <v>1</v>
      </c>
      <c r="F137" t="s">
        <v>117</v>
      </c>
      <c r="G137" s="55">
        <v>-25250.36</v>
      </c>
      <c r="H137" s="82">
        <v>-25250.36</v>
      </c>
      <c r="I137" s="83" t="str">
        <f>VLOOKUP(E137,[1]Mapping!$A$3:$B$14,2,FALSE)</f>
        <v>Jul</v>
      </c>
      <c r="J137" s="84">
        <f t="shared" si="2"/>
        <v>2000310115</v>
      </c>
      <c r="K137" s="84">
        <f t="shared" si="3"/>
        <v>501716</v>
      </c>
      <c r="L137" s="61" t="e">
        <f>VLOOKUP(K137,[1]Mapping!$J$3:$Q$351,8,FALSE)</f>
        <v>#N/A</v>
      </c>
      <c r="M137" t="s">
        <v>83</v>
      </c>
    </row>
    <row r="138" spans="1:13" hidden="1" x14ac:dyDescent="0.35">
      <c r="A138" s="79">
        <v>2000310095</v>
      </c>
      <c r="B138" t="s">
        <v>141</v>
      </c>
      <c r="C138" s="80">
        <v>501050</v>
      </c>
      <c r="D138" t="s">
        <v>39</v>
      </c>
      <c r="E138" s="81">
        <v>1</v>
      </c>
      <c r="F138" t="s">
        <v>19</v>
      </c>
      <c r="G138" s="55">
        <v>13659.63</v>
      </c>
      <c r="H138" s="82">
        <v>13659.63</v>
      </c>
      <c r="I138" s="83" t="str">
        <f>VLOOKUP(E138,[1]Mapping!$A$3:$B$14,2,FALSE)</f>
        <v>Jul</v>
      </c>
      <c r="J138" s="84">
        <f t="shared" si="2"/>
        <v>2000310095</v>
      </c>
      <c r="K138" s="84">
        <f t="shared" si="3"/>
        <v>501050</v>
      </c>
      <c r="L138" s="61" t="str">
        <f>VLOOKUP(K138,[1]Mapping!$J$3:$Q$351,8,FALSE)</f>
        <v>Wages &amp; Salaries</v>
      </c>
      <c r="M138" t="s">
        <v>83</v>
      </c>
    </row>
    <row r="139" spans="1:13" hidden="1" x14ac:dyDescent="0.35">
      <c r="A139" s="79">
        <v>2000310095</v>
      </c>
      <c r="B139" t="s">
        <v>141</v>
      </c>
      <c r="C139" s="80">
        <v>501051</v>
      </c>
      <c r="D139" t="s">
        <v>121</v>
      </c>
      <c r="E139" s="81">
        <v>1</v>
      </c>
      <c r="F139" t="s">
        <v>19</v>
      </c>
      <c r="G139" s="55">
        <v>934.21</v>
      </c>
      <c r="H139" s="82">
        <v>934.21</v>
      </c>
      <c r="I139" s="83" t="str">
        <f>VLOOKUP(E139,[1]Mapping!$A$3:$B$14,2,FALSE)</f>
        <v>Jul</v>
      </c>
      <c r="J139" s="84">
        <f t="shared" ref="J139:J202" si="4">VALUE(A139)</f>
        <v>2000310095</v>
      </c>
      <c r="K139" s="84">
        <f t="shared" ref="K139:K202" si="5">VALUE(C139)</f>
        <v>501051</v>
      </c>
      <c r="L139" s="61" t="str">
        <f>VLOOKUP(K139,[1]Mapping!$J$3:$Q$351,8,FALSE)</f>
        <v>Wages &amp; Salaries</v>
      </c>
      <c r="M139" t="s">
        <v>83</v>
      </c>
    </row>
    <row r="140" spans="1:13" hidden="1" x14ac:dyDescent="0.35">
      <c r="A140" s="79">
        <v>2000310095</v>
      </c>
      <c r="B140" t="s">
        <v>141</v>
      </c>
      <c r="C140" s="80">
        <v>501058</v>
      </c>
      <c r="D140" t="s">
        <v>122</v>
      </c>
      <c r="E140" s="81">
        <v>1</v>
      </c>
      <c r="F140" t="s">
        <v>21</v>
      </c>
      <c r="G140" s="55">
        <v>3368.81</v>
      </c>
      <c r="H140" s="82">
        <v>3368.81</v>
      </c>
      <c r="I140" s="83" t="str">
        <f>VLOOKUP(E140,[1]Mapping!$A$3:$B$14,2,FALSE)</f>
        <v>Jul</v>
      </c>
      <c r="J140" s="84">
        <f t="shared" si="4"/>
        <v>2000310095</v>
      </c>
      <c r="K140" s="84">
        <f t="shared" si="5"/>
        <v>501058</v>
      </c>
      <c r="L140" s="61" t="str">
        <f>VLOOKUP(K140,[1]Mapping!$J$3:$Q$351,8,FALSE)</f>
        <v>Fringe Benefits</v>
      </c>
      <c r="M140" t="s">
        <v>83</v>
      </c>
    </row>
    <row r="141" spans="1:13" hidden="1" x14ac:dyDescent="0.35">
      <c r="A141" s="79">
        <v>2000310095</v>
      </c>
      <c r="B141" t="s">
        <v>141</v>
      </c>
      <c r="C141" s="80">
        <v>501062</v>
      </c>
      <c r="D141" t="s">
        <v>41</v>
      </c>
      <c r="E141" s="81">
        <v>1</v>
      </c>
      <c r="F141" t="s">
        <v>21</v>
      </c>
      <c r="G141" s="55">
        <v>4101.47</v>
      </c>
      <c r="H141" s="82">
        <v>4101.47</v>
      </c>
      <c r="I141" s="83" t="str">
        <f>VLOOKUP(E141,[1]Mapping!$A$3:$B$14,2,FALSE)</f>
        <v>Jul</v>
      </c>
      <c r="J141" s="84">
        <f t="shared" si="4"/>
        <v>2000310095</v>
      </c>
      <c r="K141" s="84">
        <f t="shared" si="5"/>
        <v>501062</v>
      </c>
      <c r="L141" s="61" t="str">
        <f>VLOOKUP(K141,[1]Mapping!$J$3:$Q$351,8,FALSE)</f>
        <v>Fringe Benefits</v>
      </c>
      <c r="M141" t="s">
        <v>83</v>
      </c>
    </row>
    <row r="142" spans="1:13" hidden="1" x14ac:dyDescent="0.35">
      <c r="A142" s="79">
        <v>2000310095</v>
      </c>
      <c r="B142" t="s">
        <v>141</v>
      </c>
      <c r="C142" s="80">
        <v>501062</v>
      </c>
      <c r="D142" t="s">
        <v>41</v>
      </c>
      <c r="E142" s="81">
        <v>1</v>
      </c>
      <c r="F142" t="s">
        <v>21</v>
      </c>
      <c r="G142" s="55">
        <v>1661.07</v>
      </c>
      <c r="H142" s="82">
        <v>1661.07</v>
      </c>
      <c r="I142" s="83" t="str">
        <f>VLOOKUP(E142,[1]Mapping!$A$3:$B$14,2,FALSE)</f>
        <v>Jul</v>
      </c>
      <c r="J142" s="84">
        <f t="shared" si="4"/>
        <v>2000310095</v>
      </c>
      <c r="K142" s="84">
        <f t="shared" si="5"/>
        <v>501062</v>
      </c>
      <c r="L142" s="61" t="str">
        <f>VLOOKUP(K142,[1]Mapping!$J$3:$Q$351,8,FALSE)</f>
        <v>Fringe Benefits</v>
      </c>
      <c r="M142" t="s">
        <v>83</v>
      </c>
    </row>
    <row r="143" spans="1:13" hidden="1" x14ac:dyDescent="0.35">
      <c r="A143" s="79">
        <v>2000310095</v>
      </c>
      <c r="B143" t="s">
        <v>141</v>
      </c>
      <c r="C143" s="80">
        <v>501063</v>
      </c>
      <c r="D143" t="s">
        <v>123</v>
      </c>
      <c r="E143" s="81">
        <v>1</v>
      </c>
      <c r="F143" t="s">
        <v>21</v>
      </c>
      <c r="G143" s="55">
        <v>889.17</v>
      </c>
      <c r="H143" s="82">
        <v>889.17</v>
      </c>
      <c r="I143" s="83" t="str">
        <f>VLOOKUP(E143,[1]Mapping!$A$3:$B$14,2,FALSE)</f>
        <v>Jul</v>
      </c>
      <c r="J143" s="84">
        <f t="shared" si="4"/>
        <v>2000310095</v>
      </c>
      <c r="K143" s="84">
        <f t="shared" si="5"/>
        <v>501063</v>
      </c>
      <c r="L143" s="61" t="str">
        <f>VLOOKUP(K143,[1]Mapping!$J$3:$Q$351,8,FALSE)</f>
        <v>Fringe Benefits</v>
      </c>
      <c r="M143" t="s">
        <v>83</v>
      </c>
    </row>
    <row r="144" spans="1:13" hidden="1" x14ac:dyDescent="0.35">
      <c r="A144" s="79">
        <v>2000310095</v>
      </c>
      <c r="B144" t="s">
        <v>141</v>
      </c>
      <c r="C144" s="80">
        <v>501059</v>
      </c>
      <c r="D144" t="s">
        <v>138</v>
      </c>
      <c r="E144" s="81">
        <v>1</v>
      </c>
      <c r="F144" t="s">
        <v>21</v>
      </c>
      <c r="G144" s="55">
        <v>446.3</v>
      </c>
      <c r="H144" s="82">
        <v>446.3</v>
      </c>
      <c r="I144" s="83" t="str">
        <f>VLOOKUP(E144,[1]Mapping!$A$3:$B$14,2,FALSE)</f>
        <v>Jul</v>
      </c>
      <c r="J144" s="84">
        <f t="shared" si="4"/>
        <v>2000310095</v>
      </c>
      <c r="K144" s="84">
        <f t="shared" si="5"/>
        <v>501059</v>
      </c>
      <c r="L144" s="61" t="str">
        <f>VLOOKUP(K144,[1]Mapping!$J$3:$Q$351,8,FALSE)</f>
        <v>Fringe Benefits</v>
      </c>
      <c r="M144" t="s">
        <v>83</v>
      </c>
    </row>
    <row r="145" spans="1:13" hidden="1" x14ac:dyDescent="0.35">
      <c r="A145" s="79">
        <v>2000310095</v>
      </c>
      <c r="B145" t="s">
        <v>141</v>
      </c>
      <c r="C145" s="80">
        <v>501072</v>
      </c>
      <c r="D145" t="s">
        <v>128</v>
      </c>
      <c r="E145" s="81">
        <v>1</v>
      </c>
      <c r="F145" t="s">
        <v>21</v>
      </c>
      <c r="G145" s="55">
        <v>-6540.62</v>
      </c>
      <c r="H145" s="82">
        <v>-6540.62</v>
      </c>
      <c r="I145" s="83" t="str">
        <f>VLOOKUP(E145,[1]Mapping!$A$3:$B$14,2,FALSE)</f>
        <v>Jul</v>
      </c>
      <c r="J145" s="84">
        <f t="shared" si="4"/>
        <v>2000310095</v>
      </c>
      <c r="K145" s="84">
        <f t="shared" si="5"/>
        <v>501072</v>
      </c>
      <c r="L145" s="61" t="str">
        <f>VLOOKUP(K145,[1]Mapping!$J$3:$Q$351,8,FALSE)</f>
        <v>Fringe Benefits</v>
      </c>
      <c r="M145" t="s">
        <v>83</v>
      </c>
    </row>
    <row r="146" spans="1:13" hidden="1" x14ac:dyDescent="0.35">
      <c r="A146" s="79">
        <v>2000310095</v>
      </c>
      <c r="B146" t="s">
        <v>141</v>
      </c>
      <c r="C146" s="80">
        <v>501073</v>
      </c>
      <c r="D146" t="s">
        <v>129</v>
      </c>
      <c r="E146" s="81">
        <v>1</v>
      </c>
      <c r="F146" t="s">
        <v>21</v>
      </c>
      <c r="G146" s="55">
        <v>-1373.53</v>
      </c>
      <c r="H146" s="82">
        <v>-1373.53</v>
      </c>
      <c r="I146" s="83" t="str">
        <f>VLOOKUP(E146,[1]Mapping!$A$3:$B$14,2,FALSE)</f>
        <v>Jul</v>
      </c>
      <c r="J146" s="84">
        <f t="shared" si="4"/>
        <v>2000310095</v>
      </c>
      <c r="K146" s="84">
        <f t="shared" si="5"/>
        <v>501073</v>
      </c>
      <c r="L146" s="61" t="str">
        <f>VLOOKUP(K146,[1]Mapping!$J$3:$Q$351,8,FALSE)</f>
        <v>Fringe Benefits</v>
      </c>
      <c r="M146" t="s">
        <v>83</v>
      </c>
    </row>
    <row r="147" spans="1:13" hidden="1" x14ac:dyDescent="0.35">
      <c r="A147" s="79">
        <v>2000310095</v>
      </c>
      <c r="B147" t="s">
        <v>141</v>
      </c>
      <c r="C147" s="80">
        <v>600020</v>
      </c>
      <c r="D147" t="s">
        <v>91</v>
      </c>
      <c r="E147" s="81">
        <v>1</v>
      </c>
      <c r="F147" t="s">
        <v>21</v>
      </c>
      <c r="G147" s="55">
        <v>0</v>
      </c>
      <c r="H147" s="82">
        <v>0</v>
      </c>
      <c r="I147" s="83" t="str">
        <f>VLOOKUP(E147,[1]Mapping!$A$3:$B$14,2,FALSE)</f>
        <v>Jul</v>
      </c>
      <c r="J147" s="84">
        <f t="shared" si="4"/>
        <v>2000310095</v>
      </c>
      <c r="K147" s="84">
        <f t="shared" si="5"/>
        <v>600020</v>
      </c>
      <c r="L147" s="61" t="str">
        <f>VLOOKUP(K147,[1]Mapping!$J$3:$Q$351,8,FALSE)</f>
        <v>Fringe Benefits</v>
      </c>
      <c r="M147" t="s">
        <v>83</v>
      </c>
    </row>
    <row r="148" spans="1:13" hidden="1" x14ac:dyDescent="0.35">
      <c r="A148" s="79">
        <v>2000310095</v>
      </c>
      <c r="B148" t="s">
        <v>141</v>
      </c>
      <c r="C148" s="80">
        <v>600055</v>
      </c>
      <c r="D148" t="s">
        <v>92</v>
      </c>
      <c r="E148" s="81">
        <v>1</v>
      </c>
      <c r="F148" t="s">
        <v>21</v>
      </c>
      <c r="G148" s="55">
        <v>0</v>
      </c>
      <c r="H148" s="82">
        <v>0</v>
      </c>
      <c r="I148" s="83" t="str">
        <f>VLOOKUP(E148,[1]Mapping!$A$3:$B$14,2,FALSE)</f>
        <v>Jul</v>
      </c>
      <c r="J148" s="84">
        <f t="shared" si="4"/>
        <v>2000310095</v>
      </c>
      <c r="K148" s="84">
        <f t="shared" si="5"/>
        <v>600055</v>
      </c>
      <c r="L148" s="61" t="str">
        <f>VLOOKUP(K148,[1]Mapping!$J$3:$Q$351,8,FALSE)</f>
        <v>Fringe Benefits</v>
      </c>
      <c r="M148" t="s">
        <v>83</v>
      </c>
    </row>
    <row r="149" spans="1:13" hidden="1" x14ac:dyDescent="0.35">
      <c r="A149" s="79">
        <v>2000310095</v>
      </c>
      <c r="B149" t="s">
        <v>141</v>
      </c>
      <c r="C149" s="80">
        <v>501716</v>
      </c>
      <c r="D149" t="s">
        <v>139</v>
      </c>
      <c r="E149" s="81">
        <v>1</v>
      </c>
      <c r="F149" t="s">
        <v>117</v>
      </c>
      <c r="G149" s="55">
        <v>-17146.509999999998</v>
      </c>
      <c r="H149" s="82">
        <v>-17146.509999999998</v>
      </c>
      <c r="I149" s="83" t="str">
        <f>VLOOKUP(E149,[1]Mapping!$A$3:$B$14,2,FALSE)</f>
        <v>Jul</v>
      </c>
      <c r="J149" s="84">
        <f t="shared" si="4"/>
        <v>2000310095</v>
      </c>
      <c r="K149" s="84">
        <f t="shared" si="5"/>
        <v>501716</v>
      </c>
      <c r="L149" s="61" t="e">
        <f>VLOOKUP(K149,[1]Mapping!$J$3:$Q$351,8,FALSE)</f>
        <v>#N/A</v>
      </c>
      <c r="M149" t="s">
        <v>83</v>
      </c>
    </row>
    <row r="150" spans="1:13" hidden="1" x14ac:dyDescent="0.35">
      <c r="A150" s="79">
        <v>2000310118</v>
      </c>
      <c r="B150" t="s">
        <v>142</v>
      </c>
      <c r="C150" s="80">
        <v>501050</v>
      </c>
      <c r="D150" t="s">
        <v>39</v>
      </c>
      <c r="E150" s="81">
        <v>1</v>
      </c>
      <c r="F150" t="s">
        <v>19</v>
      </c>
      <c r="G150" s="55">
        <v>14576.66</v>
      </c>
      <c r="H150" s="82">
        <v>14576.66</v>
      </c>
      <c r="I150" s="83" t="str">
        <f>VLOOKUP(E150,[1]Mapping!$A$3:$B$14,2,FALSE)</f>
        <v>Jul</v>
      </c>
      <c r="J150" s="84">
        <f t="shared" si="4"/>
        <v>2000310118</v>
      </c>
      <c r="K150" s="84">
        <f t="shared" si="5"/>
        <v>501050</v>
      </c>
      <c r="L150" s="61" t="str">
        <f>VLOOKUP(K150,[1]Mapping!$J$3:$Q$351,8,FALSE)</f>
        <v>Wages &amp; Salaries</v>
      </c>
      <c r="M150" t="s">
        <v>83</v>
      </c>
    </row>
    <row r="151" spans="1:13" hidden="1" x14ac:dyDescent="0.35">
      <c r="A151" s="79">
        <v>2000310118</v>
      </c>
      <c r="B151" t="s">
        <v>142</v>
      </c>
      <c r="C151" s="80">
        <v>501051</v>
      </c>
      <c r="D151" t="s">
        <v>121</v>
      </c>
      <c r="E151" s="81">
        <v>1</v>
      </c>
      <c r="F151" t="s">
        <v>19</v>
      </c>
      <c r="G151" s="55">
        <v>1156.82</v>
      </c>
      <c r="H151" s="82">
        <v>1156.82</v>
      </c>
      <c r="I151" s="83" t="str">
        <f>VLOOKUP(E151,[1]Mapping!$A$3:$B$14,2,FALSE)</f>
        <v>Jul</v>
      </c>
      <c r="J151" s="84">
        <f t="shared" si="4"/>
        <v>2000310118</v>
      </c>
      <c r="K151" s="84">
        <f t="shared" si="5"/>
        <v>501051</v>
      </c>
      <c r="L151" s="61" t="str">
        <f>VLOOKUP(K151,[1]Mapping!$J$3:$Q$351,8,FALSE)</f>
        <v>Wages &amp; Salaries</v>
      </c>
      <c r="M151" t="s">
        <v>83</v>
      </c>
    </row>
    <row r="152" spans="1:13" hidden="1" x14ac:dyDescent="0.35">
      <c r="A152" s="79">
        <v>2000310118</v>
      </c>
      <c r="B152" t="s">
        <v>142</v>
      </c>
      <c r="C152" s="80">
        <v>501058</v>
      </c>
      <c r="D152" t="s">
        <v>122</v>
      </c>
      <c r="E152" s="81">
        <v>1</v>
      </c>
      <c r="F152" t="s">
        <v>21</v>
      </c>
      <c r="G152" s="55">
        <v>4222.29</v>
      </c>
      <c r="H152" s="82">
        <v>4222.29</v>
      </c>
      <c r="I152" s="83" t="str">
        <f>VLOOKUP(E152,[1]Mapping!$A$3:$B$14,2,FALSE)</f>
        <v>Jul</v>
      </c>
      <c r="J152" s="84">
        <f t="shared" si="4"/>
        <v>2000310118</v>
      </c>
      <c r="K152" s="84">
        <f t="shared" si="5"/>
        <v>501058</v>
      </c>
      <c r="L152" s="61" t="str">
        <f>VLOOKUP(K152,[1]Mapping!$J$3:$Q$351,8,FALSE)</f>
        <v>Fringe Benefits</v>
      </c>
      <c r="M152" t="s">
        <v>83</v>
      </c>
    </row>
    <row r="153" spans="1:13" hidden="1" x14ac:dyDescent="0.35">
      <c r="A153" s="79">
        <v>2000310118</v>
      </c>
      <c r="B153" t="s">
        <v>142</v>
      </c>
      <c r="C153" s="80">
        <v>501062</v>
      </c>
      <c r="D153" t="s">
        <v>41</v>
      </c>
      <c r="E153" s="81">
        <v>1</v>
      </c>
      <c r="F153" t="s">
        <v>21</v>
      </c>
      <c r="G153" s="55">
        <v>6973.36</v>
      </c>
      <c r="H153" s="82">
        <v>6973.36</v>
      </c>
      <c r="I153" s="83" t="str">
        <f>VLOOKUP(E153,[1]Mapping!$A$3:$B$14,2,FALSE)</f>
        <v>Jul</v>
      </c>
      <c r="J153" s="84">
        <f t="shared" si="4"/>
        <v>2000310118</v>
      </c>
      <c r="K153" s="84">
        <f t="shared" si="5"/>
        <v>501062</v>
      </c>
      <c r="L153" s="61" t="str">
        <f>VLOOKUP(K153,[1]Mapping!$J$3:$Q$351,8,FALSE)</f>
        <v>Fringe Benefits</v>
      </c>
      <c r="M153" t="s">
        <v>83</v>
      </c>
    </row>
    <row r="154" spans="1:13" hidden="1" x14ac:dyDescent="0.35">
      <c r="A154" s="79">
        <v>2000310118</v>
      </c>
      <c r="B154" t="s">
        <v>142</v>
      </c>
      <c r="C154" s="80">
        <v>501062</v>
      </c>
      <c r="D154" t="s">
        <v>41</v>
      </c>
      <c r="E154" s="81">
        <v>1</v>
      </c>
      <c r="F154" t="s">
        <v>21</v>
      </c>
      <c r="G154" s="55">
        <v>2775.98</v>
      </c>
      <c r="H154" s="82">
        <v>2775.98</v>
      </c>
      <c r="I154" s="83" t="str">
        <f>VLOOKUP(E154,[1]Mapping!$A$3:$B$14,2,FALSE)</f>
        <v>Jul</v>
      </c>
      <c r="J154" s="84">
        <f t="shared" si="4"/>
        <v>2000310118</v>
      </c>
      <c r="K154" s="84">
        <f t="shared" si="5"/>
        <v>501062</v>
      </c>
      <c r="L154" s="61" t="str">
        <f>VLOOKUP(K154,[1]Mapping!$J$3:$Q$351,8,FALSE)</f>
        <v>Fringe Benefits</v>
      </c>
      <c r="M154" t="s">
        <v>83</v>
      </c>
    </row>
    <row r="155" spans="1:13" hidden="1" x14ac:dyDescent="0.35">
      <c r="A155" s="79">
        <v>2000310118</v>
      </c>
      <c r="B155" t="s">
        <v>142</v>
      </c>
      <c r="C155" s="80">
        <v>501063</v>
      </c>
      <c r="D155" t="s">
        <v>123</v>
      </c>
      <c r="E155" s="81">
        <v>1</v>
      </c>
      <c r="F155" t="s">
        <v>21</v>
      </c>
      <c r="G155" s="55">
        <v>3112.09</v>
      </c>
      <c r="H155" s="82">
        <v>3112.09</v>
      </c>
      <c r="I155" s="83" t="str">
        <f>VLOOKUP(E155,[1]Mapping!$A$3:$B$14,2,FALSE)</f>
        <v>Jul</v>
      </c>
      <c r="J155" s="84">
        <f t="shared" si="4"/>
        <v>2000310118</v>
      </c>
      <c r="K155" s="84">
        <f t="shared" si="5"/>
        <v>501063</v>
      </c>
      <c r="L155" s="61" t="str">
        <f>VLOOKUP(K155,[1]Mapping!$J$3:$Q$351,8,FALSE)</f>
        <v>Fringe Benefits</v>
      </c>
      <c r="M155" t="s">
        <v>83</v>
      </c>
    </row>
    <row r="156" spans="1:13" hidden="1" x14ac:dyDescent="0.35">
      <c r="A156" s="79">
        <v>2000310118</v>
      </c>
      <c r="B156" t="s">
        <v>142</v>
      </c>
      <c r="C156" s="80">
        <v>501053</v>
      </c>
      <c r="D156" t="s">
        <v>40</v>
      </c>
      <c r="E156" s="81">
        <v>1</v>
      </c>
      <c r="F156" t="s">
        <v>20</v>
      </c>
      <c r="G156" s="55">
        <v>1884.57</v>
      </c>
      <c r="H156" s="82">
        <v>1884.57</v>
      </c>
      <c r="I156" s="83" t="str">
        <f>VLOOKUP(E156,[1]Mapping!$A$3:$B$14,2,FALSE)</f>
        <v>Jul</v>
      </c>
      <c r="J156" s="84">
        <f t="shared" si="4"/>
        <v>2000310118</v>
      </c>
      <c r="K156" s="84">
        <f t="shared" si="5"/>
        <v>501053</v>
      </c>
      <c r="L156" s="61" t="str">
        <f>VLOOKUP(K156,[1]Mapping!$J$3:$Q$351,8,FALSE)</f>
        <v>Overtime</v>
      </c>
      <c r="M156" t="s">
        <v>83</v>
      </c>
    </row>
    <row r="157" spans="1:13" hidden="1" x14ac:dyDescent="0.35">
      <c r="A157" s="79">
        <v>2000310118</v>
      </c>
      <c r="B157" t="s">
        <v>142</v>
      </c>
      <c r="C157" s="80">
        <v>501059</v>
      </c>
      <c r="D157" t="s">
        <v>138</v>
      </c>
      <c r="E157" s="81">
        <v>1</v>
      </c>
      <c r="F157" t="s">
        <v>21</v>
      </c>
      <c r="G157" s="55">
        <v>331</v>
      </c>
      <c r="H157" s="82">
        <v>331</v>
      </c>
      <c r="I157" s="83" t="str">
        <f>VLOOKUP(E157,[1]Mapping!$A$3:$B$14,2,FALSE)</f>
        <v>Jul</v>
      </c>
      <c r="J157" s="84">
        <f t="shared" si="4"/>
        <v>2000310118</v>
      </c>
      <c r="K157" s="84">
        <f t="shared" si="5"/>
        <v>501059</v>
      </c>
      <c r="L157" s="61" t="str">
        <f>VLOOKUP(K157,[1]Mapping!$J$3:$Q$351,8,FALSE)</f>
        <v>Fringe Benefits</v>
      </c>
      <c r="M157" t="s">
        <v>83</v>
      </c>
    </row>
    <row r="158" spans="1:13" hidden="1" x14ac:dyDescent="0.35">
      <c r="A158" s="79">
        <v>2000310118</v>
      </c>
      <c r="B158" t="s">
        <v>142</v>
      </c>
      <c r="C158" s="80">
        <v>501072</v>
      </c>
      <c r="D158" t="s">
        <v>128</v>
      </c>
      <c r="E158" s="81">
        <v>1</v>
      </c>
      <c r="F158" t="s">
        <v>21</v>
      </c>
      <c r="G158" s="55">
        <v>177.31000000000006</v>
      </c>
      <c r="H158" s="82">
        <v>177.31000000000006</v>
      </c>
      <c r="I158" s="83" t="str">
        <f>VLOOKUP(E158,[1]Mapping!$A$3:$B$14,2,FALSE)</f>
        <v>Jul</v>
      </c>
      <c r="J158" s="84">
        <f t="shared" si="4"/>
        <v>2000310118</v>
      </c>
      <c r="K158" s="84">
        <f t="shared" si="5"/>
        <v>501072</v>
      </c>
      <c r="L158" s="61" t="str">
        <f>VLOOKUP(K158,[1]Mapping!$J$3:$Q$351,8,FALSE)</f>
        <v>Fringe Benefits</v>
      </c>
      <c r="M158" t="s">
        <v>83</v>
      </c>
    </row>
    <row r="159" spans="1:13" hidden="1" x14ac:dyDescent="0.35">
      <c r="A159" s="79">
        <v>2000310118</v>
      </c>
      <c r="B159" t="s">
        <v>142</v>
      </c>
      <c r="C159" s="80">
        <v>501073</v>
      </c>
      <c r="D159" t="s">
        <v>129</v>
      </c>
      <c r="E159" s="81">
        <v>1</v>
      </c>
      <c r="F159" t="s">
        <v>21</v>
      </c>
      <c r="G159" s="55">
        <v>37.240000000000009</v>
      </c>
      <c r="H159" s="82">
        <v>37.240000000000009</v>
      </c>
      <c r="I159" s="83" t="str">
        <f>VLOOKUP(E159,[1]Mapping!$A$3:$B$14,2,FALSE)</f>
        <v>Jul</v>
      </c>
      <c r="J159" s="84">
        <f t="shared" si="4"/>
        <v>2000310118</v>
      </c>
      <c r="K159" s="84">
        <f t="shared" si="5"/>
        <v>501073</v>
      </c>
      <c r="L159" s="61" t="str">
        <f>VLOOKUP(K159,[1]Mapping!$J$3:$Q$351,8,FALSE)</f>
        <v>Fringe Benefits</v>
      </c>
      <c r="M159" t="s">
        <v>83</v>
      </c>
    </row>
    <row r="160" spans="1:13" hidden="1" x14ac:dyDescent="0.35">
      <c r="A160" s="79">
        <v>2000310118</v>
      </c>
      <c r="B160" t="s">
        <v>142</v>
      </c>
      <c r="C160" s="80">
        <v>600020</v>
      </c>
      <c r="D160" t="s">
        <v>91</v>
      </c>
      <c r="E160" s="81">
        <v>1</v>
      </c>
      <c r="F160" t="s">
        <v>21</v>
      </c>
      <c r="G160" s="55">
        <v>0</v>
      </c>
      <c r="H160" s="82">
        <v>0</v>
      </c>
      <c r="I160" s="83" t="str">
        <f>VLOOKUP(E160,[1]Mapping!$A$3:$B$14,2,FALSE)</f>
        <v>Jul</v>
      </c>
      <c r="J160" s="84">
        <f t="shared" si="4"/>
        <v>2000310118</v>
      </c>
      <c r="K160" s="84">
        <f t="shared" si="5"/>
        <v>600020</v>
      </c>
      <c r="L160" s="61" t="str">
        <f>VLOOKUP(K160,[1]Mapping!$J$3:$Q$351,8,FALSE)</f>
        <v>Fringe Benefits</v>
      </c>
      <c r="M160" t="s">
        <v>83</v>
      </c>
    </row>
    <row r="161" spans="1:13" hidden="1" x14ac:dyDescent="0.35">
      <c r="A161" s="79">
        <v>2000310118</v>
      </c>
      <c r="B161" t="s">
        <v>142</v>
      </c>
      <c r="C161" s="80">
        <v>600055</v>
      </c>
      <c r="D161" t="s">
        <v>92</v>
      </c>
      <c r="E161" s="81">
        <v>1</v>
      </c>
      <c r="F161" t="s">
        <v>21</v>
      </c>
      <c r="G161" s="55">
        <v>0</v>
      </c>
      <c r="H161" s="82">
        <v>0</v>
      </c>
      <c r="I161" s="83" t="str">
        <f>VLOOKUP(E161,[1]Mapping!$A$3:$B$14,2,FALSE)</f>
        <v>Jul</v>
      </c>
      <c r="J161" s="84">
        <f t="shared" si="4"/>
        <v>2000310118</v>
      </c>
      <c r="K161" s="84">
        <f t="shared" si="5"/>
        <v>600055</v>
      </c>
      <c r="L161" s="61" t="str">
        <f>VLOOKUP(K161,[1]Mapping!$J$3:$Q$351,8,FALSE)</f>
        <v>Fringe Benefits</v>
      </c>
      <c r="M161" t="s">
        <v>83</v>
      </c>
    </row>
    <row r="162" spans="1:13" hidden="1" x14ac:dyDescent="0.35">
      <c r="A162" s="79">
        <v>2000310118</v>
      </c>
      <c r="B162" t="s">
        <v>142</v>
      </c>
      <c r="C162" s="80">
        <v>501716</v>
      </c>
      <c r="D162" t="s">
        <v>139</v>
      </c>
      <c r="E162" s="81">
        <v>1</v>
      </c>
      <c r="F162" t="s">
        <v>117</v>
      </c>
      <c r="G162" s="55">
        <v>-35247.32</v>
      </c>
      <c r="H162" s="82">
        <v>-35247.32</v>
      </c>
      <c r="I162" s="83" t="str">
        <f>VLOOKUP(E162,[1]Mapping!$A$3:$B$14,2,FALSE)</f>
        <v>Jul</v>
      </c>
      <c r="J162" s="84">
        <f t="shared" si="4"/>
        <v>2000310118</v>
      </c>
      <c r="K162" s="84">
        <f t="shared" si="5"/>
        <v>501716</v>
      </c>
      <c r="L162" s="61" t="e">
        <f>VLOOKUP(K162,[1]Mapping!$J$3:$Q$351,8,FALSE)</f>
        <v>#N/A</v>
      </c>
      <c r="M162" t="s">
        <v>83</v>
      </c>
    </row>
    <row r="163" spans="1:13" hidden="1" x14ac:dyDescent="0.35">
      <c r="A163" s="79">
        <v>2000310119</v>
      </c>
      <c r="B163" t="s">
        <v>143</v>
      </c>
      <c r="C163" s="80">
        <v>501050</v>
      </c>
      <c r="D163" t="s">
        <v>39</v>
      </c>
      <c r="E163" s="81">
        <v>1</v>
      </c>
      <c r="F163" t="s">
        <v>19</v>
      </c>
      <c r="G163" s="55">
        <v>28367.43</v>
      </c>
      <c r="H163" s="82">
        <v>28367.43</v>
      </c>
      <c r="I163" s="83" t="str">
        <f>VLOOKUP(E163,[1]Mapping!$A$3:$B$14,2,FALSE)</f>
        <v>Jul</v>
      </c>
      <c r="J163" s="84">
        <f t="shared" si="4"/>
        <v>2000310119</v>
      </c>
      <c r="K163" s="84">
        <f t="shared" si="5"/>
        <v>501050</v>
      </c>
      <c r="L163" s="61" t="str">
        <f>VLOOKUP(K163,[1]Mapping!$J$3:$Q$351,8,FALSE)</f>
        <v>Wages &amp; Salaries</v>
      </c>
      <c r="M163" t="s">
        <v>83</v>
      </c>
    </row>
    <row r="164" spans="1:13" hidden="1" x14ac:dyDescent="0.35">
      <c r="A164" s="79">
        <v>2000310119</v>
      </c>
      <c r="B164" t="s">
        <v>143</v>
      </c>
      <c r="C164" s="80">
        <v>501051</v>
      </c>
      <c r="D164" t="s">
        <v>121</v>
      </c>
      <c r="E164" s="81">
        <v>1</v>
      </c>
      <c r="F164" t="s">
        <v>19</v>
      </c>
      <c r="G164" s="55">
        <v>2146.2800000000002</v>
      </c>
      <c r="H164" s="82">
        <v>2146.2800000000002</v>
      </c>
      <c r="I164" s="83" t="str">
        <f>VLOOKUP(E164,[1]Mapping!$A$3:$B$14,2,FALSE)</f>
        <v>Jul</v>
      </c>
      <c r="J164" s="84">
        <f t="shared" si="4"/>
        <v>2000310119</v>
      </c>
      <c r="K164" s="84">
        <f t="shared" si="5"/>
        <v>501051</v>
      </c>
      <c r="L164" s="61" t="str">
        <f>VLOOKUP(K164,[1]Mapping!$J$3:$Q$351,8,FALSE)</f>
        <v>Wages &amp; Salaries</v>
      </c>
      <c r="M164" t="s">
        <v>83</v>
      </c>
    </row>
    <row r="165" spans="1:13" hidden="1" x14ac:dyDescent="0.35">
      <c r="A165" s="79">
        <v>2000310119</v>
      </c>
      <c r="B165" t="s">
        <v>143</v>
      </c>
      <c r="C165" s="80">
        <v>501058</v>
      </c>
      <c r="D165" t="s">
        <v>122</v>
      </c>
      <c r="E165" s="81">
        <v>1</v>
      </c>
      <c r="F165" t="s">
        <v>21</v>
      </c>
      <c r="G165" s="55">
        <v>6633.74</v>
      </c>
      <c r="H165" s="82">
        <v>6633.74</v>
      </c>
      <c r="I165" s="83" t="str">
        <f>VLOOKUP(E165,[1]Mapping!$A$3:$B$14,2,FALSE)</f>
        <v>Jul</v>
      </c>
      <c r="J165" s="84">
        <f t="shared" si="4"/>
        <v>2000310119</v>
      </c>
      <c r="K165" s="84">
        <f t="shared" si="5"/>
        <v>501058</v>
      </c>
      <c r="L165" s="61" t="str">
        <f>VLOOKUP(K165,[1]Mapping!$J$3:$Q$351,8,FALSE)</f>
        <v>Fringe Benefits</v>
      </c>
      <c r="M165" t="s">
        <v>83</v>
      </c>
    </row>
    <row r="166" spans="1:13" hidden="1" x14ac:dyDescent="0.35">
      <c r="A166" s="79">
        <v>2000310119</v>
      </c>
      <c r="B166" t="s">
        <v>143</v>
      </c>
      <c r="C166" s="80">
        <v>501062</v>
      </c>
      <c r="D166" t="s">
        <v>41</v>
      </c>
      <c r="E166" s="81">
        <v>1</v>
      </c>
      <c r="F166" t="s">
        <v>21</v>
      </c>
      <c r="G166" s="55">
        <v>11626.15</v>
      </c>
      <c r="H166" s="82">
        <v>11626.15</v>
      </c>
      <c r="I166" s="83" t="str">
        <f>VLOOKUP(E166,[1]Mapping!$A$3:$B$14,2,FALSE)</f>
        <v>Jul</v>
      </c>
      <c r="J166" s="84">
        <f t="shared" si="4"/>
        <v>2000310119</v>
      </c>
      <c r="K166" s="84">
        <f t="shared" si="5"/>
        <v>501062</v>
      </c>
      <c r="L166" s="61" t="str">
        <f>VLOOKUP(K166,[1]Mapping!$J$3:$Q$351,8,FALSE)</f>
        <v>Fringe Benefits</v>
      </c>
      <c r="M166" t="s">
        <v>83</v>
      </c>
    </row>
    <row r="167" spans="1:13" hidden="1" x14ac:dyDescent="0.35">
      <c r="A167" s="79">
        <v>2000310119</v>
      </c>
      <c r="B167" t="s">
        <v>143</v>
      </c>
      <c r="C167" s="80">
        <v>501062</v>
      </c>
      <c r="D167" t="s">
        <v>41</v>
      </c>
      <c r="E167" s="81">
        <v>1</v>
      </c>
      <c r="F167" t="s">
        <v>21</v>
      </c>
      <c r="G167" s="55">
        <v>3954.01</v>
      </c>
      <c r="H167" s="82">
        <v>3954.01</v>
      </c>
      <c r="I167" s="83" t="str">
        <f>VLOOKUP(E167,[1]Mapping!$A$3:$B$14,2,FALSE)</f>
        <v>Jul</v>
      </c>
      <c r="J167" s="84">
        <f t="shared" si="4"/>
        <v>2000310119</v>
      </c>
      <c r="K167" s="84">
        <f t="shared" si="5"/>
        <v>501062</v>
      </c>
      <c r="L167" s="61" t="str">
        <f>VLOOKUP(K167,[1]Mapping!$J$3:$Q$351,8,FALSE)</f>
        <v>Fringe Benefits</v>
      </c>
      <c r="M167" t="s">
        <v>83</v>
      </c>
    </row>
    <row r="168" spans="1:13" hidden="1" x14ac:dyDescent="0.35">
      <c r="A168" s="79">
        <v>2000310119</v>
      </c>
      <c r="B168" t="s">
        <v>143</v>
      </c>
      <c r="C168" s="80">
        <v>501063</v>
      </c>
      <c r="D168" t="s">
        <v>123</v>
      </c>
      <c r="E168" s="81">
        <v>1</v>
      </c>
      <c r="F168" t="s">
        <v>21</v>
      </c>
      <c r="G168" s="55">
        <v>2889.8</v>
      </c>
      <c r="H168" s="82">
        <v>2889.8</v>
      </c>
      <c r="I168" s="83" t="str">
        <f>VLOOKUP(E168,[1]Mapping!$A$3:$B$14,2,FALSE)</f>
        <v>Jul</v>
      </c>
      <c r="J168" s="84">
        <f t="shared" si="4"/>
        <v>2000310119</v>
      </c>
      <c r="K168" s="84">
        <f t="shared" si="5"/>
        <v>501063</v>
      </c>
      <c r="L168" s="61" t="str">
        <f>VLOOKUP(K168,[1]Mapping!$J$3:$Q$351,8,FALSE)</f>
        <v>Fringe Benefits</v>
      </c>
      <c r="M168" t="s">
        <v>83</v>
      </c>
    </row>
    <row r="169" spans="1:13" hidden="1" x14ac:dyDescent="0.35">
      <c r="A169" s="79">
        <v>2000310119</v>
      </c>
      <c r="B169" t="s">
        <v>143</v>
      </c>
      <c r="C169" s="80">
        <v>501711</v>
      </c>
      <c r="D169" t="s">
        <v>144</v>
      </c>
      <c r="E169" s="81">
        <v>1</v>
      </c>
      <c r="F169" t="s">
        <v>27</v>
      </c>
      <c r="G169" s="55">
        <v>714.18</v>
      </c>
      <c r="H169" s="82">
        <v>714.18</v>
      </c>
      <c r="I169" s="83" t="str">
        <f>VLOOKUP(E169,[1]Mapping!$A$3:$B$14,2,FALSE)</f>
        <v>Jul</v>
      </c>
      <c r="J169" s="84">
        <f t="shared" si="4"/>
        <v>2000310119</v>
      </c>
      <c r="K169" s="84">
        <f t="shared" si="5"/>
        <v>501711</v>
      </c>
      <c r="L169" s="61" t="str">
        <f>VLOOKUP(K169,[1]Mapping!$J$3:$Q$351,8,FALSE)</f>
        <v>Outside Services</v>
      </c>
      <c r="M169" t="s">
        <v>83</v>
      </c>
    </row>
    <row r="170" spans="1:13" hidden="1" x14ac:dyDescent="0.35">
      <c r="A170" s="79">
        <v>2000310119</v>
      </c>
      <c r="B170" t="s">
        <v>143</v>
      </c>
      <c r="C170" s="80">
        <v>501609</v>
      </c>
      <c r="D170" t="s">
        <v>47</v>
      </c>
      <c r="E170" s="81">
        <v>1</v>
      </c>
      <c r="F170" t="s">
        <v>24</v>
      </c>
      <c r="G170" s="55">
        <v>6014.04</v>
      </c>
      <c r="H170" s="82">
        <v>6014.04</v>
      </c>
      <c r="I170" s="83" t="str">
        <f>VLOOKUP(E170,[1]Mapping!$A$3:$B$14,2,FALSE)</f>
        <v>Jul</v>
      </c>
      <c r="J170" s="84">
        <f t="shared" si="4"/>
        <v>2000310119</v>
      </c>
      <c r="K170" s="84">
        <f t="shared" si="5"/>
        <v>501609</v>
      </c>
      <c r="L170" s="61" t="str">
        <f>VLOOKUP(K170,[1]Mapping!$J$3:$Q$351,8,FALSE)</f>
        <v>Supplies Expenses</v>
      </c>
      <c r="M170" t="s">
        <v>83</v>
      </c>
    </row>
    <row r="171" spans="1:13" hidden="1" x14ac:dyDescent="0.35">
      <c r="A171" s="79">
        <v>2000310119</v>
      </c>
      <c r="B171" t="s">
        <v>143</v>
      </c>
      <c r="C171" s="80">
        <v>501053</v>
      </c>
      <c r="D171" t="s">
        <v>40</v>
      </c>
      <c r="E171" s="81">
        <v>1</v>
      </c>
      <c r="F171" t="s">
        <v>20</v>
      </c>
      <c r="G171" s="55">
        <v>121.93</v>
      </c>
      <c r="H171" s="82">
        <v>121.93</v>
      </c>
      <c r="I171" s="83" t="str">
        <f>VLOOKUP(E171,[1]Mapping!$A$3:$B$14,2,FALSE)</f>
        <v>Jul</v>
      </c>
      <c r="J171" s="84">
        <f t="shared" si="4"/>
        <v>2000310119</v>
      </c>
      <c r="K171" s="84">
        <f t="shared" si="5"/>
        <v>501053</v>
      </c>
      <c r="L171" s="61" t="str">
        <f>VLOOKUP(K171,[1]Mapping!$J$3:$Q$351,8,FALSE)</f>
        <v>Overtime</v>
      </c>
      <c r="M171" t="s">
        <v>83</v>
      </c>
    </row>
    <row r="172" spans="1:13" hidden="1" x14ac:dyDescent="0.35">
      <c r="A172" s="79">
        <v>2000310119</v>
      </c>
      <c r="B172" t="s">
        <v>143</v>
      </c>
      <c r="C172" s="80">
        <v>501059</v>
      </c>
      <c r="D172" t="s">
        <v>138</v>
      </c>
      <c r="E172" s="81">
        <v>1</v>
      </c>
      <c r="F172" t="s">
        <v>21</v>
      </c>
      <c r="G172" s="55">
        <v>1929.5700000000002</v>
      </c>
      <c r="H172" s="82">
        <v>1929.5700000000002</v>
      </c>
      <c r="I172" s="83" t="str">
        <f>VLOOKUP(E172,[1]Mapping!$A$3:$B$14,2,FALSE)</f>
        <v>Jul</v>
      </c>
      <c r="J172" s="84">
        <f t="shared" si="4"/>
        <v>2000310119</v>
      </c>
      <c r="K172" s="84">
        <f t="shared" si="5"/>
        <v>501059</v>
      </c>
      <c r="L172" s="61" t="str">
        <f>VLOOKUP(K172,[1]Mapping!$J$3:$Q$351,8,FALSE)</f>
        <v>Fringe Benefits</v>
      </c>
      <c r="M172" t="s">
        <v>83</v>
      </c>
    </row>
    <row r="173" spans="1:13" hidden="1" x14ac:dyDescent="0.35">
      <c r="A173" s="79">
        <v>2000310119</v>
      </c>
      <c r="B173" t="s">
        <v>143</v>
      </c>
      <c r="C173" s="80">
        <v>501803</v>
      </c>
      <c r="D173" t="s">
        <v>145</v>
      </c>
      <c r="E173" s="81">
        <v>1</v>
      </c>
      <c r="F173" t="s">
        <v>22</v>
      </c>
      <c r="G173" s="55">
        <v>294.51</v>
      </c>
      <c r="H173" s="82">
        <v>294.51</v>
      </c>
      <c r="I173" s="83" t="str">
        <f>VLOOKUP(E173,[1]Mapping!$A$3:$B$14,2,FALSE)</f>
        <v>Jul</v>
      </c>
      <c r="J173" s="84">
        <f t="shared" si="4"/>
        <v>2000310119</v>
      </c>
      <c r="K173" s="84">
        <f t="shared" si="5"/>
        <v>501803</v>
      </c>
      <c r="L173" s="61" t="str">
        <f>VLOOKUP(K173,[1]Mapping!$J$3:$Q$351,8,FALSE)</f>
        <v>Employee Related Expenses</v>
      </c>
      <c r="M173" t="s">
        <v>83</v>
      </c>
    </row>
    <row r="174" spans="1:13" hidden="1" x14ac:dyDescent="0.35">
      <c r="A174" s="79">
        <v>2000310119</v>
      </c>
      <c r="B174" t="s">
        <v>143</v>
      </c>
      <c r="C174" s="80">
        <v>501072</v>
      </c>
      <c r="D174" t="s">
        <v>128</v>
      </c>
      <c r="E174" s="81">
        <v>1</v>
      </c>
      <c r="F174" t="s">
        <v>21</v>
      </c>
      <c r="G174" s="55">
        <v>2020.35</v>
      </c>
      <c r="H174" s="82">
        <v>2020.35</v>
      </c>
      <c r="I174" s="83" t="str">
        <f>VLOOKUP(E174,[1]Mapping!$A$3:$B$14,2,FALSE)</f>
        <v>Jul</v>
      </c>
      <c r="J174" s="84">
        <f t="shared" si="4"/>
        <v>2000310119</v>
      </c>
      <c r="K174" s="84">
        <f t="shared" si="5"/>
        <v>501072</v>
      </c>
      <c r="L174" s="61" t="str">
        <f>VLOOKUP(K174,[1]Mapping!$J$3:$Q$351,8,FALSE)</f>
        <v>Fringe Benefits</v>
      </c>
      <c r="M174" t="s">
        <v>83</v>
      </c>
    </row>
    <row r="175" spans="1:13" hidden="1" x14ac:dyDescent="0.35">
      <c r="A175" s="79">
        <v>2000310119</v>
      </c>
      <c r="B175" t="s">
        <v>143</v>
      </c>
      <c r="C175" s="80">
        <v>501073</v>
      </c>
      <c r="D175" t="s">
        <v>129</v>
      </c>
      <c r="E175" s="81">
        <v>1</v>
      </c>
      <c r="F175" t="s">
        <v>21</v>
      </c>
      <c r="G175" s="55">
        <v>424.27000000000004</v>
      </c>
      <c r="H175" s="82">
        <v>424.27000000000004</v>
      </c>
      <c r="I175" s="83" t="str">
        <f>VLOOKUP(E175,[1]Mapping!$A$3:$B$14,2,FALSE)</f>
        <v>Jul</v>
      </c>
      <c r="J175" s="84">
        <f t="shared" si="4"/>
        <v>2000310119</v>
      </c>
      <c r="K175" s="84">
        <f t="shared" si="5"/>
        <v>501073</v>
      </c>
      <c r="L175" s="61" t="str">
        <f>VLOOKUP(K175,[1]Mapping!$J$3:$Q$351,8,FALSE)</f>
        <v>Fringe Benefits</v>
      </c>
      <c r="M175" t="s">
        <v>83</v>
      </c>
    </row>
    <row r="176" spans="1:13" hidden="1" x14ac:dyDescent="0.35">
      <c r="A176" s="79">
        <v>2000310119</v>
      </c>
      <c r="B176" t="s">
        <v>143</v>
      </c>
      <c r="C176" s="80">
        <v>600020</v>
      </c>
      <c r="D176" t="s">
        <v>91</v>
      </c>
      <c r="E176" s="81">
        <v>1</v>
      </c>
      <c r="F176" t="s">
        <v>21</v>
      </c>
      <c r="G176" s="55">
        <v>0</v>
      </c>
      <c r="H176" s="82">
        <v>0</v>
      </c>
      <c r="I176" s="83" t="str">
        <f>VLOOKUP(E176,[1]Mapping!$A$3:$B$14,2,FALSE)</f>
        <v>Jul</v>
      </c>
      <c r="J176" s="84">
        <f t="shared" si="4"/>
        <v>2000310119</v>
      </c>
      <c r="K176" s="84">
        <f t="shared" si="5"/>
        <v>600020</v>
      </c>
      <c r="L176" s="61" t="str">
        <f>VLOOKUP(K176,[1]Mapping!$J$3:$Q$351,8,FALSE)</f>
        <v>Fringe Benefits</v>
      </c>
      <c r="M176" t="s">
        <v>83</v>
      </c>
    </row>
    <row r="177" spans="1:13" hidden="1" x14ac:dyDescent="0.35">
      <c r="A177" s="79">
        <v>2000310119</v>
      </c>
      <c r="B177" t="s">
        <v>143</v>
      </c>
      <c r="C177" s="80">
        <v>600055</v>
      </c>
      <c r="D177" t="s">
        <v>92</v>
      </c>
      <c r="E177" s="81">
        <v>1</v>
      </c>
      <c r="F177" t="s">
        <v>21</v>
      </c>
      <c r="G177" s="55">
        <v>0</v>
      </c>
      <c r="H177" s="82">
        <v>0</v>
      </c>
      <c r="I177" s="83" t="str">
        <f>VLOOKUP(E177,[1]Mapping!$A$3:$B$14,2,FALSE)</f>
        <v>Jul</v>
      </c>
      <c r="J177" s="84">
        <f t="shared" si="4"/>
        <v>2000310119</v>
      </c>
      <c r="K177" s="84">
        <f t="shared" si="5"/>
        <v>600055</v>
      </c>
      <c r="L177" s="61" t="str">
        <f>VLOOKUP(K177,[1]Mapping!$J$3:$Q$351,8,FALSE)</f>
        <v>Fringe Benefits</v>
      </c>
      <c r="M177" t="s">
        <v>83</v>
      </c>
    </row>
    <row r="178" spans="1:13" hidden="1" x14ac:dyDescent="0.35">
      <c r="A178" s="79">
        <v>2000310119</v>
      </c>
      <c r="B178" t="s">
        <v>143</v>
      </c>
      <c r="C178" s="80">
        <v>501211</v>
      </c>
      <c r="D178" t="s">
        <v>146</v>
      </c>
      <c r="E178" s="81">
        <v>1</v>
      </c>
      <c r="F178" t="s">
        <v>25</v>
      </c>
      <c r="G178" s="55">
        <v>168.05</v>
      </c>
      <c r="H178" s="82">
        <v>168.05</v>
      </c>
      <c r="I178" s="83" t="str">
        <f>VLOOKUP(E178,[1]Mapping!$A$3:$B$14,2,FALSE)</f>
        <v>Jul</v>
      </c>
      <c r="J178" s="84">
        <f t="shared" si="4"/>
        <v>2000310119</v>
      </c>
      <c r="K178" s="84">
        <f t="shared" si="5"/>
        <v>501211</v>
      </c>
      <c r="L178" s="61" t="str">
        <f>VLOOKUP(K178,[1]Mapping!$J$3:$Q$351,8,FALSE)</f>
        <v>Repairs &amp; Maintenance</v>
      </c>
      <c r="M178" t="s">
        <v>83</v>
      </c>
    </row>
    <row r="179" spans="1:13" hidden="1" x14ac:dyDescent="0.35">
      <c r="A179" s="79">
        <v>2000310119</v>
      </c>
      <c r="B179" t="s">
        <v>143</v>
      </c>
      <c r="C179" s="80">
        <v>501802</v>
      </c>
      <c r="D179" t="s">
        <v>104</v>
      </c>
      <c r="E179" s="81">
        <v>1</v>
      </c>
      <c r="F179" t="s">
        <v>21</v>
      </c>
      <c r="G179" s="55">
        <v>543.34</v>
      </c>
      <c r="H179" s="82">
        <v>543.34</v>
      </c>
      <c r="I179" s="83" t="str">
        <f>VLOOKUP(E179,[1]Mapping!$A$3:$B$14,2,FALSE)</f>
        <v>Jul</v>
      </c>
      <c r="J179" s="84">
        <f t="shared" si="4"/>
        <v>2000310119</v>
      </c>
      <c r="K179" s="84">
        <f t="shared" si="5"/>
        <v>501802</v>
      </c>
      <c r="L179" s="61" t="str">
        <f>VLOOKUP(K179,[1]Mapping!$J$3:$Q$351,8,FALSE)</f>
        <v>Fringe Benefits</v>
      </c>
      <c r="M179" t="s">
        <v>83</v>
      </c>
    </row>
    <row r="180" spans="1:13" hidden="1" x14ac:dyDescent="0.35">
      <c r="A180" s="79">
        <v>2000310119</v>
      </c>
      <c r="B180" t="s">
        <v>143</v>
      </c>
      <c r="C180" s="80">
        <v>501716</v>
      </c>
      <c r="D180" t="s">
        <v>139</v>
      </c>
      <c r="E180" s="81">
        <v>1</v>
      </c>
      <c r="F180" t="s">
        <v>117</v>
      </c>
      <c r="G180" s="55">
        <v>-67847.649999999994</v>
      </c>
      <c r="H180" s="82">
        <v>-67847.649999999994</v>
      </c>
      <c r="I180" s="83" t="str">
        <f>VLOOKUP(E180,[1]Mapping!$A$3:$B$14,2,FALSE)</f>
        <v>Jul</v>
      </c>
      <c r="J180" s="84">
        <f t="shared" si="4"/>
        <v>2000310119</v>
      </c>
      <c r="K180" s="84">
        <f t="shared" si="5"/>
        <v>501716</v>
      </c>
      <c r="L180" s="61" t="e">
        <f>VLOOKUP(K180,[1]Mapping!$J$3:$Q$351,8,FALSE)</f>
        <v>#N/A</v>
      </c>
      <c r="M180" t="s">
        <v>83</v>
      </c>
    </row>
    <row r="181" spans="1:13" hidden="1" x14ac:dyDescent="0.35">
      <c r="A181" s="79">
        <v>2000310120</v>
      </c>
      <c r="B181" t="s">
        <v>147</v>
      </c>
      <c r="C181" s="80">
        <v>501050</v>
      </c>
      <c r="D181" t="s">
        <v>39</v>
      </c>
      <c r="E181" s="81">
        <v>1</v>
      </c>
      <c r="F181" t="s">
        <v>19</v>
      </c>
      <c r="G181" s="55">
        <v>9428.42</v>
      </c>
      <c r="H181" s="82">
        <v>9428.42</v>
      </c>
      <c r="I181" s="83" t="str">
        <f>VLOOKUP(E181,[1]Mapping!$A$3:$B$14,2,FALSE)</f>
        <v>Jul</v>
      </c>
      <c r="J181" s="84">
        <f t="shared" si="4"/>
        <v>2000310120</v>
      </c>
      <c r="K181" s="84">
        <f t="shared" si="5"/>
        <v>501050</v>
      </c>
      <c r="L181" s="61" t="str">
        <f>VLOOKUP(K181,[1]Mapping!$J$3:$Q$351,8,FALSE)</f>
        <v>Wages &amp; Salaries</v>
      </c>
      <c r="M181" t="s">
        <v>83</v>
      </c>
    </row>
    <row r="182" spans="1:13" hidden="1" x14ac:dyDescent="0.35">
      <c r="A182" s="79">
        <v>2000310120</v>
      </c>
      <c r="B182" t="s">
        <v>147</v>
      </c>
      <c r="C182" s="80">
        <v>501051</v>
      </c>
      <c r="D182" t="s">
        <v>121</v>
      </c>
      <c r="E182" s="81">
        <v>1</v>
      </c>
      <c r="F182" t="s">
        <v>19</v>
      </c>
      <c r="G182" s="55">
        <v>515.94000000000005</v>
      </c>
      <c r="H182" s="82">
        <v>515.94000000000005</v>
      </c>
      <c r="I182" s="83" t="str">
        <f>VLOOKUP(E182,[1]Mapping!$A$3:$B$14,2,FALSE)</f>
        <v>Jul</v>
      </c>
      <c r="J182" s="84">
        <f t="shared" si="4"/>
        <v>2000310120</v>
      </c>
      <c r="K182" s="84">
        <f t="shared" si="5"/>
        <v>501051</v>
      </c>
      <c r="L182" s="61" t="str">
        <f>VLOOKUP(K182,[1]Mapping!$J$3:$Q$351,8,FALSE)</f>
        <v>Wages &amp; Salaries</v>
      </c>
      <c r="M182" t="s">
        <v>83</v>
      </c>
    </row>
    <row r="183" spans="1:13" hidden="1" x14ac:dyDescent="0.35">
      <c r="A183" s="79">
        <v>2000310120</v>
      </c>
      <c r="B183" t="s">
        <v>147</v>
      </c>
      <c r="C183" s="80">
        <v>501058</v>
      </c>
      <c r="D183" t="s">
        <v>122</v>
      </c>
      <c r="E183" s="81">
        <v>1</v>
      </c>
      <c r="F183" t="s">
        <v>21</v>
      </c>
      <c r="G183" s="55">
        <v>2436.37</v>
      </c>
      <c r="H183" s="82">
        <v>2436.37</v>
      </c>
      <c r="I183" s="83" t="str">
        <f>VLOOKUP(E183,[1]Mapping!$A$3:$B$14,2,FALSE)</f>
        <v>Jul</v>
      </c>
      <c r="J183" s="84">
        <f t="shared" si="4"/>
        <v>2000310120</v>
      </c>
      <c r="K183" s="84">
        <f t="shared" si="5"/>
        <v>501058</v>
      </c>
      <c r="L183" s="61" t="str">
        <f>VLOOKUP(K183,[1]Mapping!$J$3:$Q$351,8,FALSE)</f>
        <v>Fringe Benefits</v>
      </c>
      <c r="M183" t="s">
        <v>83</v>
      </c>
    </row>
    <row r="184" spans="1:13" hidden="1" x14ac:dyDescent="0.35">
      <c r="A184" s="79">
        <v>2000310120</v>
      </c>
      <c r="B184" t="s">
        <v>147</v>
      </c>
      <c r="C184" s="80">
        <v>501062</v>
      </c>
      <c r="D184" t="s">
        <v>41</v>
      </c>
      <c r="E184" s="81">
        <v>1</v>
      </c>
      <c r="F184" t="s">
        <v>21</v>
      </c>
      <c r="G184" s="55">
        <v>2944.21</v>
      </c>
      <c r="H184" s="82">
        <v>2944.21</v>
      </c>
      <c r="I184" s="83" t="str">
        <f>VLOOKUP(E184,[1]Mapping!$A$3:$B$14,2,FALSE)</f>
        <v>Jul</v>
      </c>
      <c r="J184" s="84">
        <f t="shared" si="4"/>
        <v>2000310120</v>
      </c>
      <c r="K184" s="84">
        <f t="shared" si="5"/>
        <v>501062</v>
      </c>
      <c r="L184" s="61" t="str">
        <f>VLOOKUP(K184,[1]Mapping!$J$3:$Q$351,8,FALSE)</f>
        <v>Fringe Benefits</v>
      </c>
      <c r="M184" t="s">
        <v>83</v>
      </c>
    </row>
    <row r="185" spans="1:13" hidden="1" x14ac:dyDescent="0.35">
      <c r="A185" s="79">
        <v>2000310120</v>
      </c>
      <c r="B185" t="s">
        <v>147</v>
      </c>
      <c r="C185" s="80">
        <v>501062</v>
      </c>
      <c r="D185" t="s">
        <v>41</v>
      </c>
      <c r="E185" s="81">
        <v>1</v>
      </c>
      <c r="F185" t="s">
        <v>21</v>
      </c>
      <c r="G185" s="55">
        <v>1051.79</v>
      </c>
      <c r="H185" s="82">
        <v>1051.79</v>
      </c>
      <c r="I185" s="83" t="str">
        <f>VLOOKUP(E185,[1]Mapping!$A$3:$B$14,2,FALSE)</f>
        <v>Jul</v>
      </c>
      <c r="J185" s="84">
        <f t="shared" si="4"/>
        <v>2000310120</v>
      </c>
      <c r="K185" s="84">
        <f t="shared" si="5"/>
        <v>501062</v>
      </c>
      <c r="L185" s="61" t="str">
        <f>VLOOKUP(K185,[1]Mapping!$J$3:$Q$351,8,FALSE)</f>
        <v>Fringe Benefits</v>
      </c>
      <c r="M185" t="s">
        <v>83</v>
      </c>
    </row>
    <row r="186" spans="1:13" hidden="1" x14ac:dyDescent="0.35">
      <c r="A186" s="79">
        <v>2000310120</v>
      </c>
      <c r="B186" t="s">
        <v>147</v>
      </c>
      <c r="C186" s="80">
        <v>501063</v>
      </c>
      <c r="D186" t="s">
        <v>123</v>
      </c>
      <c r="E186" s="81">
        <v>1</v>
      </c>
      <c r="F186" t="s">
        <v>21</v>
      </c>
      <c r="G186" s="55">
        <v>889.17</v>
      </c>
      <c r="H186" s="82">
        <v>889.17</v>
      </c>
      <c r="I186" s="83" t="str">
        <f>VLOOKUP(E186,[1]Mapping!$A$3:$B$14,2,FALSE)</f>
        <v>Jul</v>
      </c>
      <c r="J186" s="84">
        <f t="shared" si="4"/>
        <v>2000310120</v>
      </c>
      <c r="K186" s="84">
        <f t="shared" si="5"/>
        <v>501063</v>
      </c>
      <c r="L186" s="61" t="str">
        <f>VLOOKUP(K186,[1]Mapping!$J$3:$Q$351,8,FALSE)</f>
        <v>Fringe Benefits</v>
      </c>
      <c r="M186" t="s">
        <v>83</v>
      </c>
    </row>
    <row r="187" spans="1:13" hidden="1" x14ac:dyDescent="0.35">
      <c r="A187" s="79">
        <v>2000310120</v>
      </c>
      <c r="B187" t="s">
        <v>147</v>
      </c>
      <c r="C187" s="80">
        <v>501711</v>
      </c>
      <c r="D187" t="s">
        <v>144</v>
      </c>
      <c r="E187" s="81">
        <v>1</v>
      </c>
      <c r="F187" t="s">
        <v>27</v>
      </c>
      <c r="G187" s="55">
        <v>247.68</v>
      </c>
      <c r="H187" s="82">
        <v>247.68</v>
      </c>
      <c r="I187" s="83" t="str">
        <f>VLOOKUP(E187,[1]Mapping!$A$3:$B$14,2,FALSE)</f>
        <v>Jul</v>
      </c>
      <c r="J187" s="84">
        <f t="shared" si="4"/>
        <v>2000310120</v>
      </c>
      <c r="K187" s="84">
        <f t="shared" si="5"/>
        <v>501711</v>
      </c>
      <c r="L187" s="61" t="str">
        <f>VLOOKUP(K187,[1]Mapping!$J$3:$Q$351,8,FALSE)</f>
        <v>Outside Services</v>
      </c>
      <c r="M187" t="s">
        <v>83</v>
      </c>
    </row>
    <row r="188" spans="1:13" hidden="1" x14ac:dyDescent="0.35">
      <c r="A188" s="79">
        <v>2000310120</v>
      </c>
      <c r="B188" t="s">
        <v>147</v>
      </c>
      <c r="C188" s="80">
        <v>501053</v>
      </c>
      <c r="D188" t="s">
        <v>40</v>
      </c>
      <c r="E188" s="81">
        <v>1</v>
      </c>
      <c r="F188" t="s">
        <v>20</v>
      </c>
      <c r="G188" s="55">
        <v>3531.32</v>
      </c>
      <c r="H188" s="82">
        <v>3531.32</v>
      </c>
      <c r="I188" s="83" t="str">
        <f>VLOOKUP(E188,[1]Mapping!$A$3:$B$14,2,FALSE)</f>
        <v>Jul</v>
      </c>
      <c r="J188" s="84">
        <f t="shared" si="4"/>
        <v>2000310120</v>
      </c>
      <c r="K188" s="84">
        <f t="shared" si="5"/>
        <v>501053</v>
      </c>
      <c r="L188" s="61" t="str">
        <f>VLOOKUP(K188,[1]Mapping!$J$3:$Q$351,8,FALSE)</f>
        <v>Overtime</v>
      </c>
      <c r="M188" t="s">
        <v>83</v>
      </c>
    </row>
    <row r="189" spans="1:13" hidden="1" x14ac:dyDescent="0.35">
      <c r="A189" s="79">
        <v>2000310120</v>
      </c>
      <c r="B189" t="s">
        <v>147</v>
      </c>
      <c r="C189" s="80">
        <v>501059</v>
      </c>
      <c r="D189" t="s">
        <v>138</v>
      </c>
      <c r="E189" s="81">
        <v>1</v>
      </c>
      <c r="F189" t="s">
        <v>21</v>
      </c>
      <c r="G189" s="55">
        <v>96.52</v>
      </c>
      <c r="H189" s="82">
        <v>96.52</v>
      </c>
      <c r="I189" s="83" t="str">
        <f>VLOOKUP(E189,[1]Mapping!$A$3:$B$14,2,FALSE)</f>
        <v>Jul</v>
      </c>
      <c r="J189" s="84">
        <f t="shared" si="4"/>
        <v>2000310120</v>
      </c>
      <c r="K189" s="84">
        <f t="shared" si="5"/>
        <v>501059</v>
      </c>
      <c r="L189" s="61" t="str">
        <f>VLOOKUP(K189,[1]Mapping!$J$3:$Q$351,8,FALSE)</f>
        <v>Fringe Benefits</v>
      </c>
      <c r="M189" t="s">
        <v>83</v>
      </c>
    </row>
    <row r="190" spans="1:13" hidden="1" x14ac:dyDescent="0.35">
      <c r="A190" s="79">
        <v>2000310120</v>
      </c>
      <c r="B190" t="s">
        <v>147</v>
      </c>
      <c r="C190" s="80">
        <v>501072</v>
      </c>
      <c r="D190" t="s">
        <v>128</v>
      </c>
      <c r="E190" s="81">
        <v>1</v>
      </c>
      <c r="F190" t="s">
        <v>21</v>
      </c>
      <c r="G190" s="55">
        <v>-182</v>
      </c>
      <c r="H190" s="82">
        <v>-182</v>
      </c>
      <c r="I190" s="83" t="str">
        <f>VLOOKUP(E190,[1]Mapping!$A$3:$B$14,2,FALSE)</f>
        <v>Jul</v>
      </c>
      <c r="J190" s="84">
        <f t="shared" si="4"/>
        <v>2000310120</v>
      </c>
      <c r="K190" s="84">
        <f t="shared" si="5"/>
        <v>501072</v>
      </c>
      <c r="L190" s="61" t="str">
        <f>VLOOKUP(K190,[1]Mapping!$J$3:$Q$351,8,FALSE)</f>
        <v>Fringe Benefits</v>
      </c>
      <c r="M190" t="s">
        <v>83</v>
      </c>
    </row>
    <row r="191" spans="1:13" hidden="1" x14ac:dyDescent="0.35">
      <c r="A191" s="79">
        <v>2000310120</v>
      </c>
      <c r="B191" t="s">
        <v>147</v>
      </c>
      <c r="C191" s="80">
        <v>501073</v>
      </c>
      <c r="D191" t="s">
        <v>129</v>
      </c>
      <c r="E191" s="81">
        <v>1</v>
      </c>
      <c r="F191" t="s">
        <v>21</v>
      </c>
      <c r="G191" s="55">
        <v>-38.220000000000013</v>
      </c>
      <c r="H191" s="82">
        <v>-38.220000000000013</v>
      </c>
      <c r="I191" s="83" t="str">
        <f>VLOOKUP(E191,[1]Mapping!$A$3:$B$14,2,FALSE)</f>
        <v>Jul</v>
      </c>
      <c r="J191" s="84">
        <f t="shared" si="4"/>
        <v>2000310120</v>
      </c>
      <c r="K191" s="84">
        <f t="shared" si="5"/>
        <v>501073</v>
      </c>
      <c r="L191" s="61" t="str">
        <f>VLOOKUP(K191,[1]Mapping!$J$3:$Q$351,8,FALSE)</f>
        <v>Fringe Benefits</v>
      </c>
      <c r="M191" t="s">
        <v>83</v>
      </c>
    </row>
    <row r="192" spans="1:13" hidden="1" x14ac:dyDescent="0.35">
      <c r="A192" s="79">
        <v>2000310120</v>
      </c>
      <c r="B192" t="s">
        <v>147</v>
      </c>
      <c r="C192" s="80">
        <v>600020</v>
      </c>
      <c r="D192" t="s">
        <v>91</v>
      </c>
      <c r="E192" s="81">
        <v>1</v>
      </c>
      <c r="F192" t="s">
        <v>21</v>
      </c>
      <c r="G192" s="55">
        <v>0</v>
      </c>
      <c r="H192" s="82">
        <v>0</v>
      </c>
      <c r="I192" s="83" t="str">
        <f>VLOOKUP(E192,[1]Mapping!$A$3:$B$14,2,FALSE)</f>
        <v>Jul</v>
      </c>
      <c r="J192" s="84">
        <f t="shared" si="4"/>
        <v>2000310120</v>
      </c>
      <c r="K192" s="84">
        <f t="shared" si="5"/>
        <v>600020</v>
      </c>
      <c r="L192" s="61" t="str">
        <f>VLOOKUP(K192,[1]Mapping!$J$3:$Q$351,8,FALSE)</f>
        <v>Fringe Benefits</v>
      </c>
      <c r="M192" t="s">
        <v>83</v>
      </c>
    </row>
    <row r="193" spans="1:13" hidden="1" x14ac:dyDescent="0.35">
      <c r="A193" s="79">
        <v>2000310120</v>
      </c>
      <c r="B193" t="s">
        <v>147</v>
      </c>
      <c r="C193" s="80">
        <v>600055</v>
      </c>
      <c r="D193" t="s">
        <v>92</v>
      </c>
      <c r="E193" s="81">
        <v>1</v>
      </c>
      <c r="F193" t="s">
        <v>21</v>
      </c>
      <c r="G193" s="55">
        <v>0</v>
      </c>
      <c r="H193" s="82">
        <v>0</v>
      </c>
      <c r="I193" s="83" t="str">
        <f>VLOOKUP(E193,[1]Mapping!$A$3:$B$14,2,FALSE)</f>
        <v>Jul</v>
      </c>
      <c r="J193" s="84">
        <f t="shared" si="4"/>
        <v>2000310120</v>
      </c>
      <c r="K193" s="84">
        <f t="shared" si="5"/>
        <v>600055</v>
      </c>
      <c r="L193" s="61" t="str">
        <f>VLOOKUP(K193,[1]Mapping!$J$3:$Q$351,8,FALSE)</f>
        <v>Fringe Benefits</v>
      </c>
      <c r="M193" t="s">
        <v>83</v>
      </c>
    </row>
    <row r="194" spans="1:13" hidden="1" x14ac:dyDescent="0.35">
      <c r="A194" s="79">
        <v>2000310120</v>
      </c>
      <c r="B194" t="s">
        <v>147</v>
      </c>
      <c r="C194" s="80">
        <v>501716</v>
      </c>
      <c r="D194" t="s">
        <v>139</v>
      </c>
      <c r="E194" s="81">
        <v>1</v>
      </c>
      <c r="F194" t="s">
        <v>117</v>
      </c>
      <c r="G194" s="55">
        <v>-20921.2</v>
      </c>
      <c r="H194" s="82">
        <v>-20921.2</v>
      </c>
      <c r="I194" s="83" t="str">
        <f>VLOOKUP(E194,[1]Mapping!$A$3:$B$14,2,FALSE)</f>
        <v>Jul</v>
      </c>
      <c r="J194" s="84">
        <f t="shared" si="4"/>
        <v>2000310120</v>
      </c>
      <c r="K194" s="84">
        <f t="shared" si="5"/>
        <v>501716</v>
      </c>
      <c r="L194" s="61" t="e">
        <f>VLOOKUP(K194,[1]Mapping!$J$3:$Q$351,8,FALSE)</f>
        <v>#N/A</v>
      </c>
      <c r="M194" t="s">
        <v>83</v>
      </c>
    </row>
    <row r="195" spans="1:13" hidden="1" x14ac:dyDescent="0.35">
      <c r="A195" s="79">
        <v>2000310121</v>
      </c>
      <c r="B195" t="s">
        <v>148</v>
      </c>
      <c r="C195" s="80">
        <v>501613</v>
      </c>
      <c r="D195" t="s">
        <v>149</v>
      </c>
      <c r="E195" s="81">
        <v>1</v>
      </c>
      <c r="F195" t="s">
        <v>24</v>
      </c>
      <c r="G195" s="55">
        <v>279.89999999999998</v>
      </c>
      <c r="H195" s="82">
        <v>279.89999999999998</v>
      </c>
      <c r="I195" s="83" t="str">
        <f>VLOOKUP(E195,[1]Mapping!$A$3:$B$14,2,FALSE)</f>
        <v>Jul</v>
      </c>
      <c r="J195" s="84">
        <f t="shared" si="4"/>
        <v>2000310121</v>
      </c>
      <c r="K195" s="84">
        <f t="shared" si="5"/>
        <v>501613</v>
      </c>
      <c r="L195" s="61" t="str">
        <f>VLOOKUP(K195,[1]Mapping!$J$3:$Q$351,8,FALSE)</f>
        <v>Supplies Expenses</v>
      </c>
      <c r="M195" t="s">
        <v>83</v>
      </c>
    </row>
    <row r="196" spans="1:13" hidden="1" x14ac:dyDescent="0.35">
      <c r="A196" s="79">
        <v>2000310121</v>
      </c>
      <c r="B196" t="s">
        <v>148</v>
      </c>
      <c r="C196" s="80">
        <v>501609</v>
      </c>
      <c r="D196" t="s">
        <v>47</v>
      </c>
      <c r="E196" s="81">
        <v>1</v>
      </c>
      <c r="F196" t="s">
        <v>24</v>
      </c>
      <c r="G196" s="55">
        <v>480.13</v>
      </c>
      <c r="H196" s="82">
        <v>480.13</v>
      </c>
      <c r="I196" s="83" t="str">
        <f>VLOOKUP(E196,[1]Mapping!$A$3:$B$14,2,FALSE)</f>
        <v>Jul</v>
      </c>
      <c r="J196" s="84">
        <f t="shared" si="4"/>
        <v>2000310121</v>
      </c>
      <c r="K196" s="84">
        <f t="shared" si="5"/>
        <v>501609</v>
      </c>
      <c r="L196" s="61" t="str">
        <f>VLOOKUP(K196,[1]Mapping!$J$3:$Q$351,8,FALSE)</f>
        <v>Supplies Expenses</v>
      </c>
      <c r="M196" t="s">
        <v>83</v>
      </c>
    </row>
    <row r="197" spans="1:13" hidden="1" x14ac:dyDescent="0.35">
      <c r="A197" s="79">
        <v>2000310121</v>
      </c>
      <c r="B197" t="s">
        <v>148</v>
      </c>
      <c r="C197" s="80">
        <v>508004</v>
      </c>
      <c r="D197" t="s">
        <v>130</v>
      </c>
      <c r="E197" s="81">
        <v>1</v>
      </c>
      <c r="F197" t="s">
        <v>31</v>
      </c>
      <c r="G197" s="55">
        <v>171.36</v>
      </c>
      <c r="H197" s="82">
        <v>171.36</v>
      </c>
      <c r="I197" s="83" t="str">
        <f>VLOOKUP(E197,[1]Mapping!$A$3:$B$14,2,FALSE)</f>
        <v>Jul</v>
      </c>
      <c r="J197" s="84">
        <f t="shared" si="4"/>
        <v>2000310121</v>
      </c>
      <c r="K197" s="84">
        <f t="shared" si="5"/>
        <v>508004</v>
      </c>
      <c r="L197" s="61" t="str">
        <f>VLOOKUP(K197,[1]Mapping!$J$3:$Q$351,8,FALSE)</f>
        <v>Depreciation</v>
      </c>
      <c r="M197" t="s">
        <v>83</v>
      </c>
    </row>
    <row r="198" spans="1:13" hidden="1" x14ac:dyDescent="0.35">
      <c r="A198" s="79">
        <v>2000310121</v>
      </c>
      <c r="B198" t="s">
        <v>148</v>
      </c>
      <c r="C198" s="80">
        <v>501716</v>
      </c>
      <c r="D198" t="s">
        <v>139</v>
      </c>
      <c r="E198" s="81">
        <v>1</v>
      </c>
      <c r="F198" t="s">
        <v>117</v>
      </c>
      <c r="G198" s="55">
        <v>-931.39</v>
      </c>
      <c r="H198" s="82">
        <v>-931.39</v>
      </c>
      <c r="I198" s="83" t="str">
        <f>VLOOKUP(E198,[1]Mapping!$A$3:$B$14,2,FALSE)</f>
        <v>Jul</v>
      </c>
      <c r="J198" s="84">
        <f t="shared" si="4"/>
        <v>2000310121</v>
      </c>
      <c r="K198" s="84">
        <f t="shared" si="5"/>
        <v>501716</v>
      </c>
      <c r="L198" s="61" t="e">
        <f>VLOOKUP(K198,[1]Mapping!$J$3:$Q$351,8,FALSE)</f>
        <v>#N/A</v>
      </c>
      <c r="M198" t="s">
        <v>83</v>
      </c>
    </row>
    <row r="199" spans="1:13" hidden="1" x14ac:dyDescent="0.35">
      <c r="A199" s="79">
        <v>2000310122</v>
      </c>
      <c r="B199" t="s">
        <v>150</v>
      </c>
      <c r="C199" s="80">
        <v>501050</v>
      </c>
      <c r="D199" t="s">
        <v>39</v>
      </c>
      <c r="E199" s="81">
        <v>1</v>
      </c>
      <c r="F199" t="s">
        <v>19</v>
      </c>
      <c r="G199" s="55">
        <v>2624.38</v>
      </c>
      <c r="H199" s="82">
        <v>2624.38</v>
      </c>
      <c r="I199" s="83" t="str">
        <f>VLOOKUP(E199,[1]Mapping!$A$3:$B$14,2,FALSE)</f>
        <v>Jul</v>
      </c>
      <c r="J199" s="84">
        <f t="shared" si="4"/>
        <v>2000310122</v>
      </c>
      <c r="K199" s="84">
        <f t="shared" si="5"/>
        <v>501050</v>
      </c>
      <c r="L199" s="61" t="str">
        <f>VLOOKUP(K199,[1]Mapping!$J$3:$Q$351,8,FALSE)</f>
        <v>Wages &amp; Salaries</v>
      </c>
      <c r="M199" t="s">
        <v>83</v>
      </c>
    </row>
    <row r="200" spans="1:13" hidden="1" x14ac:dyDescent="0.35">
      <c r="A200" s="79">
        <v>2000310122</v>
      </c>
      <c r="B200" t="s">
        <v>150</v>
      </c>
      <c r="C200" s="80">
        <v>501051</v>
      </c>
      <c r="D200" t="s">
        <v>121</v>
      </c>
      <c r="E200" s="81">
        <v>1</v>
      </c>
      <c r="F200" t="s">
        <v>19</v>
      </c>
      <c r="G200" s="55">
        <v>205.88</v>
      </c>
      <c r="H200" s="82">
        <v>205.88</v>
      </c>
      <c r="I200" s="83" t="str">
        <f>VLOOKUP(E200,[1]Mapping!$A$3:$B$14,2,FALSE)</f>
        <v>Jul</v>
      </c>
      <c r="J200" s="84">
        <f t="shared" si="4"/>
        <v>2000310122</v>
      </c>
      <c r="K200" s="84">
        <f t="shared" si="5"/>
        <v>501051</v>
      </c>
      <c r="L200" s="61" t="str">
        <f>VLOOKUP(K200,[1]Mapping!$J$3:$Q$351,8,FALSE)</f>
        <v>Wages &amp; Salaries</v>
      </c>
      <c r="M200" t="s">
        <v>83</v>
      </c>
    </row>
    <row r="201" spans="1:13" hidden="1" x14ac:dyDescent="0.35">
      <c r="A201" s="79">
        <v>2000310122</v>
      </c>
      <c r="B201" t="s">
        <v>150</v>
      </c>
      <c r="C201" s="80">
        <v>501058</v>
      </c>
      <c r="D201" t="s">
        <v>122</v>
      </c>
      <c r="E201" s="81">
        <v>1</v>
      </c>
      <c r="F201" t="s">
        <v>21</v>
      </c>
      <c r="G201" s="55">
        <v>725.95</v>
      </c>
      <c r="H201" s="82">
        <v>725.95</v>
      </c>
      <c r="I201" s="83" t="str">
        <f>VLOOKUP(E201,[1]Mapping!$A$3:$B$14,2,FALSE)</f>
        <v>Jul</v>
      </c>
      <c r="J201" s="84">
        <f t="shared" si="4"/>
        <v>2000310122</v>
      </c>
      <c r="K201" s="84">
        <f t="shared" si="5"/>
        <v>501058</v>
      </c>
      <c r="L201" s="61" t="str">
        <f>VLOOKUP(K201,[1]Mapping!$J$3:$Q$351,8,FALSE)</f>
        <v>Fringe Benefits</v>
      </c>
      <c r="M201" t="s">
        <v>83</v>
      </c>
    </row>
    <row r="202" spans="1:13" hidden="1" x14ac:dyDescent="0.35">
      <c r="A202" s="79">
        <v>2000310122</v>
      </c>
      <c r="B202" t="s">
        <v>150</v>
      </c>
      <c r="C202" s="80">
        <v>501062</v>
      </c>
      <c r="D202" t="s">
        <v>41</v>
      </c>
      <c r="E202" s="81">
        <v>1</v>
      </c>
      <c r="F202" t="s">
        <v>21</v>
      </c>
      <c r="G202" s="55">
        <v>880.19999999999993</v>
      </c>
      <c r="H202" s="82">
        <v>880.19999999999993</v>
      </c>
      <c r="I202" s="83" t="str">
        <f>VLOOKUP(E202,[1]Mapping!$A$3:$B$14,2,FALSE)</f>
        <v>Jul</v>
      </c>
      <c r="J202" s="84">
        <f t="shared" si="4"/>
        <v>2000310122</v>
      </c>
      <c r="K202" s="84">
        <f t="shared" si="5"/>
        <v>501062</v>
      </c>
      <c r="L202" s="61" t="str">
        <f>VLOOKUP(K202,[1]Mapping!$J$3:$Q$351,8,FALSE)</f>
        <v>Fringe Benefits</v>
      </c>
      <c r="M202" t="s">
        <v>83</v>
      </c>
    </row>
    <row r="203" spans="1:13" hidden="1" x14ac:dyDescent="0.35">
      <c r="A203" s="79">
        <v>2000310122</v>
      </c>
      <c r="B203" t="s">
        <v>150</v>
      </c>
      <c r="C203" s="80">
        <v>501062</v>
      </c>
      <c r="D203" t="s">
        <v>41</v>
      </c>
      <c r="E203" s="81">
        <v>1</v>
      </c>
      <c r="F203" t="s">
        <v>21</v>
      </c>
      <c r="G203" s="55">
        <v>368.66999999999996</v>
      </c>
      <c r="H203" s="82">
        <v>368.66999999999996</v>
      </c>
      <c r="I203" s="83" t="str">
        <f>VLOOKUP(E203,[1]Mapping!$A$3:$B$14,2,FALSE)</f>
        <v>Jul</v>
      </c>
      <c r="J203" s="84">
        <f t="shared" ref="J203:J266" si="6">VALUE(A203)</f>
        <v>2000310122</v>
      </c>
      <c r="K203" s="84">
        <f t="shared" ref="K203:K266" si="7">VALUE(C203)</f>
        <v>501062</v>
      </c>
      <c r="L203" s="61" t="str">
        <f>VLOOKUP(K203,[1]Mapping!$J$3:$Q$351,8,FALSE)</f>
        <v>Fringe Benefits</v>
      </c>
      <c r="M203" t="s">
        <v>83</v>
      </c>
    </row>
    <row r="204" spans="1:13" hidden="1" x14ac:dyDescent="0.35">
      <c r="A204" s="79">
        <v>2000310122</v>
      </c>
      <c r="B204" t="s">
        <v>150</v>
      </c>
      <c r="C204" s="80">
        <v>501063</v>
      </c>
      <c r="D204" t="s">
        <v>123</v>
      </c>
      <c r="E204" s="81">
        <v>1</v>
      </c>
      <c r="F204" t="s">
        <v>21</v>
      </c>
      <c r="G204" s="55">
        <v>222.29</v>
      </c>
      <c r="H204" s="82">
        <v>222.29</v>
      </c>
      <c r="I204" s="83" t="str">
        <f>VLOOKUP(E204,[1]Mapping!$A$3:$B$14,2,FALSE)</f>
        <v>Jul</v>
      </c>
      <c r="J204" s="84">
        <f t="shared" si="6"/>
        <v>2000310122</v>
      </c>
      <c r="K204" s="84">
        <f t="shared" si="7"/>
        <v>501063</v>
      </c>
      <c r="L204" s="61" t="str">
        <f>VLOOKUP(K204,[1]Mapping!$J$3:$Q$351,8,FALSE)</f>
        <v>Fringe Benefits</v>
      </c>
      <c r="M204" t="s">
        <v>83</v>
      </c>
    </row>
    <row r="205" spans="1:13" hidden="1" x14ac:dyDescent="0.35">
      <c r="A205" s="79">
        <v>2000310122</v>
      </c>
      <c r="B205" t="s">
        <v>150</v>
      </c>
      <c r="C205" s="80">
        <v>501059</v>
      </c>
      <c r="D205" t="s">
        <v>138</v>
      </c>
      <c r="E205" s="81">
        <v>1</v>
      </c>
      <c r="F205" t="s">
        <v>21</v>
      </c>
      <c r="G205" s="55">
        <v>70.19</v>
      </c>
      <c r="H205" s="82">
        <v>70.19</v>
      </c>
      <c r="I205" s="83" t="str">
        <f>VLOOKUP(E205,[1]Mapping!$A$3:$B$14,2,FALSE)</f>
        <v>Jul</v>
      </c>
      <c r="J205" s="84">
        <f t="shared" si="6"/>
        <v>2000310122</v>
      </c>
      <c r="K205" s="84">
        <f t="shared" si="7"/>
        <v>501059</v>
      </c>
      <c r="L205" s="61" t="str">
        <f>VLOOKUP(K205,[1]Mapping!$J$3:$Q$351,8,FALSE)</f>
        <v>Fringe Benefits</v>
      </c>
      <c r="M205" t="s">
        <v>83</v>
      </c>
    </row>
    <row r="206" spans="1:13" hidden="1" x14ac:dyDescent="0.35">
      <c r="A206" s="79">
        <v>2000310122</v>
      </c>
      <c r="B206" t="s">
        <v>150</v>
      </c>
      <c r="C206" s="80">
        <v>501072</v>
      </c>
      <c r="D206" t="s">
        <v>128</v>
      </c>
      <c r="E206" s="81">
        <v>1</v>
      </c>
      <c r="F206" t="s">
        <v>21</v>
      </c>
      <c r="G206" s="55">
        <v>-1414.1100000000001</v>
      </c>
      <c r="H206" s="82">
        <v>-1414.1100000000001</v>
      </c>
      <c r="I206" s="83" t="str">
        <f>VLOOKUP(E206,[1]Mapping!$A$3:$B$14,2,FALSE)</f>
        <v>Jul</v>
      </c>
      <c r="J206" s="84">
        <f t="shared" si="6"/>
        <v>2000310122</v>
      </c>
      <c r="K206" s="84">
        <f t="shared" si="7"/>
        <v>501072</v>
      </c>
      <c r="L206" s="61" t="str">
        <f>VLOOKUP(K206,[1]Mapping!$J$3:$Q$351,8,FALSE)</f>
        <v>Fringe Benefits</v>
      </c>
      <c r="M206" t="s">
        <v>83</v>
      </c>
    </row>
    <row r="207" spans="1:13" hidden="1" x14ac:dyDescent="0.35">
      <c r="A207" s="79">
        <v>2000310122</v>
      </c>
      <c r="B207" t="s">
        <v>150</v>
      </c>
      <c r="C207" s="80">
        <v>501073</v>
      </c>
      <c r="D207" t="s">
        <v>129</v>
      </c>
      <c r="E207" s="81">
        <v>1</v>
      </c>
      <c r="F207" t="s">
        <v>21</v>
      </c>
      <c r="G207" s="55">
        <v>-296.96000000000004</v>
      </c>
      <c r="H207" s="82">
        <v>-296.96000000000004</v>
      </c>
      <c r="I207" s="83" t="str">
        <f>VLOOKUP(E207,[1]Mapping!$A$3:$B$14,2,FALSE)</f>
        <v>Jul</v>
      </c>
      <c r="J207" s="84">
        <f t="shared" si="6"/>
        <v>2000310122</v>
      </c>
      <c r="K207" s="84">
        <f t="shared" si="7"/>
        <v>501073</v>
      </c>
      <c r="L207" s="61" t="str">
        <f>VLOOKUP(K207,[1]Mapping!$J$3:$Q$351,8,FALSE)</f>
        <v>Fringe Benefits</v>
      </c>
      <c r="M207" t="s">
        <v>83</v>
      </c>
    </row>
    <row r="208" spans="1:13" hidden="1" x14ac:dyDescent="0.35">
      <c r="A208" s="79">
        <v>2000310122</v>
      </c>
      <c r="B208" t="s">
        <v>150</v>
      </c>
      <c r="C208" s="80">
        <v>600020</v>
      </c>
      <c r="D208" t="s">
        <v>91</v>
      </c>
      <c r="E208" s="81">
        <v>1</v>
      </c>
      <c r="F208" t="s">
        <v>21</v>
      </c>
      <c r="G208" s="55">
        <v>0</v>
      </c>
      <c r="H208" s="82">
        <v>0</v>
      </c>
      <c r="I208" s="83" t="str">
        <f>VLOOKUP(E208,[1]Mapping!$A$3:$B$14,2,FALSE)</f>
        <v>Jul</v>
      </c>
      <c r="J208" s="84">
        <f t="shared" si="6"/>
        <v>2000310122</v>
      </c>
      <c r="K208" s="84">
        <f t="shared" si="7"/>
        <v>600020</v>
      </c>
      <c r="L208" s="61" t="str">
        <f>VLOOKUP(K208,[1]Mapping!$J$3:$Q$351,8,FALSE)</f>
        <v>Fringe Benefits</v>
      </c>
      <c r="M208" t="s">
        <v>83</v>
      </c>
    </row>
    <row r="209" spans="1:13" hidden="1" x14ac:dyDescent="0.35">
      <c r="A209" s="79">
        <v>2000310122</v>
      </c>
      <c r="B209" t="s">
        <v>150</v>
      </c>
      <c r="C209" s="80">
        <v>600055</v>
      </c>
      <c r="D209" t="s">
        <v>92</v>
      </c>
      <c r="E209" s="81">
        <v>1</v>
      </c>
      <c r="F209" t="s">
        <v>21</v>
      </c>
      <c r="G209" s="55">
        <v>0</v>
      </c>
      <c r="H209" s="82">
        <v>0</v>
      </c>
      <c r="I209" s="83" t="str">
        <f>VLOOKUP(E209,[1]Mapping!$A$3:$B$14,2,FALSE)</f>
        <v>Jul</v>
      </c>
      <c r="J209" s="84">
        <f t="shared" si="6"/>
        <v>2000310122</v>
      </c>
      <c r="K209" s="84">
        <f t="shared" si="7"/>
        <v>600055</v>
      </c>
      <c r="L209" s="61" t="str">
        <f>VLOOKUP(K209,[1]Mapping!$J$3:$Q$351,8,FALSE)</f>
        <v>Fringe Benefits</v>
      </c>
      <c r="M209" t="s">
        <v>83</v>
      </c>
    </row>
    <row r="210" spans="1:13" hidden="1" x14ac:dyDescent="0.35">
      <c r="A210" s="79">
        <v>2000310122</v>
      </c>
      <c r="B210" t="s">
        <v>150</v>
      </c>
      <c r="C210" s="80">
        <v>501716</v>
      </c>
      <c r="D210" t="s">
        <v>139</v>
      </c>
      <c r="E210" s="81">
        <v>1</v>
      </c>
      <c r="F210" t="s">
        <v>117</v>
      </c>
      <c r="G210" s="55">
        <v>-3386.49</v>
      </c>
      <c r="H210" s="82">
        <v>-3386.49</v>
      </c>
      <c r="I210" s="83" t="str">
        <f>VLOOKUP(E210,[1]Mapping!$A$3:$B$14,2,FALSE)</f>
        <v>Jul</v>
      </c>
      <c r="J210" s="84">
        <f t="shared" si="6"/>
        <v>2000310122</v>
      </c>
      <c r="K210" s="84">
        <f t="shared" si="7"/>
        <v>501716</v>
      </c>
      <c r="L210" s="61" t="e">
        <f>VLOOKUP(K210,[1]Mapping!$J$3:$Q$351,8,FALSE)</f>
        <v>#N/A</v>
      </c>
      <c r="M210" t="s">
        <v>83</v>
      </c>
    </row>
    <row r="211" spans="1:13" hidden="1" x14ac:dyDescent="0.35">
      <c r="A211" s="79">
        <v>2000310123</v>
      </c>
      <c r="B211" t="s">
        <v>151</v>
      </c>
      <c r="C211" s="80">
        <v>501050</v>
      </c>
      <c r="D211" t="s">
        <v>39</v>
      </c>
      <c r="E211" s="81">
        <v>1</v>
      </c>
      <c r="F211" t="s">
        <v>19</v>
      </c>
      <c r="G211" s="55">
        <v>105522.5</v>
      </c>
      <c r="H211" s="82">
        <v>105522.5</v>
      </c>
      <c r="I211" s="83" t="str">
        <f>VLOOKUP(E211,[1]Mapping!$A$3:$B$14,2,FALSE)</f>
        <v>Jul</v>
      </c>
      <c r="J211" s="84">
        <f t="shared" si="6"/>
        <v>2000310123</v>
      </c>
      <c r="K211" s="84">
        <f t="shared" si="7"/>
        <v>501050</v>
      </c>
      <c r="L211" s="61" t="str">
        <f>VLOOKUP(K211,[1]Mapping!$J$3:$Q$351,8,FALSE)</f>
        <v>Wages &amp; Salaries</v>
      </c>
      <c r="M211" t="s">
        <v>83</v>
      </c>
    </row>
    <row r="212" spans="1:13" hidden="1" x14ac:dyDescent="0.35">
      <c r="A212" s="79">
        <v>2000310123</v>
      </c>
      <c r="B212" t="s">
        <v>151</v>
      </c>
      <c r="C212" s="80">
        <v>501051</v>
      </c>
      <c r="D212" t="s">
        <v>121</v>
      </c>
      <c r="E212" s="81">
        <v>1</v>
      </c>
      <c r="F212" t="s">
        <v>19</v>
      </c>
      <c r="G212" s="55">
        <v>7360.72</v>
      </c>
      <c r="H212" s="82">
        <v>7360.72</v>
      </c>
      <c r="I212" s="83" t="str">
        <f>VLOOKUP(E212,[1]Mapping!$A$3:$B$14,2,FALSE)</f>
        <v>Jul</v>
      </c>
      <c r="J212" s="84">
        <f t="shared" si="6"/>
        <v>2000310123</v>
      </c>
      <c r="K212" s="84">
        <f t="shared" si="7"/>
        <v>501051</v>
      </c>
      <c r="L212" s="61" t="str">
        <f>VLOOKUP(K212,[1]Mapping!$J$3:$Q$351,8,FALSE)</f>
        <v>Wages &amp; Salaries</v>
      </c>
      <c r="M212" t="s">
        <v>83</v>
      </c>
    </row>
    <row r="213" spans="1:13" hidden="1" x14ac:dyDescent="0.35">
      <c r="A213" s="79">
        <v>2000310123</v>
      </c>
      <c r="B213" t="s">
        <v>151</v>
      </c>
      <c r="C213" s="80">
        <v>501058</v>
      </c>
      <c r="D213" t="s">
        <v>122</v>
      </c>
      <c r="E213" s="81">
        <v>1</v>
      </c>
      <c r="F213" t="s">
        <v>21</v>
      </c>
      <c r="G213" s="55">
        <v>24223.15</v>
      </c>
      <c r="H213" s="82">
        <v>24223.15</v>
      </c>
      <c r="I213" s="83" t="str">
        <f>VLOOKUP(E213,[1]Mapping!$A$3:$B$14,2,FALSE)</f>
        <v>Jul</v>
      </c>
      <c r="J213" s="84">
        <f t="shared" si="6"/>
        <v>2000310123</v>
      </c>
      <c r="K213" s="84">
        <f t="shared" si="7"/>
        <v>501058</v>
      </c>
      <c r="L213" s="61" t="str">
        <f>VLOOKUP(K213,[1]Mapping!$J$3:$Q$351,8,FALSE)</f>
        <v>Fringe Benefits</v>
      </c>
      <c r="M213" t="s">
        <v>83</v>
      </c>
    </row>
    <row r="214" spans="1:13" hidden="1" x14ac:dyDescent="0.35">
      <c r="A214" s="79">
        <v>2000310123</v>
      </c>
      <c r="B214" t="s">
        <v>151</v>
      </c>
      <c r="C214" s="80">
        <v>501062</v>
      </c>
      <c r="D214" t="s">
        <v>41</v>
      </c>
      <c r="E214" s="81">
        <v>1</v>
      </c>
      <c r="F214" t="s">
        <v>21</v>
      </c>
      <c r="G214" s="55">
        <v>37146.92</v>
      </c>
      <c r="H214" s="82">
        <v>37146.92</v>
      </c>
      <c r="I214" s="83" t="str">
        <f>VLOOKUP(E214,[1]Mapping!$A$3:$B$14,2,FALSE)</f>
        <v>Jul</v>
      </c>
      <c r="J214" s="84">
        <f t="shared" si="6"/>
        <v>2000310123</v>
      </c>
      <c r="K214" s="84">
        <f t="shared" si="7"/>
        <v>501062</v>
      </c>
      <c r="L214" s="61" t="str">
        <f>VLOOKUP(K214,[1]Mapping!$J$3:$Q$351,8,FALSE)</f>
        <v>Fringe Benefits</v>
      </c>
      <c r="M214" t="s">
        <v>83</v>
      </c>
    </row>
    <row r="215" spans="1:13" hidden="1" x14ac:dyDescent="0.35">
      <c r="A215" s="79">
        <v>2000310123</v>
      </c>
      <c r="B215" t="s">
        <v>151</v>
      </c>
      <c r="C215" s="80">
        <v>501062</v>
      </c>
      <c r="D215" t="s">
        <v>41</v>
      </c>
      <c r="E215" s="81">
        <v>1</v>
      </c>
      <c r="F215" t="s">
        <v>21</v>
      </c>
      <c r="G215" s="55">
        <v>13603.720000000001</v>
      </c>
      <c r="H215" s="82">
        <v>13603.720000000001</v>
      </c>
      <c r="I215" s="83" t="str">
        <f>VLOOKUP(E215,[1]Mapping!$A$3:$B$14,2,FALSE)</f>
        <v>Jul</v>
      </c>
      <c r="J215" s="84">
        <f t="shared" si="6"/>
        <v>2000310123</v>
      </c>
      <c r="K215" s="84">
        <f t="shared" si="7"/>
        <v>501062</v>
      </c>
      <c r="L215" s="61" t="str">
        <f>VLOOKUP(K215,[1]Mapping!$J$3:$Q$351,8,FALSE)</f>
        <v>Fringe Benefits</v>
      </c>
      <c r="M215" t="s">
        <v>83</v>
      </c>
    </row>
    <row r="216" spans="1:13" hidden="1" x14ac:dyDescent="0.35">
      <c r="A216" s="79">
        <v>2000310123</v>
      </c>
      <c r="B216" t="s">
        <v>151</v>
      </c>
      <c r="C216" s="80">
        <v>501808</v>
      </c>
      <c r="D216" t="s">
        <v>113</v>
      </c>
      <c r="E216" s="81">
        <v>1</v>
      </c>
      <c r="F216" t="s">
        <v>23</v>
      </c>
      <c r="G216" s="55">
        <v>59.35</v>
      </c>
      <c r="H216" s="82">
        <v>59.35</v>
      </c>
      <c r="I216" s="83" t="str">
        <f>VLOOKUP(E216,[1]Mapping!$A$3:$B$14,2,FALSE)</f>
        <v>Jul</v>
      </c>
      <c r="J216" s="84">
        <f t="shared" si="6"/>
        <v>2000310123</v>
      </c>
      <c r="K216" s="84">
        <f t="shared" si="7"/>
        <v>501808</v>
      </c>
      <c r="L216" s="61" t="str">
        <f>VLOOKUP(K216,[1]Mapping!$J$3:$Q$351,8,FALSE)</f>
        <v>Travel &amp; Entertainment</v>
      </c>
      <c r="M216" t="s">
        <v>83</v>
      </c>
    </row>
    <row r="217" spans="1:13" hidden="1" x14ac:dyDescent="0.35">
      <c r="A217" s="79">
        <v>2000310123</v>
      </c>
      <c r="B217" t="s">
        <v>151</v>
      </c>
      <c r="C217" s="80">
        <v>501063</v>
      </c>
      <c r="D217" t="s">
        <v>123</v>
      </c>
      <c r="E217" s="81">
        <v>1</v>
      </c>
      <c r="F217" t="s">
        <v>21</v>
      </c>
      <c r="G217" s="55">
        <v>7383.3</v>
      </c>
      <c r="H217" s="82">
        <v>7383.3</v>
      </c>
      <c r="I217" s="83" t="str">
        <f>VLOOKUP(E217,[1]Mapping!$A$3:$B$14,2,FALSE)</f>
        <v>Jul</v>
      </c>
      <c r="J217" s="84">
        <f t="shared" si="6"/>
        <v>2000310123</v>
      </c>
      <c r="K217" s="84">
        <f t="shared" si="7"/>
        <v>501063</v>
      </c>
      <c r="L217" s="61" t="str">
        <f>VLOOKUP(K217,[1]Mapping!$J$3:$Q$351,8,FALSE)</f>
        <v>Fringe Benefits</v>
      </c>
      <c r="M217" t="s">
        <v>83</v>
      </c>
    </row>
    <row r="218" spans="1:13" hidden="1" x14ac:dyDescent="0.35">
      <c r="A218" s="79">
        <v>2000310123</v>
      </c>
      <c r="B218" t="s">
        <v>151</v>
      </c>
      <c r="C218" s="80">
        <v>600030</v>
      </c>
      <c r="D218" t="s">
        <v>110</v>
      </c>
      <c r="E218" s="81">
        <v>1</v>
      </c>
      <c r="F218" t="s">
        <v>23</v>
      </c>
      <c r="G218" s="55">
        <v>-18.21</v>
      </c>
      <c r="H218" s="82">
        <v>-18.21</v>
      </c>
      <c r="I218" s="83" t="str">
        <f>VLOOKUP(E218,[1]Mapping!$A$3:$B$14,2,FALSE)</f>
        <v>Jul</v>
      </c>
      <c r="J218" s="84">
        <f t="shared" si="6"/>
        <v>2000310123</v>
      </c>
      <c r="K218" s="84">
        <f t="shared" si="7"/>
        <v>600030</v>
      </c>
      <c r="L218" s="61" t="str">
        <f>VLOOKUP(K218,[1]Mapping!$J$3:$Q$351,8,FALSE)</f>
        <v>Travel &amp; Entertainment</v>
      </c>
      <c r="M218" t="s">
        <v>83</v>
      </c>
    </row>
    <row r="219" spans="1:13" hidden="1" x14ac:dyDescent="0.35">
      <c r="A219" s="79">
        <v>2000310123</v>
      </c>
      <c r="B219" t="s">
        <v>151</v>
      </c>
      <c r="C219" s="80">
        <v>600030</v>
      </c>
      <c r="D219" t="s">
        <v>110</v>
      </c>
      <c r="E219" s="81">
        <v>1</v>
      </c>
      <c r="F219" t="s">
        <v>23</v>
      </c>
      <c r="G219" s="55">
        <v>18.21</v>
      </c>
      <c r="H219" s="82">
        <v>18.21</v>
      </c>
      <c r="I219" s="83" t="str">
        <f>VLOOKUP(E219,[1]Mapping!$A$3:$B$14,2,FALSE)</f>
        <v>Jul</v>
      </c>
      <c r="J219" s="84">
        <f t="shared" si="6"/>
        <v>2000310123</v>
      </c>
      <c r="K219" s="84">
        <f t="shared" si="7"/>
        <v>600030</v>
      </c>
      <c r="L219" s="61" t="str">
        <f>VLOOKUP(K219,[1]Mapping!$J$3:$Q$351,8,FALSE)</f>
        <v>Travel &amp; Entertainment</v>
      </c>
      <c r="M219" t="s">
        <v>83</v>
      </c>
    </row>
    <row r="220" spans="1:13" hidden="1" x14ac:dyDescent="0.35">
      <c r="A220" s="79">
        <v>2000310123</v>
      </c>
      <c r="B220" t="s">
        <v>151</v>
      </c>
      <c r="C220" s="80">
        <v>600043</v>
      </c>
      <c r="D220" t="s">
        <v>102</v>
      </c>
      <c r="E220" s="81">
        <v>1</v>
      </c>
      <c r="F220" t="s">
        <v>23</v>
      </c>
      <c r="G220" s="55">
        <v>-41.14</v>
      </c>
      <c r="H220" s="82">
        <v>-41.14</v>
      </c>
      <c r="I220" s="83" t="str">
        <f>VLOOKUP(E220,[1]Mapping!$A$3:$B$14,2,FALSE)</f>
        <v>Jul</v>
      </c>
      <c r="J220" s="84">
        <f t="shared" si="6"/>
        <v>2000310123</v>
      </c>
      <c r="K220" s="84">
        <f t="shared" si="7"/>
        <v>600043</v>
      </c>
      <c r="L220" s="61" t="str">
        <f>VLOOKUP(K220,[1]Mapping!$J$3:$Q$351,8,FALSE)</f>
        <v>Travel &amp; Entertainment</v>
      </c>
      <c r="M220" t="s">
        <v>83</v>
      </c>
    </row>
    <row r="221" spans="1:13" hidden="1" x14ac:dyDescent="0.35">
      <c r="A221" s="79">
        <v>2000310123</v>
      </c>
      <c r="B221" t="s">
        <v>151</v>
      </c>
      <c r="C221" s="80">
        <v>600043</v>
      </c>
      <c r="D221" t="s">
        <v>102</v>
      </c>
      <c r="E221" s="81">
        <v>1</v>
      </c>
      <c r="F221" t="s">
        <v>23</v>
      </c>
      <c r="G221" s="55">
        <v>41.139999999999986</v>
      </c>
      <c r="H221" s="82">
        <v>41.139999999999986</v>
      </c>
      <c r="I221" s="83" t="str">
        <f>VLOOKUP(E221,[1]Mapping!$A$3:$B$14,2,FALSE)</f>
        <v>Jul</v>
      </c>
      <c r="J221" s="84">
        <f t="shared" si="6"/>
        <v>2000310123</v>
      </c>
      <c r="K221" s="84">
        <f t="shared" si="7"/>
        <v>600043</v>
      </c>
      <c r="L221" s="61" t="str">
        <f>VLOOKUP(K221,[1]Mapping!$J$3:$Q$351,8,FALSE)</f>
        <v>Travel &amp; Entertainment</v>
      </c>
      <c r="M221" t="s">
        <v>83</v>
      </c>
    </row>
    <row r="222" spans="1:13" hidden="1" x14ac:dyDescent="0.35">
      <c r="A222" s="79">
        <v>2000310123</v>
      </c>
      <c r="B222" t="s">
        <v>151</v>
      </c>
      <c r="C222" s="80">
        <v>501053</v>
      </c>
      <c r="D222" t="s">
        <v>40</v>
      </c>
      <c r="E222" s="81">
        <v>1</v>
      </c>
      <c r="F222" t="s">
        <v>20</v>
      </c>
      <c r="G222" s="55">
        <v>5620.31</v>
      </c>
      <c r="H222" s="82">
        <v>5620.31</v>
      </c>
      <c r="I222" s="83" t="str">
        <f>VLOOKUP(E222,[1]Mapping!$A$3:$B$14,2,FALSE)</f>
        <v>Jul</v>
      </c>
      <c r="J222" s="84">
        <f t="shared" si="6"/>
        <v>2000310123</v>
      </c>
      <c r="K222" s="84">
        <f t="shared" si="7"/>
        <v>501053</v>
      </c>
      <c r="L222" s="61" t="str">
        <f>VLOOKUP(K222,[1]Mapping!$J$3:$Q$351,8,FALSE)</f>
        <v>Overtime</v>
      </c>
      <c r="M222" t="s">
        <v>83</v>
      </c>
    </row>
    <row r="223" spans="1:13" hidden="1" x14ac:dyDescent="0.35">
      <c r="A223" s="79">
        <v>2000310123</v>
      </c>
      <c r="B223" t="s">
        <v>151</v>
      </c>
      <c r="C223" s="80">
        <v>501059</v>
      </c>
      <c r="D223" t="s">
        <v>138</v>
      </c>
      <c r="E223" s="81">
        <v>1</v>
      </c>
      <c r="F223" t="s">
        <v>21</v>
      </c>
      <c r="G223" s="55">
        <v>6010.2900000000009</v>
      </c>
      <c r="H223" s="82">
        <v>6010.2900000000009</v>
      </c>
      <c r="I223" s="83" t="str">
        <f>VLOOKUP(E223,[1]Mapping!$A$3:$B$14,2,FALSE)</f>
        <v>Jul</v>
      </c>
      <c r="J223" s="84">
        <f t="shared" si="6"/>
        <v>2000310123</v>
      </c>
      <c r="K223" s="84">
        <f t="shared" si="7"/>
        <v>501059</v>
      </c>
      <c r="L223" s="61" t="str">
        <f>VLOOKUP(K223,[1]Mapping!$J$3:$Q$351,8,FALSE)</f>
        <v>Fringe Benefits</v>
      </c>
      <c r="M223" t="s">
        <v>83</v>
      </c>
    </row>
    <row r="224" spans="1:13" hidden="1" x14ac:dyDescent="0.35">
      <c r="A224" s="79">
        <v>2000310123</v>
      </c>
      <c r="B224" t="s">
        <v>151</v>
      </c>
      <c r="C224" s="80">
        <v>501803</v>
      </c>
      <c r="D224" t="s">
        <v>145</v>
      </c>
      <c r="E224" s="81">
        <v>1</v>
      </c>
      <c r="F224" t="s">
        <v>22</v>
      </c>
      <c r="G224" s="55">
        <v>16.010000000000002</v>
      </c>
      <c r="H224" s="82">
        <v>16.010000000000002</v>
      </c>
      <c r="I224" s="83" t="str">
        <f>VLOOKUP(E224,[1]Mapping!$A$3:$B$14,2,FALSE)</f>
        <v>Jul</v>
      </c>
      <c r="J224" s="84">
        <f t="shared" si="6"/>
        <v>2000310123</v>
      </c>
      <c r="K224" s="84">
        <f t="shared" si="7"/>
        <v>501803</v>
      </c>
      <c r="L224" s="61" t="str">
        <f>VLOOKUP(K224,[1]Mapping!$J$3:$Q$351,8,FALSE)</f>
        <v>Employee Related Expenses</v>
      </c>
      <c r="M224" t="s">
        <v>83</v>
      </c>
    </row>
    <row r="225" spans="1:13" hidden="1" x14ac:dyDescent="0.35">
      <c r="A225" s="79">
        <v>2000310123</v>
      </c>
      <c r="B225" t="s">
        <v>151</v>
      </c>
      <c r="C225" s="80">
        <v>501072</v>
      </c>
      <c r="D225" t="s">
        <v>128</v>
      </c>
      <c r="E225" s="81">
        <v>1</v>
      </c>
      <c r="F225" t="s">
        <v>21</v>
      </c>
      <c r="G225" s="55">
        <v>-7338.3499999999995</v>
      </c>
      <c r="H225" s="82">
        <v>-7338.3499999999995</v>
      </c>
      <c r="I225" s="83" t="str">
        <f>VLOOKUP(E225,[1]Mapping!$A$3:$B$14,2,FALSE)</f>
        <v>Jul</v>
      </c>
      <c r="J225" s="84">
        <f t="shared" si="6"/>
        <v>2000310123</v>
      </c>
      <c r="K225" s="84">
        <f t="shared" si="7"/>
        <v>501072</v>
      </c>
      <c r="L225" s="61" t="str">
        <f>VLOOKUP(K225,[1]Mapping!$J$3:$Q$351,8,FALSE)</f>
        <v>Fringe Benefits</v>
      </c>
      <c r="M225" t="s">
        <v>83</v>
      </c>
    </row>
    <row r="226" spans="1:13" hidden="1" x14ac:dyDescent="0.35">
      <c r="A226" s="79">
        <v>2000310123</v>
      </c>
      <c r="B226" t="s">
        <v>151</v>
      </c>
      <c r="C226" s="80">
        <v>501073</v>
      </c>
      <c r="D226" t="s">
        <v>129</v>
      </c>
      <c r="E226" s="81">
        <v>1</v>
      </c>
      <c r="F226" t="s">
        <v>21</v>
      </c>
      <c r="G226" s="55">
        <v>-1541.0600000000002</v>
      </c>
      <c r="H226" s="82">
        <v>-1541.0600000000002</v>
      </c>
      <c r="I226" s="83" t="str">
        <f>VLOOKUP(E226,[1]Mapping!$A$3:$B$14,2,FALSE)</f>
        <v>Jul</v>
      </c>
      <c r="J226" s="84">
        <f t="shared" si="6"/>
        <v>2000310123</v>
      </c>
      <c r="K226" s="84">
        <f t="shared" si="7"/>
        <v>501073</v>
      </c>
      <c r="L226" s="61" t="str">
        <f>VLOOKUP(K226,[1]Mapping!$J$3:$Q$351,8,FALSE)</f>
        <v>Fringe Benefits</v>
      </c>
      <c r="M226" t="s">
        <v>83</v>
      </c>
    </row>
    <row r="227" spans="1:13" hidden="1" x14ac:dyDescent="0.35">
      <c r="A227" s="79">
        <v>2000310123</v>
      </c>
      <c r="B227" t="s">
        <v>151</v>
      </c>
      <c r="C227" s="80">
        <v>600020</v>
      </c>
      <c r="D227" t="s">
        <v>91</v>
      </c>
      <c r="E227" s="81">
        <v>1</v>
      </c>
      <c r="F227" t="s">
        <v>21</v>
      </c>
      <c r="G227" s="86">
        <v>0</v>
      </c>
      <c r="H227" s="82">
        <v>0</v>
      </c>
      <c r="I227" s="83" t="str">
        <f>VLOOKUP(E227,[1]Mapping!$A$3:$B$14,2,FALSE)</f>
        <v>Jul</v>
      </c>
      <c r="J227" s="84">
        <f t="shared" si="6"/>
        <v>2000310123</v>
      </c>
      <c r="K227" s="84">
        <f t="shared" si="7"/>
        <v>600020</v>
      </c>
      <c r="L227" s="61" t="str">
        <f>VLOOKUP(K227,[1]Mapping!$J$3:$Q$351,8,FALSE)</f>
        <v>Fringe Benefits</v>
      </c>
      <c r="M227" t="s">
        <v>83</v>
      </c>
    </row>
    <row r="228" spans="1:13" hidden="1" x14ac:dyDescent="0.35">
      <c r="A228" s="79">
        <v>2000310123</v>
      </c>
      <c r="B228" t="s">
        <v>151</v>
      </c>
      <c r="C228" s="80">
        <v>600055</v>
      </c>
      <c r="D228" t="s">
        <v>92</v>
      </c>
      <c r="E228" s="81">
        <v>1</v>
      </c>
      <c r="F228" t="s">
        <v>21</v>
      </c>
      <c r="G228" s="86">
        <v>0</v>
      </c>
      <c r="H228" s="82">
        <v>0</v>
      </c>
      <c r="I228" s="83" t="str">
        <f>VLOOKUP(E228,[1]Mapping!$A$3:$B$14,2,FALSE)</f>
        <v>Jul</v>
      </c>
      <c r="J228" s="84">
        <f t="shared" si="6"/>
        <v>2000310123</v>
      </c>
      <c r="K228" s="84">
        <f t="shared" si="7"/>
        <v>600055</v>
      </c>
      <c r="L228" s="61" t="str">
        <f>VLOOKUP(K228,[1]Mapping!$J$3:$Q$351,8,FALSE)</f>
        <v>Fringe Benefits</v>
      </c>
      <c r="M228" t="s">
        <v>83</v>
      </c>
    </row>
    <row r="229" spans="1:13" hidden="1" x14ac:dyDescent="0.35">
      <c r="A229" s="79">
        <v>2000310123</v>
      </c>
      <c r="B229" t="s">
        <v>151</v>
      </c>
      <c r="C229" s="80">
        <v>501055</v>
      </c>
      <c r="D229" t="s">
        <v>132</v>
      </c>
      <c r="E229" s="81">
        <v>1</v>
      </c>
      <c r="F229" t="s">
        <v>19</v>
      </c>
      <c r="G229" s="55">
        <v>-103.39</v>
      </c>
      <c r="H229" s="82">
        <v>-103.39</v>
      </c>
      <c r="I229" s="83" t="str">
        <f>VLOOKUP(E229,[1]Mapping!$A$3:$B$14,2,FALSE)</f>
        <v>Jul</v>
      </c>
      <c r="J229" s="84">
        <f t="shared" si="6"/>
        <v>2000310123</v>
      </c>
      <c r="K229" s="84">
        <f t="shared" si="7"/>
        <v>501055</v>
      </c>
      <c r="L229" s="61" t="str">
        <f>VLOOKUP(K229,[1]Mapping!$J$3:$Q$351,8,FALSE)</f>
        <v>Wages &amp; Salaries</v>
      </c>
      <c r="M229" t="s">
        <v>83</v>
      </c>
    </row>
    <row r="230" spans="1:13" hidden="1" x14ac:dyDescent="0.35">
      <c r="A230" s="79">
        <v>2000310123</v>
      </c>
      <c r="B230" t="s">
        <v>151</v>
      </c>
      <c r="C230" s="80">
        <v>501805</v>
      </c>
      <c r="D230" t="s">
        <v>152</v>
      </c>
      <c r="E230" s="81">
        <v>1</v>
      </c>
      <c r="F230" t="s">
        <v>22</v>
      </c>
      <c r="G230" s="55">
        <v>534.61</v>
      </c>
      <c r="H230" s="82">
        <v>534.61</v>
      </c>
      <c r="I230" s="83" t="str">
        <f>VLOOKUP(E230,[1]Mapping!$A$3:$B$14,2,FALSE)</f>
        <v>Jul</v>
      </c>
      <c r="J230" s="84">
        <f t="shared" si="6"/>
        <v>2000310123</v>
      </c>
      <c r="K230" s="84">
        <f t="shared" si="7"/>
        <v>501805</v>
      </c>
      <c r="L230" s="61" t="str">
        <f>VLOOKUP(K230,[1]Mapping!$J$3:$Q$351,8,FALSE)</f>
        <v>Employee Related Expenses</v>
      </c>
      <c r="M230" t="s">
        <v>83</v>
      </c>
    </row>
    <row r="231" spans="1:13" hidden="1" x14ac:dyDescent="0.35">
      <c r="A231" s="79">
        <v>2000310123</v>
      </c>
      <c r="B231" t="s">
        <v>151</v>
      </c>
      <c r="C231" s="80">
        <v>501716</v>
      </c>
      <c r="D231" t="s">
        <v>139</v>
      </c>
      <c r="E231" s="81">
        <v>1</v>
      </c>
      <c r="F231" t="s">
        <v>117</v>
      </c>
      <c r="G231" s="55">
        <v>-199281.41</v>
      </c>
      <c r="H231" s="82">
        <v>-199281.41</v>
      </c>
      <c r="I231" s="83" t="str">
        <f>VLOOKUP(E231,[1]Mapping!$A$3:$B$14,2,FALSE)</f>
        <v>Jul</v>
      </c>
      <c r="J231" s="84">
        <f t="shared" si="6"/>
        <v>2000310123</v>
      </c>
      <c r="K231" s="84">
        <f t="shared" si="7"/>
        <v>501716</v>
      </c>
      <c r="L231" s="61" t="e">
        <f>VLOOKUP(K231,[1]Mapping!$J$3:$Q$351,8,FALSE)</f>
        <v>#N/A</v>
      </c>
      <c r="M231" t="s">
        <v>83</v>
      </c>
    </row>
    <row r="232" spans="1:13" hidden="1" x14ac:dyDescent="0.35">
      <c r="A232" s="79">
        <v>2000310123</v>
      </c>
      <c r="B232" t="s">
        <v>151</v>
      </c>
      <c r="C232" s="80">
        <v>501257</v>
      </c>
      <c r="D232" t="s">
        <v>153</v>
      </c>
      <c r="E232" s="81">
        <v>1</v>
      </c>
      <c r="F232" t="s">
        <v>29</v>
      </c>
      <c r="G232" s="55">
        <v>783.33</v>
      </c>
      <c r="H232" s="82">
        <v>783.33</v>
      </c>
      <c r="I232" s="83" t="str">
        <f>VLOOKUP(E232,[1]Mapping!$A$3:$B$14,2,FALSE)</f>
        <v>Jul</v>
      </c>
      <c r="J232" s="84">
        <f t="shared" si="6"/>
        <v>2000310123</v>
      </c>
      <c r="K232" s="84">
        <f t="shared" si="7"/>
        <v>501257</v>
      </c>
      <c r="L232" s="61" t="e">
        <f>VLOOKUP(K232,[1]Mapping!$J$3:$Q$351,8,FALSE)</f>
        <v>#N/A</v>
      </c>
      <c r="M232" t="s">
        <v>83</v>
      </c>
    </row>
    <row r="233" spans="1:13" hidden="1" x14ac:dyDescent="0.35">
      <c r="A233" s="79">
        <v>1110551</v>
      </c>
      <c r="B233" t="s">
        <v>154</v>
      </c>
      <c r="C233" s="80">
        <v>501050</v>
      </c>
      <c r="D233" t="s">
        <v>39</v>
      </c>
      <c r="E233" s="81">
        <v>1</v>
      </c>
      <c r="F233" t="s">
        <v>19</v>
      </c>
      <c r="G233" s="55">
        <v>67191.509999999995</v>
      </c>
      <c r="H233" s="82">
        <v>67191.509999999995</v>
      </c>
      <c r="I233" s="83" t="str">
        <f>VLOOKUP(E233,[1]Mapping!$A$3:$B$14,2,FALSE)</f>
        <v>Jul</v>
      </c>
      <c r="J233" s="84">
        <f t="shared" si="6"/>
        <v>1110551</v>
      </c>
      <c r="K233" s="84">
        <f t="shared" si="7"/>
        <v>501050</v>
      </c>
      <c r="L233" s="61" t="str">
        <f>VLOOKUP(K233,[1]Mapping!$J$3:$Q$351,8,FALSE)</f>
        <v>Wages &amp; Salaries</v>
      </c>
      <c r="M233" t="s">
        <v>83</v>
      </c>
    </row>
    <row r="234" spans="1:13" hidden="1" x14ac:dyDescent="0.35">
      <c r="A234" s="79">
        <v>1110551</v>
      </c>
      <c r="B234" t="s">
        <v>154</v>
      </c>
      <c r="C234" s="80">
        <v>501051</v>
      </c>
      <c r="D234" t="s">
        <v>121</v>
      </c>
      <c r="E234" s="81">
        <v>1</v>
      </c>
      <c r="F234" t="s">
        <v>19</v>
      </c>
      <c r="G234" s="55">
        <v>3820.4299999999994</v>
      </c>
      <c r="H234" s="82">
        <v>3820.4299999999994</v>
      </c>
      <c r="I234" s="83" t="str">
        <f>VLOOKUP(E234,[1]Mapping!$A$3:$B$14,2,FALSE)</f>
        <v>Jul</v>
      </c>
      <c r="J234" s="84">
        <f t="shared" si="6"/>
        <v>1110551</v>
      </c>
      <c r="K234" s="84">
        <f t="shared" si="7"/>
        <v>501051</v>
      </c>
      <c r="L234" s="61" t="str">
        <f>VLOOKUP(K234,[1]Mapping!$J$3:$Q$351,8,FALSE)</f>
        <v>Wages &amp; Salaries</v>
      </c>
      <c r="M234" t="s">
        <v>83</v>
      </c>
    </row>
    <row r="235" spans="1:13" hidden="1" x14ac:dyDescent="0.35">
      <c r="A235" s="79">
        <v>1110551</v>
      </c>
      <c r="B235" t="s">
        <v>154</v>
      </c>
      <c r="C235" s="80">
        <v>501058</v>
      </c>
      <c r="D235" t="s">
        <v>122</v>
      </c>
      <c r="E235" s="81">
        <v>1</v>
      </c>
      <c r="F235" t="s">
        <v>21</v>
      </c>
      <c r="G235" s="55">
        <v>5456.5399999999991</v>
      </c>
      <c r="H235" s="82">
        <v>5456.5399999999991</v>
      </c>
      <c r="I235" s="83" t="str">
        <f>VLOOKUP(E235,[1]Mapping!$A$3:$B$14,2,FALSE)</f>
        <v>Jul</v>
      </c>
      <c r="J235" s="84">
        <f t="shared" si="6"/>
        <v>1110551</v>
      </c>
      <c r="K235" s="84">
        <f t="shared" si="7"/>
        <v>501058</v>
      </c>
      <c r="L235" s="61" t="str">
        <f>VLOOKUP(K235,[1]Mapping!$J$3:$Q$351,8,FALSE)</f>
        <v>Fringe Benefits</v>
      </c>
      <c r="M235" t="s">
        <v>83</v>
      </c>
    </row>
    <row r="236" spans="1:13" hidden="1" x14ac:dyDescent="0.35">
      <c r="A236" s="79">
        <v>1110551</v>
      </c>
      <c r="B236" t="s">
        <v>154</v>
      </c>
      <c r="C236" s="80">
        <v>501062</v>
      </c>
      <c r="D236" t="s">
        <v>41</v>
      </c>
      <c r="E236" s="81">
        <v>1</v>
      </c>
      <c r="F236" t="s">
        <v>21</v>
      </c>
      <c r="G236" s="55">
        <v>111.91</v>
      </c>
      <c r="H236" s="82">
        <v>111.91</v>
      </c>
      <c r="I236" s="83" t="str">
        <f>VLOOKUP(E236,[1]Mapping!$A$3:$B$14,2,FALSE)</f>
        <v>Jul</v>
      </c>
      <c r="J236" s="84">
        <f t="shared" si="6"/>
        <v>1110551</v>
      </c>
      <c r="K236" s="84">
        <f t="shared" si="7"/>
        <v>501062</v>
      </c>
      <c r="L236" s="61" t="str">
        <f>VLOOKUP(K236,[1]Mapping!$J$3:$Q$351,8,FALSE)</f>
        <v>Fringe Benefits</v>
      </c>
      <c r="M236" t="s">
        <v>83</v>
      </c>
    </row>
    <row r="237" spans="1:13" hidden="1" x14ac:dyDescent="0.35">
      <c r="A237" s="79">
        <v>1110551</v>
      </c>
      <c r="B237" t="s">
        <v>154</v>
      </c>
      <c r="C237" s="80">
        <v>501063</v>
      </c>
      <c r="D237" t="s">
        <v>123</v>
      </c>
      <c r="E237" s="81">
        <v>1</v>
      </c>
      <c r="F237" t="s">
        <v>21</v>
      </c>
      <c r="G237" s="55">
        <v>5641.8799999999992</v>
      </c>
      <c r="H237" s="82">
        <v>5641.8799999999992</v>
      </c>
      <c r="I237" s="83" t="str">
        <f>VLOOKUP(E237,[1]Mapping!$A$3:$B$14,2,FALSE)</f>
        <v>Jul</v>
      </c>
      <c r="J237" s="84">
        <f t="shared" si="6"/>
        <v>1110551</v>
      </c>
      <c r="K237" s="84">
        <f t="shared" si="7"/>
        <v>501063</v>
      </c>
      <c r="L237" s="61" t="str">
        <f>VLOOKUP(K237,[1]Mapping!$J$3:$Q$351,8,FALSE)</f>
        <v>Fringe Benefits</v>
      </c>
      <c r="M237" t="s">
        <v>83</v>
      </c>
    </row>
    <row r="238" spans="1:13" hidden="1" x14ac:dyDescent="0.35">
      <c r="A238" s="79">
        <v>1110551</v>
      </c>
      <c r="B238" t="s">
        <v>154</v>
      </c>
      <c r="C238" s="80">
        <v>501065</v>
      </c>
      <c r="D238" t="s">
        <v>124</v>
      </c>
      <c r="E238" s="81">
        <v>1</v>
      </c>
      <c r="F238" t="s">
        <v>21</v>
      </c>
      <c r="G238" s="55">
        <v>171.69</v>
      </c>
      <c r="H238" s="82">
        <v>171.69</v>
      </c>
      <c r="I238" s="83" t="str">
        <f>VLOOKUP(E238,[1]Mapping!$A$3:$B$14,2,FALSE)</f>
        <v>Jul</v>
      </c>
      <c r="J238" s="84">
        <f t="shared" si="6"/>
        <v>1110551</v>
      </c>
      <c r="K238" s="84">
        <f t="shared" si="7"/>
        <v>501065</v>
      </c>
      <c r="L238" s="61" t="str">
        <f>VLOOKUP(K238,[1]Mapping!$J$3:$Q$351,8,FALSE)</f>
        <v>Fringe Benefits</v>
      </c>
      <c r="M238" t="s">
        <v>83</v>
      </c>
    </row>
    <row r="239" spans="1:13" hidden="1" x14ac:dyDescent="0.35">
      <c r="A239" s="79">
        <v>1110551</v>
      </c>
      <c r="B239" t="s">
        <v>154</v>
      </c>
      <c r="C239" s="80">
        <v>501069</v>
      </c>
      <c r="D239" t="s">
        <v>125</v>
      </c>
      <c r="E239" s="81">
        <v>1</v>
      </c>
      <c r="F239" t="s">
        <v>21</v>
      </c>
      <c r="G239" s="55">
        <v>3216.5299999999997</v>
      </c>
      <c r="H239" s="82">
        <v>3216.5299999999997</v>
      </c>
      <c r="I239" s="83" t="str">
        <f>VLOOKUP(E239,[1]Mapping!$A$3:$B$14,2,FALSE)</f>
        <v>Jul</v>
      </c>
      <c r="J239" s="84">
        <f t="shared" si="6"/>
        <v>1110551</v>
      </c>
      <c r="K239" s="84">
        <f t="shared" si="7"/>
        <v>501069</v>
      </c>
      <c r="L239" s="61" t="str">
        <f>VLOOKUP(K239,[1]Mapping!$J$3:$Q$351,8,FALSE)</f>
        <v>Fringe Benefits</v>
      </c>
      <c r="M239" t="s">
        <v>83</v>
      </c>
    </row>
    <row r="240" spans="1:13" x14ac:dyDescent="0.35">
      <c r="A240" s="79">
        <v>1110551</v>
      </c>
      <c r="B240" t="s">
        <v>154</v>
      </c>
      <c r="C240" s="80">
        <v>501710</v>
      </c>
      <c r="D240" t="s">
        <v>45</v>
      </c>
      <c r="E240" s="81">
        <v>1</v>
      </c>
      <c r="F240" t="s">
        <v>27</v>
      </c>
      <c r="G240" s="55">
        <v>41720.78</v>
      </c>
      <c r="H240" s="82">
        <v>41720.78</v>
      </c>
      <c r="I240" s="83" t="str">
        <f>VLOOKUP(E240,[1]Mapping!$A$3:$B$14,2,FALSE)</f>
        <v>Jul</v>
      </c>
      <c r="J240" s="84">
        <f t="shared" si="6"/>
        <v>1110551</v>
      </c>
      <c r="K240" s="84">
        <f t="shared" si="7"/>
        <v>501710</v>
      </c>
      <c r="L240" s="61" t="str">
        <f>VLOOKUP(K240,[1]Mapping!$J$3:$Q$351,8,FALSE)</f>
        <v>Outside Services</v>
      </c>
      <c r="M240" t="s">
        <v>83</v>
      </c>
    </row>
    <row r="241" spans="1:13" x14ac:dyDescent="0.35">
      <c r="A241" s="79">
        <v>1110551</v>
      </c>
      <c r="B241" t="s">
        <v>154</v>
      </c>
      <c r="C241" s="80">
        <v>501712</v>
      </c>
      <c r="D241" t="s">
        <v>100</v>
      </c>
      <c r="E241" s="81">
        <v>1</v>
      </c>
      <c r="F241" t="s">
        <v>27</v>
      </c>
      <c r="G241" s="55">
        <v>0</v>
      </c>
      <c r="H241" s="82">
        <v>0</v>
      </c>
      <c r="I241" s="83" t="str">
        <f>VLOOKUP(E241,[1]Mapping!$A$3:$B$14,2,FALSE)</f>
        <v>Jul</v>
      </c>
      <c r="J241" s="84">
        <f t="shared" si="6"/>
        <v>1110551</v>
      </c>
      <c r="K241" s="84">
        <f t="shared" si="7"/>
        <v>501712</v>
      </c>
      <c r="L241" s="61" t="str">
        <f>VLOOKUP(K241,[1]Mapping!$J$3:$Q$351,8,FALSE)</f>
        <v>Outside Services</v>
      </c>
      <c r="M241" t="s">
        <v>83</v>
      </c>
    </row>
    <row r="242" spans="1:13" hidden="1" x14ac:dyDescent="0.35">
      <c r="A242" s="79">
        <v>1110551</v>
      </c>
      <c r="B242" t="s">
        <v>154</v>
      </c>
      <c r="C242" s="80">
        <v>600030</v>
      </c>
      <c r="D242" t="s">
        <v>110</v>
      </c>
      <c r="E242" s="81">
        <v>1</v>
      </c>
      <c r="F242" t="s">
        <v>23</v>
      </c>
      <c r="G242" s="55">
        <v>136.94999999999999</v>
      </c>
      <c r="H242" s="82">
        <v>136.94999999999999</v>
      </c>
      <c r="I242" s="83" t="str">
        <f>VLOOKUP(E242,[1]Mapping!$A$3:$B$14,2,FALSE)</f>
        <v>Jul</v>
      </c>
      <c r="J242" s="84">
        <f t="shared" si="6"/>
        <v>1110551</v>
      </c>
      <c r="K242" s="84">
        <f t="shared" si="7"/>
        <v>600030</v>
      </c>
      <c r="L242" s="61" t="str">
        <f>VLOOKUP(K242,[1]Mapping!$J$3:$Q$351,8,FALSE)</f>
        <v>Travel &amp; Entertainment</v>
      </c>
      <c r="M242" t="s">
        <v>83</v>
      </c>
    </row>
    <row r="243" spans="1:13" hidden="1" x14ac:dyDescent="0.35">
      <c r="A243" s="79">
        <v>1110551</v>
      </c>
      <c r="B243" t="s">
        <v>154</v>
      </c>
      <c r="C243" s="80">
        <v>600044</v>
      </c>
      <c r="D243" t="s">
        <v>111</v>
      </c>
      <c r="E243" s="81">
        <v>1</v>
      </c>
      <c r="F243" t="s">
        <v>23</v>
      </c>
      <c r="G243" s="55">
        <v>27.11</v>
      </c>
      <c r="H243" s="82">
        <v>27.11</v>
      </c>
      <c r="I243" s="83" t="str">
        <f>VLOOKUP(E243,[1]Mapping!$A$3:$B$14,2,FALSE)</f>
        <v>Jul</v>
      </c>
      <c r="J243" s="84">
        <f t="shared" si="6"/>
        <v>1110551</v>
      </c>
      <c r="K243" s="84">
        <f t="shared" si="7"/>
        <v>600044</v>
      </c>
      <c r="L243" s="61" t="str">
        <f>VLOOKUP(K243,[1]Mapping!$J$3:$Q$351,8,FALSE)</f>
        <v>Travel &amp; Entertainment</v>
      </c>
      <c r="M243" t="s">
        <v>83</v>
      </c>
    </row>
    <row r="244" spans="1:13" hidden="1" x14ac:dyDescent="0.35">
      <c r="A244" s="79">
        <v>1110551</v>
      </c>
      <c r="B244" t="s">
        <v>154</v>
      </c>
      <c r="C244" s="80">
        <v>600043</v>
      </c>
      <c r="D244" t="s">
        <v>102</v>
      </c>
      <c r="E244" s="81">
        <v>1</v>
      </c>
      <c r="F244" t="s">
        <v>23</v>
      </c>
      <c r="G244" s="55">
        <v>670.2</v>
      </c>
      <c r="H244" s="82">
        <v>670.2</v>
      </c>
      <c r="I244" s="83" t="str">
        <f>VLOOKUP(E244,[1]Mapping!$A$3:$B$14,2,FALSE)</f>
        <v>Jul</v>
      </c>
      <c r="J244" s="84">
        <f t="shared" si="6"/>
        <v>1110551</v>
      </c>
      <c r="K244" s="84">
        <f t="shared" si="7"/>
        <v>600043</v>
      </c>
      <c r="L244" s="61" t="str">
        <f>VLOOKUP(K244,[1]Mapping!$J$3:$Q$351,8,FALSE)</f>
        <v>Travel &amp; Entertainment</v>
      </c>
      <c r="M244" t="s">
        <v>83</v>
      </c>
    </row>
    <row r="245" spans="1:13" hidden="1" x14ac:dyDescent="0.35">
      <c r="A245" s="79">
        <v>1110551</v>
      </c>
      <c r="B245" t="s">
        <v>154</v>
      </c>
      <c r="C245" s="80">
        <v>600029</v>
      </c>
      <c r="D245" t="s">
        <v>113</v>
      </c>
      <c r="E245" s="81">
        <v>1</v>
      </c>
      <c r="F245" t="s">
        <v>23</v>
      </c>
      <c r="G245" s="55">
        <v>0</v>
      </c>
      <c r="H245" s="82">
        <v>0</v>
      </c>
      <c r="I245" s="83" t="str">
        <f>VLOOKUP(E245,[1]Mapping!$A$3:$B$14,2,FALSE)</f>
        <v>Jul</v>
      </c>
      <c r="J245" s="84">
        <f t="shared" si="6"/>
        <v>1110551</v>
      </c>
      <c r="K245" s="84">
        <f t="shared" si="7"/>
        <v>600029</v>
      </c>
      <c r="L245" s="61" t="str">
        <f>VLOOKUP(K245,[1]Mapping!$J$3:$Q$351,8,FALSE)</f>
        <v>Travel &amp; Entertainment</v>
      </c>
      <c r="M245" t="s">
        <v>83</v>
      </c>
    </row>
    <row r="246" spans="1:13" x14ac:dyDescent="0.35">
      <c r="A246" s="79">
        <v>1110551</v>
      </c>
      <c r="B246" t="s">
        <v>154</v>
      </c>
      <c r="C246" s="80">
        <v>501709</v>
      </c>
      <c r="D246" t="s">
        <v>85</v>
      </c>
      <c r="E246" s="81">
        <v>1</v>
      </c>
      <c r="F246" t="s">
        <v>27</v>
      </c>
      <c r="G246" s="55">
        <v>425</v>
      </c>
      <c r="H246" s="82">
        <v>425</v>
      </c>
      <c r="I246" s="83" t="str">
        <f>VLOOKUP(E246,[1]Mapping!$A$3:$B$14,2,FALSE)</f>
        <v>Jul</v>
      </c>
      <c r="J246" s="84">
        <f t="shared" si="6"/>
        <v>1110551</v>
      </c>
      <c r="K246" s="84">
        <f t="shared" si="7"/>
        <v>501709</v>
      </c>
      <c r="L246" s="61" t="str">
        <f>VLOOKUP(K246,[1]Mapping!$J$3:$Q$351,8,FALSE)</f>
        <v>Outside Services</v>
      </c>
      <c r="M246" t="s">
        <v>83</v>
      </c>
    </row>
    <row r="247" spans="1:13" hidden="1" x14ac:dyDescent="0.35">
      <c r="A247" s="79">
        <v>1110551</v>
      </c>
      <c r="B247" t="s">
        <v>154</v>
      </c>
      <c r="C247" s="80">
        <v>501609</v>
      </c>
      <c r="D247" t="s">
        <v>47</v>
      </c>
      <c r="E247" s="81">
        <v>1</v>
      </c>
      <c r="F247" t="s">
        <v>24</v>
      </c>
      <c r="G247" s="55">
        <v>-2291.94</v>
      </c>
      <c r="H247" s="82">
        <v>-2291.94</v>
      </c>
      <c r="I247" s="83" t="str">
        <f>VLOOKUP(E247,[1]Mapping!$A$3:$B$14,2,FALSE)</f>
        <v>Jul</v>
      </c>
      <c r="J247" s="84">
        <f t="shared" si="6"/>
        <v>1110551</v>
      </c>
      <c r="K247" s="84">
        <f t="shared" si="7"/>
        <v>501609</v>
      </c>
      <c r="L247" s="61" t="str">
        <f>VLOOKUP(K247,[1]Mapping!$J$3:$Q$351,8,FALSE)</f>
        <v>Supplies Expenses</v>
      </c>
      <c r="M247" t="s">
        <v>83</v>
      </c>
    </row>
    <row r="248" spans="1:13" hidden="1" x14ac:dyDescent="0.35">
      <c r="A248" s="79">
        <v>1110551</v>
      </c>
      <c r="B248" t="s">
        <v>154</v>
      </c>
      <c r="C248" s="80">
        <v>501053</v>
      </c>
      <c r="D248" t="s">
        <v>40</v>
      </c>
      <c r="E248" s="81">
        <v>1</v>
      </c>
      <c r="F248" t="s">
        <v>20</v>
      </c>
      <c r="G248" s="55">
        <v>364.21000000000004</v>
      </c>
      <c r="H248" s="82">
        <v>364.21000000000004</v>
      </c>
      <c r="I248" s="83" t="str">
        <f>VLOOKUP(E248,[1]Mapping!$A$3:$B$14,2,FALSE)</f>
        <v>Jul</v>
      </c>
      <c r="J248" s="84">
        <f t="shared" si="6"/>
        <v>1110551</v>
      </c>
      <c r="K248" s="84">
        <f t="shared" si="7"/>
        <v>501053</v>
      </c>
      <c r="L248" s="61" t="str">
        <f>VLOOKUP(K248,[1]Mapping!$J$3:$Q$351,8,FALSE)</f>
        <v>Overtime</v>
      </c>
      <c r="M248" t="s">
        <v>83</v>
      </c>
    </row>
    <row r="249" spans="1:13" hidden="1" x14ac:dyDescent="0.35">
      <c r="A249" s="79">
        <v>1110551</v>
      </c>
      <c r="B249" t="s">
        <v>154</v>
      </c>
      <c r="C249" s="80">
        <v>607130</v>
      </c>
      <c r="D249" t="s">
        <v>155</v>
      </c>
      <c r="E249" s="81">
        <v>1</v>
      </c>
      <c r="F249" t="s">
        <v>29</v>
      </c>
      <c r="G249" s="55">
        <v>8.67</v>
      </c>
      <c r="H249" s="82">
        <v>8.67</v>
      </c>
      <c r="I249" s="83" t="str">
        <f>VLOOKUP(E249,[1]Mapping!$A$3:$B$14,2,FALSE)</f>
        <v>Jul</v>
      </c>
      <c r="J249" s="84">
        <f t="shared" si="6"/>
        <v>1110551</v>
      </c>
      <c r="K249" s="84">
        <f t="shared" si="7"/>
        <v>607130</v>
      </c>
      <c r="L249" s="61" t="str">
        <f>VLOOKUP(K249,[1]Mapping!$J$3:$Q$351,8,FALSE)</f>
        <v>Other</v>
      </c>
      <c r="M249" t="s">
        <v>83</v>
      </c>
    </row>
    <row r="250" spans="1:13" hidden="1" x14ac:dyDescent="0.35">
      <c r="A250" s="79">
        <v>1110551</v>
      </c>
      <c r="B250" t="s">
        <v>154</v>
      </c>
      <c r="C250" s="80">
        <v>600020</v>
      </c>
      <c r="D250" t="s">
        <v>91</v>
      </c>
      <c r="E250" s="81">
        <v>1</v>
      </c>
      <c r="F250" t="s">
        <v>21</v>
      </c>
      <c r="G250" s="55">
        <v>9347.5400000000009</v>
      </c>
      <c r="H250" s="82">
        <v>9347.5400000000009</v>
      </c>
      <c r="I250" s="83" t="str">
        <f>VLOOKUP(E250,[1]Mapping!$A$3:$B$14,2,FALSE)</f>
        <v>Jul</v>
      </c>
      <c r="J250" s="84">
        <f t="shared" si="6"/>
        <v>1110551</v>
      </c>
      <c r="K250" s="84">
        <f t="shared" si="7"/>
        <v>600020</v>
      </c>
      <c r="L250" s="61" t="str">
        <f>VLOOKUP(K250,[1]Mapping!$J$3:$Q$351,8,FALSE)</f>
        <v>Fringe Benefits</v>
      </c>
      <c r="M250" t="s">
        <v>83</v>
      </c>
    </row>
    <row r="251" spans="1:13" hidden="1" x14ac:dyDescent="0.35">
      <c r="A251" s="79">
        <v>1110551</v>
      </c>
      <c r="B251" t="s">
        <v>154</v>
      </c>
      <c r="C251" s="80">
        <v>600055</v>
      </c>
      <c r="D251" t="s">
        <v>92</v>
      </c>
      <c r="E251" s="81">
        <v>1</v>
      </c>
      <c r="F251" t="s">
        <v>21</v>
      </c>
      <c r="G251" s="55">
        <v>747.8</v>
      </c>
      <c r="H251" s="82">
        <v>747.8</v>
      </c>
      <c r="I251" s="83" t="str">
        <f>VLOOKUP(E251,[1]Mapping!$A$3:$B$14,2,FALSE)</f>
        <v>Jul</v>
      </c>
      <c r="J251" s="84">
        <f t="shared" si="6"/>
        <v>1110551</v>
      </c>
      <c r="K251" s="84">
        <f t="shared" si="7"/>
        <v>600055</v>
      </c>
      <c r="L251" s="61" t="str">
        <f>VLOOKUP(K251,[1]Mapping!$J$3:$Q$351,8,FALSE)</f>
        <v>Fringe Benefits</v>
      </c>
      <c r="M251" t="s">
        <v>83</v>
      </c>
    </row>
    <row r="252" spans="1:13" hidden="1" x14ac:dyDescent="0.35">
      <c r="A252" s="79">
        <v>1110551</v>
      </c>
      <c r="B252" t="s">
        <v>154</v>
      </c>
      <c r="C252" s="80">
        <v>607091</v>
      </c>
      <c r="D252" t="s">
        <v>156</v>
      </c>
      <c r="E252" s="81">
        <v>1</v>
      </c>
      <c r="F252" t="s">
        <v>28</v>
      </c>
      <c r="G252" s="55">
        <v>34.450000000000003</v>
      </c>
      <c r="H252" s="82">
        <v>34.450000000000003</v>
      </c>
      <c r="I252" s="83" t="str">
        <f>VLOOKUP(E252,[1]Mapping!$A$3:$B$14,2,FALSE)</f>
        <v>Jul</v>
      </c>
      <c r="J252" s="84">
        <f t="shared" si="6"/>
        <v>1110551</v>
      </c>
      <c r="K252" s="84">
        <f t="shared" si="7"/>
        <v>607091</v>
      </c>
      <c r="L252" s="61" t="str">
        <f>VLOOKUP(K252,[1]Mapping!$J$3:$Q$351,8,FALSE)</f>
        <v>Inbound Freight</v>
      </c>
      <c r="M252" t="s">
        <v>83</v>
      </c>
    </row>
    <row r="253" spans="1:13" hidden="1" x14ac:dyDescent="0.35">
      <c r="A253" s="79">
        <v>1110551</v>
      </c>
      <c r="B253" t="s">
        <v>154</v>
      </c>
      <c r="C253" s="80">
        <v>508004</v>
      </c>
      <c r="D253" t="s">
        <v>130</v>
      </c>
      <c r="E253" s="81">
        <v>1</v>
      </c>
      <c r="F253" t="s">
        <v>31</v>
      </c>
      <c r="G253" s="55">
        <v>1545.11</v>
      </c>
      <c r="H253" s="82">
        <v>1545.11</v>
      </c>
      <c r="I253" s="83" t="str">
        <f>VLOOKUP(E253,[1]Mapping!$A$3:$B$14,2,FALSE)</f>
        <v>Jul</v>
      </c>
      <c r="J253" s="84">
        <f t="shared" si="6"/>
        <v>1110551</v>
      </c>
      <c r="K253" s="84">
        <f t="shared" si="7"/>
        <v>508004</v>
      </c>
      <c r="L253" s="61" t="str">
        <f>VLOOKUP(K253,[1]Mapping!$J$3:$Q$351,8,FALSE)</f>
        <v>Depreciation</v>
      </c>
      <c r="M253" t="s">
        <v>83</v>
      </c>
    </row>
    <row r="254" spans="1:13" hidden="1" x14ac:dyDescent="0.35">
      <c r="A254" s="79">
        <v>1110551</v>
      </c>
      <c r="B254" t="s">
        <v>154</v>
      </c>
      <c r="C254" s="80">
        <v>600051</v>
      </c>
      <c r="D254" t="s">
        <v>157</v>
      </c>
      <c r="E254" s="81">
        <v>1</v>
      </c>
      <c r="F254" t="s">
        <v>23</v>
      </c>
      <c r="G254" s="55">
        <v>0</v>
      </c>
      <c r="H254" s="82">
        <v>0</v>
      </c>
      <c r="I254" s="83" t="str">
        <f>VLOOKUP(E254,[1]Mapping!$A$3:$B$14,2,FALSE)</f>
        <v>Jul</v>
      </c>
      <c r="J254" s="84">
        <f t="shared" si="6"/>
        <v>1110551</v>
      </c>
      <c r="K254" s="84">
        <f t="shared" si="7"/>
        <v>600051</v>
      </c>
      <c r="L254" s="61" t="str">
        <f>VLOOKUP(K254,[1]Mapping!$J$3:$Q$351,8,FALSE)</f>
        <v>Travel &amp; Entertainment</v>
      </c>
      <c r="M254" t="s">
        <v>83</v>
      </c>
    </row>
    <row r="255" spans="1:13" hidden="1" x14ac:dyDescent="0.35">
      <c r="A255" s="79">
        <v>1110551</v>
      </c>
      <c r="B255" t="s">
        <v>154</v>
      </c>
      <c r="C255" s="80">
        <v>600028</v>
      </c>
      <c r="D255" t="s">
        <v>115</v>
      </c>
      <c r="E255" s="81">
        <v>1</v>
      </c>
      <c r="F255" t="s">
        <v>23</v>
      </c>
      <c r="G255" s="55">
        <v>73.5</v>
      </c>
      <c r="H255" s="82">
        <v>73.5</v>
      </c>
      <c r="I255" s="83" t="str">
        <f>VLOOKUP(E255,[1]Mapping!$A$3:$B$14,2,FALSE)</f>
        <v>Jul</v>
      </c>
      <c r="J255" s="84">
        <f t="shared" si="6"/>
        <v>1110551</v>
      </c>
      <c r="K255" s="84">
        <f t="shared" si="7"/>
        <v>600028</v>
      </c>
      <c r="L255" s="61" t="str">
        <f>VLOOKUP(K255,[1]Mapping!$J$3:$Q$351,8,FALSE)</f>
        <v>Travel &amp; Entertainment</v>
      </c>
      <c r="M255" t="s">
        <v>83</v>
      </c>
    </row>
    <row r="256" spans="1:13" hidden="1" x14ac:dyDescent="0.35">
      <c r="A256" s="79">
        <v>1110551</v>
      </c>
      <c r="B256" t="s">
        <v>154</v>
      </c>
      <c r="C256" s="80">
        <v>501070</v>
      </c>
      <c r="D256" t="s">
        <v>135</v>
      </c>
      <c r="E256" s="81">
        <v>1</v>
      </c>
      <c r="F256" t="s">
        <v>21</v>
      </c>
      <c r="G256" s="55">
        <v>2160</v>
      </c>
      <c r="H256" s="82">
        <v>2160</v>
      </c>
      <c r="I256" s="83" t="str">
        <f>VLOOKUP(E256,[1]Mapping!$A$3:$B$14,2,FALSE)</f>
        <v>Jul</v>
      </c>
      <c r="J256" s="84">
        <f t="shared" si="6"/>
        <v>1110551</v>
      </c>
      <c r="K256" s="84">
        <f t="shared" si="7"/>
        <v>501070</v>
      </c>
      <c r="L256" s="61" t="str">
        <f>VLOOKUP(K256,[1]Mapping!$J$3:$Q$351,8,FALSE)</f>
        <v>Fringe Benefits</v>
      </c>
      <c r="M256" t="s">
        <v>83</v>
      </c>
    </row>
    <row r="257" spans="1:13" hidden="1" x14ac:dyDescent="0.35">
      <c r="A257" s="79">
        <v>1110065</v>
      </c>
      <c r="B257" t="s">
        <v>158</v>
      </c>
      <c r="C257" s="80">
        <v>501050</v>
      </c>
      <c r="D257" t="s">
        <v>39</v>
      </c>
      <c r="E257" s="81">
        <v>1</v>
      </c>
      <c r="F257" t="s">
        <v>19</v>
      </c>
      <c r="G257" s="55">
        <v>61758.79</v>
      </c>
      <c r="H257" s="82">
        <v>61758.79</v>
      </c>
      <c r="I257" s="83" t="str">
        <f>VLOOKUP(E257,[1]Mapping!$A$3:$B$14,2,FALSE)</f>
        <v>Jul</v>
      </c>
      <c r="J257" s="84">
        <f t="shared" si="6"/>
        <v>1110065</v>
      </c>
      <c r="K257" s="84">
        <f t="shared" si="7"/>
        <v>501050</v>
      </c>
      <c r="L257" s="61" t="str">
        <f>VLOOKUP(K257,[1]Mapping!$J$3:$Q$351,8,FALSE)</f>
        <v>Wages &amp; Salaries</v>
      </c>
      <c r="M257" t="s">
        <v>83</v>
      </c>
    </row>
    <row r="258" spans="1:13" hidden="1" x14ac:dyDescent="0.35">
      <c r="A258" s="79">
        <v>1110065</v>
      </c>
      <c r="B258" t="s">
        <v>158</v>
      </c>
      <c r="C258" s="80">
        <v>501051</v>
      </c>
      <c r="D258" t="s">
        <v>121</v>
      </c>
      <c r="E258" s="81">
        <v>1</v>
      </c>
      <c r="F258" t="s">
        <v>19</v>
      </c>
      <c r="G258" s="55">
        <v>5752.23</v>
      </c>
      <c r="H258" s="82">
        <v>5752.23</v>
      </c>
      <c r="I258" s="83" t="str">
        <f>VLOOKUP(E258,[1]Mapping!$A$3:$B$14,2,FALSE)</f>
        <v>Jul</v>
      </c>
      <c r="J258" s="84">
        <f t="shared" si="6"/>
        <v>1110065</v>
      </c>
      <c r="K258" s="84">
        <f t="shared" si="7"/>
        <v>501051</v>
      </c>
      <c r="L258" s="61" t="str">
        <f>VLOOKUP(K258,[1]Mapping!$J$3:$Q$351,8,FALSE)</f>
        <v>Wages &amp; Salaries</v>
      </c>
      <c r="M258" t="s">
        <v>83</v>
      </c>
    </row>
    <row r="259" spans="1:13" hidden="1" x14ac:dyDescent="0.35">
      <c r="A259" s="79">
        <v>1110065</v>
      </c>
      <c r="B259" t="s">
        <v>158</v>
      </c>
      <c r="C259" s="80">
        <v>501058</v>
      </c>
      <c r="D259" t="s">
        <v>122</v>
      </c>
      <c r="E259" s="81">
        <v>1</v>
      </c>
      <c r="F259" t="s">
        <v>21</v>
      </c>
      <c r="G259" s="55">
        <v>5790.25</v>
      </c>
      <c r="H259" s="82">
        <v>5790.25</v>
      </c>
      <c r="I259" s="83" t="str">
        <f>VLOOKUP(E259,[1]Mapping!$A$3:$B$14,2,FALSE)</f>
        <v>Jul</v>
      </c>
      <c r="J259" s="84">
        <f t="shared" si="6"/>
        <v>1110065</v>
      </c>
      <c r="K259" s="84">
        <f t="shared" si="7"/>
        <v>501058</v>
      </c>
      <c r="L259" s="61" t="str">
        <f>VLOOKUP(K259,[1]Mapping!$J$3:$Q$351,8,FALSE)</f>
        <v>Fringe Benefits</v>
      </c>
      <c r="M259" t="s">
        <v>83</v>
      </c>
    </row>
    <row r="260" spans="1:13" hidden="1" x14ac:dyDescent="0.35">
      <c r="A260" s="79">
        <v>1110065</v>
      </c>
      <c r="B260" t="s">
        <v>158</v>
      </c>
      <c r="C260" s="80">
        <v>501062</v>
      </c>
      <c r="D260" t="s">
        <v>41</v>
      </c>
      <c r="E260" s="81">
        <v>1</v>
      </c>
      <c r="F260" t="s">
        <v>21</v>
      </c>
      <c r="G260" s="55">
        <v>129.93</v>
      </c>
      <c r="H260" s="82">
        <v>129.93</v>
      </c>
      <c r="I260" s="83" t="str">
        <f>VLOOKUP(E260,[1]Mapping!$A$3:$B$14,2,FALSE)</f>
        <v>Jul</v>
      </c>
      <c r="J260" s="84">
        <f t="shared" si="6"/>
        <v>1110065</v>
      </c>
      <c r="K260" s="84">
        <f t="shared" si="7"/>
        <v>501062</v>
      </c>
      <c r="L260" s="61" t="str">
        <f>VLOOKUP(K260,[1]Mapping!$J$3:$Q$351,8,FALSE)</f>
        <v>Fringe Benefits</v>
      </c>
      <c r="M260" t="s">
        <v>83</v>
      </c>
    </row>
    <row r="261" spans="1:13" hidden="1" x14ac:dyDescent="0.35">
      <c r="A261" s="79">
        <v>1110065</v>
      </c>
      <c r="B261" t="s">
        <v>158</v>
      </c>
      <c r="C261" s="80">
        <v>501804</v>
      </c>
      <c r="D261" t="s">
        <v>43</v>
      </c>
      <c r="E261" s="81">
        <v>1</v>
      </c>
      <c r="F261" t="s">
        <v>22</v>
      </c>
      <c r="G261" s="55">
        <v>-15269.23</v>
      </c>
      <c r="H261" s="82">
        <v>-15269.23</v>
      </c>
      <c r="I261" s="83" t="str">
        <f>VLOOKUP(E261,[1]Mapping!$A$3:$B$14,2,FALSE)</f>
        <v>Jul</v>
      </c>
      <c r="J261" s="84">
        <f t="shared" si="6"/>
        <v>1110065</v>
      </c>
      <c r="K261" s="84">
        <f t="shared" si="7"/>
        <v>501804</v>
      </c>
      <c r="L261" s="61" t="str">
        <f>VLOOKUP(K261,[1]Mapping!$J$3:$Q$351,8,FALSE)</f>
        <v>Employee Related Expenses</v>
      </c>
      <c r="M261" t="s">
        <v>83</v>
      </c>
    </row>
    <row r="262" spans="1:13" hidden="1" x14ac:dyDescent="0.35">
      <c r="A262" s="79">
        <v>1110065</v>
      </c>
      <c r="B262" t="s">
        <v>158</v>
      </c>
      <c r="C262" s="80">
        <v>501063</v>
      </c>
      <c r="D262" t="s">
        <v>123</v>
      </c>
      <c r="E262" s="81">
        <v>1</v>
      </c>
      <c r="F262" t="s">
        <v>21</v>
      </c>
      <c r="G262" s="55">
        <v>10824.1</v>
      </c>
      <c r="H262" s="82">
        <v>10824.1</v>
      </c>
      <c r="I262" s="83" t="str">
        <f>VLOOKUP(E262,[1]Mapping!$A$3:$B$14,2,FALSE)</f>
        <v>Jul</v>
      </c>
      <c r="J262" s="84">
        <f t="shared" si="6"/>
        <v>1110065</v>
      </c>
      <c r="K262" s="84">
        <f t="shared" si="7"/>
        <v>501063</v>
      </c>
      <c r="L262" s="61" t="str">
        <f>VLOOKUP(K262,[1]Mapping!$J$3:$Q$351,8,FALSE)</f>
        <v>Fringe Benefits</v>
      </c>
      <c r="M262" t="s">
        <v>83</v>
      </c>
    </row>
    <row r="263" spans="1:13" hidden="1" x14ac:dyDescent="0.35">
      <c r="A263" s="79">
        <v>1110065</v>
      </c>
      <c r="B263" t="s">
        <v>158</v>
      </c>
      <c r="C263" s="80">
        <v>501065</v>
      </c>
      <c r="D263" t="s">
        <v>124</v>
      </c>
      <c r="E263" s="81">
        <v>1</v>
      </c>
      <c r="F263" t="s">
        <v>21</v>
      </c>
      <c r="G263" s="55">
        <v>195.14000000000001</v>
      </c>
      <c r="H263" s="82">
        <v>195.14000000000001</v>
      </c>
      <c r="I263" s="83" t="str">
        <f>VLOOKUP(E263,[1]Mapping!$A$3:$B$14,2,FALSE)</f>
        <v>Jul</v>
      </c>
      <c r="J263" s="84">
        <f t="shared" si="6"/>
        <v>1110065</v>
      </c>
      <c r="K263" s="84">
        <f t="shared" si="7"/>
        <v>501065</v>
      </c>
      <c r="L263" s="61" t="str">
        <f>VLOOKUP(K263,[1]Mapping!$J$3:$Q$351,8,FALSE)</f>
        <v>Fringe Benefits</v>
      </c>
      <c r="M263" t="s">
        <v>83</v>
      </c>
    </row>
    <row r="264" spans="1:13" hidden="1" x14ac:dyDescent="0.35">
      <c r="A264" s="79">
        <v>1110065</v>
      </c>
      <c r="B264" t="s">
        <v>158</v>
      </c>
      <c r="C264" s="80">
        <v>501069</v>
      </c>
      <c r="D264" t="s">
        <v>125</v>
      </c>
      <c r="E264" s="81">
        <v>1</v>
      </c>
      <c r="F264" t="s">
        <v>21</v>
      </c>
      <c r="G264" s="55">
        <v>3418.19</v>
      </c>
      <c r="H264" s="82">
        <v>3418.19</v>
      </c>
      <c r="I264" s="83" t="str">
        <f>VLOOKUP(E264,[1]Mapping!$A$3:$B$14,2,FALSE)</f>
        <v>Jul</v>
      </c>
      <c r="J264" s="84">
        <f t="shared" si="6"/>
        <v>1110065</v>
      </c>
      <c r="K264" s="84">
        <f t="shared" si="7"/>
        <v>501069</v>
      </c>
      <c r="L264" s="61" t="str">
        <f>VLOOKUP(K264,[1]Mapping!$J$3:$Q$351,8,FALSE)</f>
        <v>Fringe Benefits</v>
      </c>
      <c r="M264" t="s">
        <v>83</v>
      </c>
    </row>
    <row r="265" spans="1:13" hidden="1" x14ac:dyDescent="0.35">
      <c r="A265" s="79">
        <v>1110065</v>
      </c>
      <c r="B265" t="s">
        <v>158</v>
      </c>
      <c r="C265" s="80">
        <v>501053</v>
      </c>
      <c r="D265" t="s">
        <v>40</v>
      </c>
      <c r="E265" s="81">
        <v>1</v>
      </c>
      <c r="F265" t="s">
        <v>20</v>
      </c>
      <c r="G265" s="55">
        <v>2087.36</v>
      </c>
      <c r="H265" s="82">
        <v>2087.36</v>
      </c>
      <c r="I265" s="83" t="str">
        <f>VLOOKUP(E265,[1]Mapping!$A$3:$B$14,2,FALSE)</f>
        <v>Jul</v>
      </c>
      <c r="J265" s="84">
        <f t="shared" si="6"/>
        <v>1110065</v>
      </c>
      <c r="K265" s="84">
        <f t="shared" si="7"/>
        <v>501053</v>
      </c>
      <c r="L265" s="61" t="str">
        <f>VLOOKUP(K265,[1]Mapping!$J$3:$Q$351,8,FALSE)</f>
        <v>Overtime</v>
      </c>
      <c r="M265" t="s">
        <v>83</v>
      </c>
    </row>
    <row r="266" spans="1:13" hidden="1" x14ac:dyDescent="0.35">
      <c r="A266" s="79">
        <v>1110065</v>
      </c>
      <c r="B266" t="s">
        <v>158</v>
      </c>
      <c r="C266" s="80">
        <v>501059</v>
      </c>
      <c r="D266" t="s">
        <v>138</v>
      </c>
      <c r="E266" s="81">
        <v>1</v>
      </c>
      <c r="F266" t="s">
        <v>21</v>
      </c>
      <c r="G266" s="55">
        <v>100</v>
      </c>
      <c r="H266" s="82">
        <v>100</v>
      </c>
      <c r="I266" s="83" t="str">
        <f>VLOOKUP(E266,[1]Mapping!$A$3:$B$14,2,FALSE)</f>
        <v>Jul</v>
      </c>
      <c r="J266" s="84">
        <f t="shared" si="6"/>
        <v>1110065</v>
      </c>
      <c r="K266" s="84">
        <f t="shared" si="7"/>
        <v>501059</v>
      </c>
      <c r="L266" s="61" t="str">
        <f>VLOOKUP(K266,[1]Mapping!$J$3:$Q$351,8,FALSE)</f>
        <v>Fringe Benefits</v>
      </c>
      <c r="M266" t="s">
        <v>83</v>
      </c>
    </row>
    <row r="267" spans="1:13" hidden="1" x14ac:dyDescent="0.35">
      <c r="A267" s="79">
        <v>1110065</v>
      </c>
      <c r="B267" t="s">
        <v>158</v>
      </c>
      <c r="C267" s="80">
        <v>600020</v>
      </c>
      <c r="D267" t="s">
        <v>91</v>
      </c>
      <c r="E267" s="81">
        <v>1</v>
      </c>
      <c r="F267" t="s">
        <v>21</v>
      </c>
      <c r="G267" s="55">
        <v>5136.2</v>
      </c>
      <c r="H267" s="82">
        <v>5136.2</v>
      </c>
      <c r="I267" s="83" t="str">
        <f>VLOOKUP(E267,[1]Mapping!$A$3:$B$14,2,FALSE)</f>
        <v>Jul</v>
      </c>
      <c r="J267" s="84">
        <f t="shared" ref="J267:J330" si="8">VALUE(A267)</f>
        <v>1110065</v>
      </c>
      <c r="K267" s="84">
        <f t="shared" ref="K267:K330" si="9">VALUE(C267)</f>
        <v>600020</v>
      </c>
      <c r="L267" s="61" t="str">
        <f>VLOOKUP(K267,[1]Mapping!$J$3:$Q$351,8,FALSE)</f>
        <v>Fringe Benefits</v>
      </c>
      <c r="M267" t="s">
        <v>83</v>
      </c>
    </row>
    <row r="268" spans="1:13" hidden="1" x14ac:dyDescent="0.35">
      <c r="A268" s="79">
        <v>1110065</v>
      </c>
      <c r="B268" t="s">
        <v>158</v>
      </c>
      <c r="C268" s="80">
        <v>600055</v>
      </c>
      <c r="D268" t="s">
        <v>92</v>
      </c>
      <c r="E268" s="81">
        <v>1</v>
      </c>
      <c r="F268" t="s">
        <v>21</v>
      </c>
      <c r="G268" s="55">
        <v>410.9</v>
      </c>
      <c r="H268" s="82">
        <v>410.9</v>
      </c>
      <c r="I268" s="83" t="str">
        <f>VLOOKUP(E268,[1]Mapping!$A$3:$B$14,2,FALSE)</f>
        <v>Jul</v>
      </c>
      <c r="J268" s="84">
        <f t="shared" si="8"/>
        <v>1110065</v>
      </c>
      <c r="K268" s="84">
        <f t="shared" si="9"/>
        <v>600055</v>
      </c>
      <c r="L268" s="61" t="str">
        <f>VLOOKUP(K268,[1]Mapping!$J$3:$Q$351,8,FALSE)</f>
        <v>Fringe Benefits</v>
      </c>
      <c r="M268" t="s">
        <v>83</v>
      </c>
    </row>
    <row r="269" spans="1:13" hidden="1" x14ac:dyDescent="0.35">
      <c r="A269" s="79">
        <v>1110065</v>
      </c>
      <c r="B269" t="s">
        <v>158</v>
      </c>
      <c r="C269" s="80">
        <v>501055</v>
      </c>
      <c r="D269" t="s">
        <v>132</v>
      </c>
      <c r="E269" s="81">
        <v>1</v>
      </c>
      <c r="F269" t="s">
        <v>19</v>
      </c>
      <c r="G269" s="55">
        <v>97.11</v>
      </c>
      <c r="H269" s="82">
        <v>97.11</v>
      </c>
      <c r="I269" s="83" t="str">
        <f>VLOOKUP(E269,[1]Mapping!$A$3:$B$14,2,FALSE)</f>
        <v>Jul</v>
      </c>
      <c r="J269" s="84">
        <f t="shared" si="8"/>
        <v>1110065</v>
      </c>
      <c r="K269" s="84">
        <f t="shared" si="9"/>
        <v>501055</v>
      </c>
      <c r="L269" s="61" t="str">
        <f>VLOOKUP(K269,[1]Mapping!$J$3:$Q$351,8,FALSE)</f>
        <v>Wages &amp; Salaries</v>
      </c>
      <c r="M269" t="s">
        <v>83</v>
      </c>
    </row>
    <row r="270" spans="1:13" hidden="1" x14ac:dyDescent="0.35">
      <c r="A270" s="79">
        <v>1110065</v>
      </c>
      <c r="B270" t="s">
        <v>158</v>
      </c>
      <c r="C270" s="80">
        <v>501809</v>
      </c>
      <c r="D270" t="s">
        <v>159</v>
      </c>
      <c r="E270" s="81">
        <v>1</v>
      </c>
      <c r="F270" t="s">
        <v>117</v>
      </c>
      <c r="G270" s="55">
        <v>6320.78</v>
      </c>
      <c r="H270" s="82">
        <v>6320.78</v>
      </c>
      <c r="I270" s="83" t="str">
        <f>VLOOKUP(E270,[1]Mapping!$A$3:$B$14,2,FALSE)</f>
        <v>Jul</v>
      </c>
      <c r="J270" s="84">
        <f t="shared" si="8"/>
        <v>1110065</v>
      </c>
      <c r="K270" s="84">
        <f t="shared" si="9"/>
        <v>501809</v>
      </c>
      <c r="L270" s="61" t="e">
        <f>VLOOKUP(K270,[1]Mapping!$J$3:$Q$351,8,FALSE)</f>
        <v>#N/A</v>
      </c>
      <c r="M270" t="s">
        <v>83</v>
      </c>
    </row>
    <row r="271" spans="1:13" hidden="1" x14ac:dyDescent="0.35">
      <c r="A271" s="79">
        <v>1110065</v>
      </c>
      <c r="B271" t="s">
        <v>158</v>
      </c>
      <c r="C271" s="80">
        <v>501056</v>
      </c>
      <c r="D271" t="s">
        <v>160</v>
      </c>
      <c r="E271" s="81">
        <v>1</v>
      </c>
      <c r="F271" t="s">
        <v>19</v>
      </c>
      <c r="G271" s="55">
        <v>-3.93</v>
      </c>
      <c r="H271" s="82">
        <v>-3.93</v>
      </c>
      <c r="I271" s="83" t="str">
        <f>VLOOKUP(E271,[1]Mapping!$A$3:$B$14,2,FALSE)</f>
        <v>Jul</v>
      </c>
      <c r="J271" s="84">
        <f t="shared" si="8"/>
        <v>1110065</v>
      </c>
      <c r="K271" s="84">
        <f t="shared" si="9"/>
        <v>501056</v>
      </c>
      <c r="L271" s="61" t="str">
        <f>VLOOKUP(K271,[1]Mapping!$J$3:$Q$351,8,FALSE)</f>
        <v>Wages &amp; Salaries</v>
      </c>
      <c r="M271" t="s">
        <v>83</v>
      </c>
    </row>
    <row r="272" spans="1:13" hidden="1" x14ac:dyDescent="0.35">
      <c r="A272" s="79">
        <v>1110065</v>
      </c>
      <c r="B272" t="s">
        <v>158</v>
      </c>
      <c r="C272" s="80">
        <v>501057</v>
      </c>
      <c r="D272" t="s">
        <v>161</v>
      </c>
      <c r="E272" s="81">
        <v>1</v>
      </c>
      <c r="F272" t="s">
        <v>21</v>
      </c>
      <c r="G272" s="55">
        <v>-15.73</v>
      </c>
      <c r="H272" s="82">
        <v>-15.73</v>
      </c>
      <c r="I272" s="83" t="str">
        <f>VLOOKUP(E272,[1]Mapping!$A$3:$B$14,2,FALSE)</f>
        <v>Jul</v>
      </c>
      <c r="J272" s="84">
        <f t="shared" si="8"/>
        <v>1110065</v>
      </c>
      <c r="K272" s="84">
        <f t="shared" si="9"/>
        <v>501057</v>
      </c>
      <c r="L272" s="61" t="str">
        <f>VLOOKUP(K272,[1]Mapping!$J$3:$Q$351,8,FALSE)</f>
        <v>Fringe Benefits</v>
      </c>
      <c r="M272" t="s">
        <v>83</v>
      </c>
    </row>
    <row r="273" spans="1:13" hidden="1" x14ac:dyDescent="0.35">
      <c r="A273" s="79">
        <v>1110065</v>
      </c>
      <c r="B273" t="s">
        <v>158</v>
      </c>
      <c r="C273" s="80">
        <v>501070</v>
      </c>
      <c r="D273" t="s">
        <v>135</v>
      </c>
      <c r="E273" s="81">
        <v>1</v>
      </c>
      <c r="F273" t="s">
        <v>21</v>
      </c>
      <c r="G273" s="55">
        <v>2520</v>
      </c>
      <c r="H273" s="82">
        <v>2520</v>
      </c>
      <c r="I273" s="83" t="str">
        <f>VLOOKUP(E273,[1]Mapping!$A$3:$B$14,2,FALSE)</f>
        <v>Jul</v>
      </c>
      <c r="J273" s="84">
        <f t="shared" si="8"/>
        <v>1110065</v>
      </c>
      <c r="K273" s="84">
        <f t="shared" si="9"/>
        <v>501070</v>
      </c>
      <c r="L273" s="61" t="str">
        <f>VLOOKUP(K273,[1]Mapping!$J$3:$Q$351,8,FALSE)</f>
        <v>Fringe Benefits</v>
      </c>
      <c r="M273" t="s">
        <v>83</v>
      </c>
    </row>
    <row r="274" spans="1:13" hidden="1" x14ac:dyDescent="0.35">
      <c r="A274" s="79">
        <v>1110077</v>
      </c>
      <c r="B274" t="s">
        <v>162</v>
      </c>
      <c r="C274" s="80">
        <v>501050</v>
      </c>
      <c r="D274" t="s">
        <v>39</v>
      </c>
      <c r="E274" s="81">
        <v>1</v>
      </c>
      <c r="F274" t="s">
        <v>19</v>
      </c>
      <c r="G274" s="55">
        <v>-20806.580000000002</v>
      </c>
      <c r="H274" s="82">
        <v>-20806.580000000002</v>
      </c>
      <c r="I274" s="83" t="str">
        <f>VLOOKUP(E274,[1]Mapping!$A$3:$B$14,2,FALSE)</f>
        <v>Jul</v>
      </c>
      <c r="J274" s="84">
        <f t="shared" si="8"/>
        <v>1110077</v>
      </c>
      <c r="K274" s="84">
        <f t="shared" si="9"/>
        <v>501050</v>
      </c>
      <c r="L274" s="61" t="str">
        <f>VLOOKUP(K274,[1]Mapping!$J$3:$Q$351,8,FALSE)</f>
        <v>Wages &amp; Salaries</v>
      </c>
      <c r="M274" t="s">
        <v>83</v>
      </c>
    </row>
    <row r="275" spans="1:13" hidden="1" x14ac:dyDescent="0.35">
      <c r="A275" s="79">
        <v>1110077</v>
      </c>
      <c r="B275" t="s">
        <v>162</v>
      </c>
      <c r="C275" s="80">
        <v>501058</v>
      </c>
      <c r="D275" t="s">
        <v>122</v>
      </c>
      <c r="E275" s="81">
        <v>1</v>
      </c>
      <c r="F275" t="s">
        <v>21</v>
      </c>
      <c r="G275" s="55">
        <v>-265.85000000000025</v>
      </c>
      <c r="H275" s="82">
        <v>-265.85000000000025</v>
      </c>
      <c r="I275" s="83" t="str">
        <f>VLOOKUP(E275,[1]Mapping!$A$3:$B$14,2,FALSE)</f>
        <v>Jul</v>
      </c>
      <c r="J275" s="84">
        <f t="shared" si="8"/>
        <v>1110077</v>
      </c>
      <c r="K275" s="84">
        <f t="shared" si="9"/>
        <v>501058</v>
      </c>
      <c r="L275" s="61" t="str">
        <f>VLOOKUP(K275,[1]Mapping!$J$3:$Q$351,8,FALSE)</f>
        <v>Fringe Benefits</v>
      </c>
      <c r="M275" t="s">
        <v>83</v>
      </c>
    </row>
    <row r="276" spans="1:13" hidden="1" x14ac:dyDescent="0.35">
      <c r="A276" s="79">
        <v>1110077</v>
      </c>
      <c r="B276" t="s">
        <v>162</v>
      </c>
      <c r="C276" s="80">
        <v>501062</v>
      </c>
      <c r="D276" t="s">
        <v>41</v>
      </c>
      <c r="E276" s="81">
        <v>1</v>
      </c>
      <c r="F276" t="s">
        <v>21</v>
      </c>
      <c r="G276" s="55">
        <v>-36.6</v>
      </c>
      <c r="H276" s="82">
        <v>-36.6</v>
      </c>
      <c r="I276" s="83" t="str">
        <f>VLOOKUP(E276,[1]Mapping!$A$3:$B$14,2,FALSE)</f>
        <v>Jul</v>
      </c>
      <c r="J276" s="84">
        <f t="shared" si="8"/>
        <v>1110077</v>
      </c>
      <c r="K276" s="84">
        <f t="shared" si="9"/>
        <v>501062</v>
      </c>
      <c r="L276" s="61" t="str">
        <f>VLOOKUP(K276,[1]Mapping!$J$3:$Q$351,8,FALSE)</f>
        <v>Fringe Benefits</v>
      </c>
      <c r="M276" t="s">
        <v>83</v>
      </c>
    </row>
    <row r="277" spans="1:13" hidden="1" x14ac:dyDescent="0.35">
      <c r="A277" s="79">
        <v>1110077</v>
      </c>
      <c r="B277" t="s">
        <v>162</v>
      </c>
      <c r="C277" s="80">
        <v>501063</v>
      </c>
      <c r="D277" t="s">
        <v>123</v>
      </c>
      <c r="E277" s="81">
        <v>1</v>
      </c>
      <c r="F277" t="s">
        <v>21</v>
      </c>
      <c r="G277" s="55">
        <v>-2549.29</v>
      </c>
      <c r="H277" s="82">
        <v>-2549.29</v>
      </c>
      <c r="I277" s="83" t="str">
        <f>VLOOKUP(E277,[1]Mapping!$A$3:$B$14,2,FALSE)</f>
        <v>Jul</v>
      </c>
      <c r="J277" s="84">
        <f t="shared" si="8"/>
        <v>1110077</v>
      </c>
      <c r="K277" s="84">
        <f t="shared" si="9"/>
        <v>501063</v>
      </c>
      <c r="L277" s="61" t="str">
        <f>VLOOKUP(K277,[1]Mapping!$J$3:$Q$351,8,FALSE)</f>
        <v>Fringe Benefits</v>
      </c>
      <c r="M277" t="s">
        <v>83</v>
      </c>
    </row>
    <row r="278" spans="1:13" hidden="1" x14ac:dyDescent="0.35">
      <c r="A278" s="79">
        <v>1110077</v>
      </c>
      <c r="B278" t="s">
        <v>162</v>
      </c>
      <c r="C278" s="80">
        <v>501065</v>
      </c>
      <c r="D278" t="s">
        <v>124</v>
      </c>
      <c r="E278" s="81">
        <v>1</v>
      </c>
      <c r="F278" t="s">
        <v>21</v>
      </c>
      <c r="G278" s="55">
        <v>-47.92</v>
      </c>
      <c r="H278" s="82">
        <v>-47.92</v>
      </c>
      <c r="I278" s="83" t="str">
        <f>VLOOKUP(E278,[1]Mapping!$A$3:$B$14,2,FALSE)</f>
        <v>Jul</v>
      </c>
      <c r="J278" s="84">
        <f t="shared" si="8"/>
        <v>1110077</v>
      </c>
      <c r="K278" s="84">
        <f t="shared" si="9"/>
        <v>501065</v>
      </c>
      <c r="L278" s="61" t="str">
        <f>VLOOKUP(K278,[1]Mapping!$J$3:$Q$351,8,FALSE)</f>
        <v>Fringe Benefits</v>
      </c>
      <c r="M278" t="s">
        <v>83</v>
      </c>
    </row>
    <row r="279" spans="1:13" hidden="1" x14ac:dyDescent="0.35">
      <c r="A279" s="79">
        <v>1110077</v>
      </c>
      <c r="B279" t="s">
        <v>162</v>
      </c>
      <c r="C279" s="80">
        <v>501069</v>
      </c>
      <c r="D279" t="s">
        <v>125</v>
      </c>
      <c r="E279" s="81">
        <v>1</v>
      </c>
      <c r="F279" t="s">
        <v>21</v>
      </c>
      <c r="G279" s="55">
        <v>-1040.33</v>
      </c>
      <c r="H279" s="82">
        <v>-1040.33</v>
      </c>
      <c r="I279" s="83" t="str">
        <f>VLOOKUP(E279,[1]Mapping!$A$3:$B$14,2,FALSE)</f>
        <v>Jul</v>
      </c>
      <c r="J279" s="84">
        <f t="shared" si="8"/>
        <v>1110077</v>
      </c>
      <c r="K279" s="84">
        <f t="shared" si="9"/>
        <v>501069</v>
      </c>
      <c r="L279" s="61" t="str">
        <f>VLOOKUP(K279,[1]Mapping!$J$3:$Q$351,8,FALSE)</f>
        <v>Fringe Benefits</v>
      </c>
      <c r="M279" t="s">
        <v>83</v>
      </c>
    </row>
    <row r="280" spans="1:13" hidden="1" x14ac:dyDescent="0.35">
      <c r="A280" s="79">
        <v>1110077</v>
      </c>
      <c r="B280" t="s">
        <v>162</v>
      </c>
      <c r="C280" s="80">
        <v>600044</v>
      </c>
      <c r="D280" t="s">
        <v>111</v>
      </c>
      <c r="E280" s="81">
        <v>1</v>
      </c>
      <c r="F280" t="s">
        <v>23</v>
      </c>
      <c r="G280" s="55">
        <v>141.09</v>
      </c>
      <c r="H280" s="82">
        <v>141.09</v>
      </c>
      <c r="I280" s="83" t="str">
        <f>VLOOKUP(E280,[1]Mapping!$A$3:$B$14,2,FALSE)</f>
        <v>Jul</v>
      </c>
      <c r="J280" s="84">
        <f t="shared" si="8"/>
        <v>1110077</v>
      </c>
      <c r="K280" s="84">
        <f t="shared" si="9"/>
        <v>600044</v>
      </c>
      <c r="L280" s="61" t="str">
        <f>VLOOKUP(K280,[1]Mapping!$J$3:$Q$351,8,FALSE)</f>
        <v>Travel &amp; Entertainment</v>
      </c>
      <c r="M280" t="s">
        <v>83</v>
      </c>
    </row>
    <row r="281" spans="1:13" hidden="1" x14ac:dyDescent="0.35">
      <c r="A281" s="79">
        <v>1110077</v>
      </c>
      <c r="B281" t="s">
        <v>162</v>
      </c>
      <c r="C281" s="80">
        <v>600050</v>
      </c>
      <c r="D281" t="s">
        <v>101</v>
      </c>
      <c r="E281" s="81">
        <v>1</v>
      </c>
      <c r="F281" t="s">
        <v>23</v>
      </c>
      <c r="G281" s="55">
        <v>358.75</v>
      </c>
      <c r="H281" s="82">
        <v>358.75</v>
      </c>
      <c r="I281" s="83" t="str">
        <f>VLOOKUP(E281,[1]Mapping!$A$3:$B$14,2,FALSE)</f>
        <v>Jul</v>
      </c>
      <c r="J281" s="84">
        <f t="shared" si="8"/>
        <v>1110077</v>
      </c>
      <c r="K281" s="84">
        <f t="shared" si="9"/>
        <v>600050</v>
      </c>
      <c r="L281" s="61" t="str">
        <f>VLOOKUP(K281,[1]Mapping!$J$3:$Q$351,8,FALSE)</f>
        <v>Travel &amp; Entertainment</v>
      </c>
      <c r="M281" t="s">
        <v>83</v>
      </c>
    </row>
    <row r="282" spans="1:13" hidden="1" x14ac:dyDescent="0.35">
      <c r="A282" s="79">
        <v>1110077</v>
      </c>
      <c r="B282" t="s">
        <v>162</v>
      </c>
      <c r="C282" s="80">
        <v>600043</v>
      </c>
      <c r="D282" t="s">
        <v>102</v>
      </c>
      <c r="E282" s="81">
        <v>1</v>
      </c>
      <c r="F282" t="s">
        <v>23</v>
      </c>
      <c r="G282" s="55">
        <v>442.39</v>
      </c>
      <c r="H282" s="82">
        <v>442.39</v>
      </c>
      <c r="I282" s="83" t="str">
        <f>VLOOKUP(E282,[1]Mapping!$A$3:$B$14,2,FALSE)</f>
        <v>Jul</v>
      </c>
      <c r="J282" s="84">
        <f t="shared" si="8"/>
        <v>1110077</v>
      </c>
      <c r="K282" s="84">
        <f t="shared" si="9"/>
        <v>600043</v>
      </c>
      <c r="L282" s="61" t="str">
        <f>VLOOKUP(K282,[1]Mapping!$J$3:$Q$351,8,FALSE)</f>
        <v>Travel &amp; Entertainment</v>
      </c>
      <c r="M282" t="s">
        <v>83</v>
      </c>
    </row>
    <row r="283" spans="1:13" hidden="1" x14ac:dyDescent="0.35">
      <c r="A283" s="79">
        <v>1110077</v>
      </c>
      <c r="B283" t="s">
        <v>162</v>
      </c>
      <c r="C283" s="80">
        <v>600027</v>
      </c>
      <c r="D283" t="s">
        <v>112</v>
      </c>
      <c r="E283" s="81">
        <v>1</v>
      </c>
      <c r="F283" t="s">
        <v>23</v>
      </c>
      <c r="G283" s="55">
        <v>73.48</v>
      </c>
      <c r="H283" s="82">
        <v>73.48</v>
      </c>
      <c r="I283" s="83" t="str">
        <f>VLOOKUP(E283,[1]Mapping!$A$3:$B$14,2,FALSE)</f>
        <v>Jul</v>
      </c>
      <c r="J283" s="84">
        <f t="shared" si="8"/>
        <v>1110077</v>
      </c>
      <c r="K283" s="84">
        <f t="shared" si="9"/>
        <v>600027</v>
      </c>
      <c r="L283" s="61" t="str">
        <f>VLOOKUP(K283,[1]Mapping!$J$3:$Q$351,8,FALSE)</f>
        <v>Travel &amp; Entertainment</v>
      </c>
      <c r="M283" t="s">
        <v>83</v>
      </c>
    </row>
    <row r="284" spans="1:13" hidden="1" x14ac:dyDescent="0.35">
      <c r="A284" s="79">
        <v>1110077</v>
      </c>
      <c r="B284" t="s">
        <v>162</v>
      </c>
      <c r="C284" s="80">
        <v>600029</v>
      </c>
      <c r="D284" t="s">
        <v>113</v>
      </c>
      <c r="E284" s="81">
        <v>1</v>
      </c>
      <c r="F284" t="s">
        <v>23</v>
      </c>
      <c r="G284" s="55">
        <v>941.87</v>
      </c>
      <c r="H284" s="82">
        <v>941.87</v>
      </c>
      <c r="I284" s="83" t="str">
        <f>VLOOKUP(E284,[1]Mapping!$A$3:$B$14,2,FALSE)</f>
        <v>Jul</v>
      </c>
      <c r="J284" s="84">
        <f t="shared" si="8"/>
        <v>1110077</v>
      </c>
      <c r="K284" s="84">
        <f t="shared" si="9"/>
        <v>600029</v>
      </c>
      <c r="L284" s="61" t="str">
        <f>VLOOKUP(K284,[1]Mapping!$J$3:$Q$351,8,FALSE)</f>
        <v>Travel &amp; Entertainment</v>
      </c>
      <c r="M284" t="s">
        <v>83</v>
      </c>
    </row>
    <row r="285" spans="1:13" hidden="1" x14ac:dyDescent="0.35">
      <c r="A285" s="79">
        <v>1110077</v>
      </c>
      <c r="B285" t="s">
        <v>162</v>
      </c>
      <c r="C285" s="80">
        <v>600020</v>
      </c>
      <c r="D285" t="s">
        <v>91</v>
      </c>
      <c r="E285" s="81">
        <v>1</v>
      </c>
      <c r="F285" t="s">
        <v>21</v>
      </c>
      <c r="G285" s="55">
        <v>6147.4</v>
      </c>
      <c r="H285" s="82">
        <v>6147.4</v>
      </c>
      <c r="I285" s="83" t="str">
        <f>VLOOKUP(E285,[1]Mapping!$A$3:$B$14,2,FALSE)</f>
        <v>Jul</v>
      </c>
      <c r="J285" s="84">
        <f t="shared" si="8"/>
        <v>1110077</v>
      </c>
      <c r="K285" s="84">
        <f t="shared" si="9"/>
        <v>600020</v>
      </c>
      <c r="L285" s="61" t="str">
        <f>VLOOKUP(K285,[1]Mapping!$J$3:$Q$351,8,FALSE)</f>
        <v>Fringe Benefits</v>
      </c>
      <c r="M285" t="s">
        <v>83</v>
      </c>
    </row>
    <row r="286" spans="1:13" hidden="1" x14ac:dyDescent="0.35">
      <c r="A286" s="79">
        <v>1110077</v>
      </c>
      <c r="B286" t="s">
        <v>162</v>
      </c>
      <c r="C286" s="80">
        <v>600055</v>
      </c>
      <c r="D286" t="s">
        <v>92</v>
      </c>
      <c r="E286" s="81">
        <v>1</v>
      </c>
      <c r="F286" t="s">
        <v>21</v>
      </c>
      <c r="G286" s="55">
        <v>491.79</v>
      </c>
      <c r="H286" s="82">
        <v>491.79</v>
      </c>
      <c r="I286" s="83" t="str">
        <f>VLOOKUP(E286,[1]Mapping!$A$3:$B$14,2,FALSE)</f>
        <v>Jul</v>
      </c>
      <c r="J286" s="84">
        <f t="shared" si="8"/>
        <v>1110077</v>
      </c>
      <c r="K286" s="84">
        <f t="shared" si="9"/>
        <v>600055</v>
      </c>
      <c r="L286" s="61" t="str">
        <f>VLOOKUP(K286,[1]Mapping!$J$3:$Q$351,8,FALSE)</f>
        <v>Fringe Benefits</v>
      </c>
      <c r="M286" t="s">
        <v>83</v>
      </c>
    </row>
    <row r="287" spans="1:13" hidden="1" x14ac:dyDescent="0.35">
      <c r="A287" s="79">
        <v>1110082</v>
      </c>
      <c r="B287" t="s">
        <v>163</v>
      </c>
      <c r="C287" s="80">
        <v>501050</v>
      </c>
      <c r="D287" t="s">
        <v>39</v>
      </c>
      <c r="E287" s="81">
        <v>1</v>
      </c>
      <c r="F287" t="s">
        <v>19</v>
      </c>
      <c r="G287" s="55">
        <v>47853.120000000003</v>
      </c>
      <c r="H287" s="82">
        <v>47853.120000000003</v>
      </c>
      <c r="I287" s="83" t="str">
        <f>VLOOKUP(E287,[1]Mapping!$A$3:$B$14,2,FALSE)</f>
        <v>Jul</v>
      </c>
      <c r="J287" s="84">
        <f t="shared" si="8"/>
        <v>1110082</v>
      </c>
      <c r="K287" s="84">
        <f t="shared" si="9"/>
        <v>501050</v>
      </c>
      <c r="L287" s="61" t="str">
        <f>VLOOKUP(K287,[1]Mapping!$J$3:$Q$351,8,FALSE)</f>
        <v>Wages &amp; Salaries</v>
      </c>
      <c r="M287" t="s">
        <v>83</v>
      </c>
    </row>
    <row r="288" spans="1:13" hidden="1" x14ac:dyDescent="0.35">
      <c r="A288" s="79">
        <v>1110082</v>
      </c>
      <c r="B288" t="s">
        <v>163</v>
      </c>
      <c r="C288" s="80">
        <v>501051</v>
      </c>
      <c r="D288" t="s">
        <v>121</v>
      </c>
      <c r="E288" s="81">
        <v>1</v>
      </c>
      <c r="F288" t="s">
        <v>19</v>
      </c>
      <c r="G288" s="55">
        <v>1050.1599999999999</v>
      </c>
      <c r="H288" s="82">
        <v>1050.1599999999999</v>
      </c>
      <c r="I288" s="83" t="str">
        <f>VLOOKUP(E288,[1]Mapping!$A$3:$B$14,2,FALSE)</f>
        <v>Jul</v>
      </c>
      <c r="J288" s="84">
        <f t="shared" si="8"/>
        <v>1110082</v>
      </c>
      <c r="K288" s="84">
        <f t="shared" si="9"/>
        <v>501051</v>
      </c>
      <c r="L288" s="61" t="str">
        <f>VLOOKUP(K288,[1]Mapping!$J$3:$Q$351,8,FALSE)</f>
        <v>Wages &amp; Salaries</v>
      </c>
      <c r="M288" t="s">
        <v>83</v>
      </c>
    </row>
    <row r="289" spans="1:13" hidden="1" x14ac:dyDescent="0.35">
      <c r="A289" s="79">
        <v>1110082</v>
      </c>
      <c r="B289" t="s">
        <v>163</v>
      </c>
      <c r="C289" s="80">
        <v>501058</v>
      </c>
      <c r="D289" t="s">
        <v>122</v>
      </c>
      <c r="E289" s="81">
        <v>1</v>
      </c>
      <c r="F289" t="s">
        <v>21</v>
      </c>
      <c r="G289" s="55">
        <v>3609.8599999999997</v>
      </c>
      <c r="H289" s="82">
        <v>3609.8599999999997</v>
      </c>
      <c r="I289" s="83" t="str">
        <f>VLOOKUP(E289,[1]Mapping!$A$3:$B$14,2,FALSE)</f>
        <v>Jul</v>
      </c>
      <c r="J289" s="84">
        <f t="shared" si="8"/>
        <v>1110082</v>
      </c>
      <c r="K289" s="84">
        <f t="shared" si="9"/>
        <v>501058</v>
      </c>
      <c r="L289" s="61" t="str">
        <f>VLOOKUP(K289,[1]Mapping!$J$3:$Q$351,8,FALSE)</f>
        <v>Fringe Benefits</v>
      </c>
      <c r="M289" t="s">
        <v>83</v>
      </c>
    </row>
    <row r="290" spans="1:13" hidden="1" x14ac:dyDescent="0.35">
      <c r="A290" s="79">
        <v>1110082</v>
      </c>
      <c r="B290" t="s">
        <v>163</v>
      </c>
      <c r="C290" s="80">
        <v>501062</v>
      </c>
      <c r="D290" t="s">
        <v>41</v>
      </c>
      <c r="E290" s="81">
        <v>1</v>
      </c>
      <c r="F290" t="s">
        <v>21</v>
      </c>
      <c r="G290" s="55">
        <v>87.84</v>
      </c>
      <c r="H290" s="82">
        <v>87.84</v>
      </c>
      <c r="I290" s="83" t="str">
        <f>VLOOKUP(E290,[1]Mapping!$A$3:$B$14,2,FALSE)</f>
        <v>Jul</v>
      </c>
      <c r="J290" s="84">
        <f t="shared" si="8"/>
        <v>1110082</v>
      </c>
      <c r="K290" s="84">
        <f t="shared" si="9"/>
        <v>501062</v>
      </c>
      <c r="L290" s="61" t="str">
        <f>VLOOKUP(K290,[1]Mapping!$J$3:$Q$351,8,FALSE)</f>
        <v>Fringe Benefits</v>
      </c>
      <c r="M290" t="s">
        <v>83</v>
      </c>
    </row>
    <row r="291" spans="1:13" hidden="1" x14ac:dyDescent="0.35">
      <c r="A291" s="79">
        <v>1110082</v>
      </c>
      <c r="B291" t="s">
        <v>163</v>
      </c>
      <c r="C291" s="80">
        <v>501063</v>
      </c>
      <c r="D291" t="s">
        <v>123</v>
      </c>
      <c r="E291" s="81">
        <v>1</v>
      </c>
      <c r="F291" t="s">
        <v>21</v>
      </c>
      <c r="G291" s="55">
        <v>7421.7999999999993</v>
      </c>
      <c r="H291" s="82">
        <v>7421.7999999999993</v>
      </c>
      <c r="I291" s="83" t="str">
        <f>VLOOKUP(E291,[1]Mapping!$A$3:$B$14,2,FALSE)</f>
        <v>Jul</v>
      </c>
      <c r="J291" s="84">
        <f t="shared" si="8"/>
        <v>1110082</v>
      </c>
      <c r="K291" s="84">
        <f t="shared" si="9"/>
        <v>501063</v>
      </c>
      <c r="L291" s="61" t="str">
        <f>VLOOKUP(K291,[1]Mapping!$J$3:$Q$351,8,FALSE)</f>
        <v>Fringe Benefits</v>
      </c>
      <c r="M291" t="s">
        <v>83</v>
      </c>
    </row>
    <row r="292" spans="1:13" hidden="1" x14ac:dyDescent="0.35">
      <c r="A292" s="79">
        <v>1110082</v>
      </c>
      <c r="B292" t="s">
        <v>163</v>
      </c>
      <c r="C292" s="80">
        <v>501065</v>
      </c>
      <c r="D292" t="s">
        <v>124</v>
      </c>
      <c r="E292" s="81">
        <v>1</v>
      </c>
      <c r="F292" t="s">
        <v>21</v>
      </c>
      <c r="G292" s="55">
        <v>125.94</v>
      </c>
      <c r="H292" s="82">
        <v>125.94</v>
      </c>
      <c r="I292" s="83" t="str">
        <f>VLOOKUP(E292,[1]Mapping!$A$3:$B$14,2,FALSE)</f>
        <v>Jul</v>
      </c>
      <c r="J292" s="84">
        <f t="shared" si="8"/>
        <v>1110082</v>
      </c>
      <c r="K292" s="84">
        <f t="shared" si="9"/>
        <v>501065</v>
      </c>
      <c r="L292" s="61" t="str">
        <f>VLOOKUP(K292,[1]Mapping!$J$3:$Q$351,8,FALSE)</f>
        <v>Fringe Benefits</v>
      </c>
      <c r="M292" t="s">
        <v>83</v>
      </c>
    </row>
    <row r="293" spans="1:13" hidden="1" x14ac:dyDescent="0.35">
      <c r="A293" s="79">
        <v>1110082</v>
      </c>
      <c r="B293" t="s">
        <v>163</v>
      </c>
      <c r="C293" s="80">
        <v>501069</v>
      </c>
      <c r="D293" t="s">
        <v>125</v>
      </c>
      <c r="E293" s="81">
        <v>1</v>
      </c>
      <c r="F293" t="s">
        <v>21</v>
      </c>
      <c r="G293" s="55">
        <v>1899.85</v>
      </c>
      <c r="H293" s="82">
        <v>1899.85</v>
      </c>
      <c r="I293" s="83" t="str">
        <f>VLOOKUP(E293,[1]Mapping!$A$3:$B$14,2,FALSE)</f>
        <v>Jul</v>
      </c>
      <c r="J293" s="84">
        <f t="shared" si="8"/>
        <v>1110082</v>
      </c>
      <c r="K293" s="84">
        <f t="shared" si="9"/>
        <v>501069</v>
      </c>
      <c r="L293" s="61" t="str">
        <f>VLOOKUP(K293,[1]Mapping!$J$3:$Q$351,8,FALSE)</f>
        <v>Fringe Benefits</v>
      </c>
      <c r="M293" t="s">
        <v>83</v>
      </c>
    </row>
    <row r="294" spans="1:13" hidden="1" x14ac:dyDescent="0.35">
      <c r="A294" s="79">
        <v>1110082</v>
      </c>
      <c r="B294" t="s">
        <v>163</v>
      </c>
      <c r="C294" s="80">
        <v>501710</v>
      </c>
      <c r="D294" t="s">
        <v>45</v>
      </c>
      <c r="E294" s="81">
        <v>1</v>
      </c>
      <c r="F294" t="s">
        <v>27</v>
      </c>
      <c r="G294" s="55">
        <v>541.74</v>
      </c>
      <c r="H294" s="82">
        <v>541.74</v>
      </c>
      <c r="I294" s="83" t="str">
        <f>VLOOKUP(E294,[1]Mapping!$A$3:$B$14,2,FALSE)</f>
        <v>Jul</v>
      </c>
      <c r="J294" s="84">
        <f t="shared" si="8"/>
        <v>1110082</v>
      </c>
      <c r="K294" s="84">
        <f t="shared" si="9"/>
        <v>501710</v>
      </c>
      <c r="L294" s="61" t="str">
        <f>VLOOKUP(K294,[1]Mapping!$J$3:$Q$351,8,FALSE)</f>
        <v>Outside Services</v>
      </c>
      <c r="M294" t="s">
        <v>83</v>
      </c>
    </row>
    <row r="295" spans="1:13" hidden="1" x14ac:dyDescent="0.35">
      <c r="A295" s="79">
        <v>1110082</v>
      </c>
      <c r="B295" t="s">
        <v>163</v>
      </c>
      <c r="C295" s="80">
        <v>501609</v>
      </c>
      <c r="D295" t="s">
        <v>47</v>
      </c>
      <c r="E295" s="81">
        <v>1</v>
      </c>
      <c r="F295" t="s">
        <v>24</v>
      </c>
      <c r="G295" s="55">
        <v>1934.79</v>
      </c>
      <c r="H295" s="82">
        <v>1934.79</v>
      </c>
      <c r="I295" s="83" t="str">
        <f>VLOOKUP(E295,[1]Mapping!$A$3:$B$14,2,FALSE)</f>
        <v>Jul</v>
      </c>
      <c r="J295" s="84">
        <f t="shared" si="8"/>
        <v>1110082</v>
      </c>
      <c r="K295" s="84">
        <f t="shared" si="9"/>
        <v>501609</v>
      </c>
      <c r="L295" s="61" t="str">
        <f>VLOOKUP(K295,[1]Mapping!$J$3:$Q$351,8,FALSE)</f>
        <v>Supplies Expenses</v>
      </c>
      <c r="M295" t="s">
        <v>83</v>
      </c>
    </row>
    <row r="296" spans="1:13" hidden="1" x14ac:dyDescent="0.35">
      <c r="A296" s="79">
        <v>1110082</v>
      </c>
      <c r="B296" t="s">
        <v>163</v>
      </c>
      <c r="C296" s="80">
        <v>501053</v>
      </c>
      <c r="D296" t="s">
        <v>40</v>
      </c>
      <c r="E296" s="81">
        <v>1</v>
      </c>
      <c r="F296" t="s">
        <v>20</v>
      </c>
      <c r="G296" s="55">
        <v>24.72</v>
      </c>
      <c r="H296" s="82">
        <v>24.72</v>
      </c>
      <c r="I296" s="83" t="str">
        <f>VLOOKUP(E296,[1]Mapping!$A$3:$B$14,2,FALSE)</f>
        <v>Jul</v>
      </c>
      <c r="J296" s="84">
        <f t="shared" si="8"/>
        <v>1110082</v>
      </c>
      <c r="K296" s="84">
        <f t="shared" si="9"/>
        <v>501053</v>
      </c>
      <c r="L296" s="61" t="str">
        <f>VLOOKUP(K296,[1]Mapping!$J$3:$Q$351,8,FALSE)</f>
        <v>Overtime</v>
      </c>
      <c r="M296" t="s">
        <v>83</v>
      </c>
    </row>
    <row r="297" spans="1:13" hidden="1" x14ac:dyDescent="0.35">
      <c r="A297" s="79">
        <v>1110082</v>
      </c>
      <c r="B297" t="s">
        <v>163</v>
      </c>
      <c r="C297" s="80">
        <v>607130</v>
      </c>
      <c r="D297" t="s">
        <v>155</v>
      </c>
      <c r="E297" s="81">
        <v>1</v>
      </c>
      <c r="F297" t="s">
        <v>29</v>
      </c>
      <c r="G297" s="55">
        <v>37.93</v>
      </c>
      <c r="H297" s="82">
        <v>37.93</v>
      </c>
      <c r="I297" s="83" t="str">
        <f>VLOOKUP(E297,[1]Mapping!$A$3:$B$14,2,FALSE)</f>
        <v>Jul</v>
      </c>
      <c r="J297" s="84">
        <f t="shared" si="8"/>
        <v>1110082</v>
      </c>
      <c r="K297" s="84">
        <f t="shared" si="9"/>
        <v>607130</v>
      </c>
      <c r="L297" s="61" t="str">
        <f>VLOOKUP(K297,[1]Mapping!$J$3:$Q$351,8,FALSE)</f>
        <v>Other</v>
      </c>
      <c r="M297" t="s">
        <v>83</v>
      </c>
    </row>
    <row r="298" spans="1:13" hidden="1" x14ac:dyDescent="0.35">
      <c r="A298" s="79">
        <v>1110082</v>
      </c>
      <c r="B298" t="s">
        <v>163</v>
      </c>
      <c r="C298" s="80">
        <v>600020</v>
      </c>
      <c r="D298" t="s">
        <v>91</v>
      </c>
      <c r="E298" s="81">
        <v>1</v>
      </c>
      <c r="F298" t="s">
        <v>21</v>
      </c>
      <c r="G298" s="55">
        <v>4752.47</v>
      </c>
      <c r="H298" s="82">
        <v>4752.47</v>
      </c>
      <c r="I298" s="83" t="str">
        <f>VLOOKUP(E298,[1]Mapping!$A$3:$B$14,2,FALSE)</f>
        <v>Jul</v>
      </c>
      <c r="J298" s="84">
        <f t="shared" si="8"/>
        <v>1110082</v>
      </c>
      <c r="K298" s="84">
        <f t="shared" si="9"/>
        <v>600020</v>
      </c>
      <c r="L298" s="61" t="str">
        <f>VLOOKUP(K298,[1]Mapping!$J$3:$Q$351,8,FALSE)</f>
        <v>Fringe Benefits</v>
      </c>
      <c r="M298" t="s">
        <v>83</v>
      </c>
    </row>
    <row r="299" spans="1:13" hidden="1" x14ac:dyDescent="0.35">
      <c r="A299" s="79">
        <v>1110082</v>
      </c>
      <c r="B299" t="s">
        <v>163</v>
      </c>
      <c r="C299" s="80">
        <v>600055</v>
      </c>
      <c r="D299" t="s">
        <v>92</v>
      </c>
      <c r="E299" s="81">
        <v>1</v>
      </c>
      <c r="F299" t="s">
        <v>21</v>
      </c>
      <c r="G299" s="55">
        <v>380.2</v>
      </c>
      <c r="H299" s="82">
        <v>380.2</v>
      </c>
      <c r="I299" s="83" t="str">
        <f>VLOOKUP(E299,[1]Mapping!$A$3:$B$14,2,FALSE)</f>
        <v>Jul</v>
      </c>
      <c r="J299" s="84">
        <f t="shared" si="8"/>
        <v>1110082</v>
      </c>
      <c r="K299" s="84">
        <f t="shared" si="9"/>
        <v>600055</v>
      </c>
      <c r="L299" s="61" t="str">
        <f>VLOOKUP(K299,[1]Mapping!$J$3:$Q$351,8,FALSE)</f>
        <v>Fringe Benefits</v>
      </c>
      <c r="M299" t="s">
        <v>83</v>
      </c>
    </row>
    <row r="300" spans="1:13" hidden="1" x14ac:dyDescent="0.35">
      <c r="A300" s="79">
        <v>1110082</v>
      </c>
      <c r="B300" t="s">
        <v>163</v>
      </c>
      <c r="C300" s="80">
        <v>607091</v>
      </c>
      <c r="D300" t="s">
        <v>156</v>
      </c>
      <c r="E300" s="81">
        <v>1</v>
      </c>
      <c r="F300" t="s">
        <v>28</v>
      </c>
      <c r="G300" s="55">
        <v>84.3</v>
      </c>
      <c r="H300" s="82">
        <v>84.3</v>
      </c>
      <c r="I300" s="83" t="str">
        <f>VLOOKUP(E300,[1]Mapping!$A$3:$B$14,2,FALSE)</f>
        <v>Jul</v>
      </c>
      <c r="J300" s="84">
        <f t="shared" si="8"/>
        <v>1110082</v>
      </c>
      <c r="K300" s="84">
        <f t="shared" si="9"/>
        <v>607091</v>
      </c>
      <c r="L300" s="61" t="str">
        <f>VLOOKUP(K300,[1]Mapping!$J$3:$Q$351,8,FALSE)</f>
        <v>Inbound Freight</v>
      </c>
      <c r="M300" t="s">
        <v>83</v>
      </c>
    </row>
    <row r="301" spans="1:13" hidden="1" x14ac:dyDescent="0.35">
      <c r="A301" s="79">
        <v>1110082</v>
      </c>
      <c r="B301" t="s">
        <v>163</v>
      </c>
      <c r="C301" s="80">
        <v>508004</v>
      </c>
      <c r="D301" t="s">
        <v>130</v>
      </c>
      <c r="E301" s="81">
        <v>1</v>
      </c>
      <c r="F301" t="s">
        <v>31</v>
      </c>
      <c r="G301" s="55">
        <v>3620.6400000000003</v>
      </c>
      <c r="H301" s="82">
        <v>3620.6400000000003</v>
      </c>
      <c r="I301" s="83" t="str">
        <f>VLOOKUP(E301,[1]Mapping!$A$3:$B$14,2,FALSE)</f>
        <v>Jul</v>
      </c>
      <c r="J301" s="84">
        <f t="shared" si="8"/>
        <v>1110082</v>
      </c>
      <c r="K301" s="84">
        <f t="shared" si="9"/>
        <v>508004</v>
      </c>
      <c r="L301" s="61" t="str">
        <f>VLOOKUP(K301,[1]Mapping!$J$3:$Q$351,8,FALSE)</f>
        <v>Depreciation</v>
      </c>
      <c r="M301" t="s">
        <v>83</v>
      </c>
    </row>
    <row r="302" spans="1:13" hidden="1" x14ac:dyDescent="0.35">
      <c r="A302" s="79">
        <v>1110082</v>
      </c>
      <c r="B302" t="s">
        <v>163</v>
      </c>
      <c r="C302" s="80">
        <v>501070</v>
      </c>
      <c r="D302" t="s">
        <v>135</v>
      </c>
      <c r="E302" s="81">
        <v>1</v>
      </c>
      <c r="F302" t="s">
        <v>21</v>
      </c>
      <c r="G302" s="55">
        <v>5040</v>
      </c>
      <c r="H302" s="82">
        <v>5040</v>
      </c>
      <c r="I302" s="83" t="str">
        <f>VLOOKUP(E302,[1]Mapping!$A$3:$B$14,2,FALSE)</f>
        <v>Jul</v>
      </c>
      <c r="J302" s="84">
        <f t="shared" si="8"/>
        <v>1110082</v>
      </c>
      <c r="K302" s="84">
        <f t="shared" si="9"/>
        <v>501070</v>
      </c>
      <c r="L302" s="61" t="str">
        <f>VLOOKUP(K302,[1]Mapping!$J$3:$Q$351,8,FALSE)</f>
        <v>Fringe Benefits</v>
      </c>
      <c r="M302" t="s">
        <v>83</v>
      </c>
    </row>
    <row r="303" spans="1:13" hidden="1" x14ac:dyDescent="0.35">
      <c r="A303" s="79">
        <v>1110088</v>
      </c>
      <c r="B303" t="s">
        <v>164</v>
      </c>
      <c r="C303" s="80">
        <v>501050</v>
      </c>
      <c r="D303" t="s">
        <v>39</v>
      </c>
      <c r="E303" s="81">
        <v>1</v>
      </c>
      <c r="F303" t="s">
        <v>19</v>
      </c>
      <c r="G303" s="55">
        <v>120004.2</v>
      </c>
      <c r="H303" s="82">
        <v>120004.2</v>
      </c>
      <c r="I303" s="83" t="str">
        <f>VLOOKUP(E303,[1]Mapping!$A$3:$B$14,2,FALSE)</f>
        <v>Jul</v>
      </c>
      <c r="J303" s="84">
        <f t="shared" si="8"/>
        <v>1110088</v>
      </c>
      <c r="K303" s="84">
        <f t="shared" si="9"/>
        <v>501050</v>
      </c>
      <c r="L303" s="61" t="str">
        <f>VLOOKUP(K303,[1]Mapping!$J$3:$Q$351,8,FALSE)</f>
        <v>Wages &amp; Salaries</v>
      </c>
      <c r="M303" t="s">
        <v>83</v>
      </c>
    </row>
    <row r="304" spans="1:13" hidden="1" x14ac:dyDescent="0.35">
      <c r="A304" s="79">
        <v>1110088</v>
      </c>
      <c r="B304" t="s">
        <v>164</v>
      </c>
      <c r="C304" s="80">
        <v>501051</v>
      </c>
      <c r="D304" t="s">
        <v>121</v>
      </c>
      <c r="E304" s="81">
        <v>1</v>
      </c>
      <c r="F304" t="s">
        <v>19</v>
      </c>
      <c r="G304" s="55">
        <v>5825.45</v>
      </c>
      <c r="H304" s="82">
        <v>5825.45</v>
      </c>
      <c r="I304" s="83" t="str">
        <f>VLOOKUP(E304,[1]Mapping!$A$3:$B$14,2,FALSE)</f>
        <v>Jul</v>
      </c>
      <c r="J304" s="84">
        <f t="shared" si="8"/>
        <v>1110088</v>
      </c>
      <c r="K304" s="84">
        <f t="shared" si="9"/>
        <v>501051</v>
      </c>
      <c r="L304" s="61" t="str">
        <f>VLOOKUP(K304,[1]Mapping!$J$3:$Q$351,8,FALSE)</f>
        <v>Wages &amp; Salaries</v>
      </c>
      <c r="M304" t="s">
        <v>83</v>
      </c>
    </row>
    <row r="305" spans="1:13" hidden="1" x14ac:dyDescent="0.35">
      <c r="A305" s="79">
        <v>1110088</v>
      </c>
      <c r="B305" t="s">
        <v>164</v>
      </c>
      <c r="C305" s="80">
        <v>501058</v>
      </c>
      <c r="D305" t="s">
        <v>122</v>
      </c>
      <c r="E305" s="81">
        <v>1</v>
      </c>
      <c r="F305" t="s">
        <v>21</v>
      </c>
      <c r="G305" s="55">
        <v>7799.6200000000008</v>
      </c>
      <c r="H305" s="82">
        <v>7799.6200000000008</v>
      </c>
      <c r="I305" s="83" t="str">
        <f>VLOOKUP(E305,[1]Mapping!$A$3:$B$14,2,FALSE)</f>
        <v>Jul</v>
      </c>
      <c r="J305" s="84">
        <f t="shared" si="8"/>
        <v>1110088</v>
      </c>
      <c r="K305" s="84">
        <f t="shared" si="9"/>
        <v>501058</v>
      </c>
      <c r="L305" s="61" t="str">
        <f>VLOOKUP(K305,[1]Mapping!$J$3:$Q$351,8,FALSE)</f>
        <v>Fringe Benefits</v>
      </c>
      <c r="M305" t="s">
        <v>83</v>
      </c>
    </row>
    <row r="306" spans="1:13" hidden="1" x14ac:dyDescent="0.35">
      <c r="A306" s="79">
        <v>1110088</v>
      </c>
      <c r="B306" t="s">
        <v>164</v>
      </c>
      <c r="C306" s="80">
        <v>501062</v>
      </c>
      <c r="D306" t="s">
        <v>41</v>
      </c>
      <c r="E306" s="81">
        <v>1</v>
      </c>
      <c r="F306" t="s">
        <v>21</v>
      </c>
      <c r="G306" s="55">
        <v>231.01999999999998</v>
      </c>
      <c r="H306" s="82">
        <v>231.01999999999998</v>
      </c>
      <c r="I306" s="83" t="str">
        <f>VLOOKUP(E306,[1]Mapping!$A$3:$B$14,2,FALSE)</f>
        <v>Jul</v>
      </c>
      <c r="J306" s="84">
        <f t="shared" si="8"/>
        <v>1110088</v>
      </c>
      <c r="K306" s="84">
        <f t="shared" si="9"/>
        <v>501062</v>
      </c>
      <c r="L306" s="61" t="str">
        <f>VLOOKUP(K306,[1]Mapping!$J$3:$Q$351,8,FALSE)</f>
        <v>Fringe Benefits</v>
      </c>
      <c r="M306" t="s">
        <v>83</v>
      </c>
    </row>
    <row r="307" spans="1:13" hidden="1" x14ac:dyDescent="0.35">
      <c r="A307" s="79">
        <v>1110088</v>
      </c>
      <c r="B307" t="s">
        <v>164</v>
      </c>
      <c r="C307" s="80">
        <v>501063</v>
      </c>
      <c r="D307" t="s">
        <v>123</v>
      </c>
      <c r="E307" s="81">
        <v>1</v>
      </c>
      <c r="F307" t="s">
        <v>21</v>
      </c>
      <c r="G307" s="55">
        <v>3560.01</v>
      </c>
      <c r="H307" s="82">
        <v>3560.01</v>
      </c>
      <c r="I307" s="83" t="str">
        <f>VLOOKUP(E307,[1]Mapping!$A$3:$B$14,2,FALSE)</f>
        <v>Jul</v>
      </c>
      <c r="J307" s="84">
        <f t="shared" si="8"/>
        <v>1110088</v>
      </c>
      <c r="K307" s="84">
        <f t="shared" si="9"/>
        <v>501063</v>
      </c>
      <c r="L307" s="61" t="str">
        <f>VLOOKUP(K307,[1]Mapping!$J$3:$Q$351,8,FALSE)</f>
        <v>Fringe Benefits</v>
      </c>
      <c r="M307" t="s">
        <v>83</v>
      </c>
    </row>
    <row r="308" spans="1:13" hidden="1" x14ac:dyDescent="0.35">
      <c r="A308" s="79">
        <v>1110088</v>
      </c>
      <c r="B308" t="s">
        <v>164</v>
      </c>
      <c r="C308" s="80">
        <v>501065</v>
      </c>
      <c r="D308" t="s">
        <v>124</v>
      </c>
      <c r="E308" s="81">
        <v>1</v>
      </c>
      <c r="F308" t="s">
        <v>21</v>
      </c>
      <c r="G308" s="55">
        <v>274.37</v>
      </c>
      <c r="H308" s="82">
        <v>274.37</v>
      </c>
      <c r="I308" s="83" t="str">
        <f>VLOOKUP(E308,[1]Mapping!$A$3:$B$14,2,FALSE)</f>
        <v>Jul</v>
      </c>
      <c r="J308" s="84">
        <f t="shared" si="8"/>
        <v>1110088</v>
      </c>
      <c r="K308" s="84">
        <f t="shared" si="9"/>
        <v>501065</v>
      </c>
      <c r="L308" s="61" t="str">
        <f>VLOOKUP(K308,[1]Mapping!$J$3:$Q$351,8,FALSE)</f>
        <v>Fringe Benefits</v>
      </c>
      <c r="M308" t="s">
        <v>83</v>
      </c>
    </row>
    <row r="309" spans="1:13" hidden="1" x14ac:dyDescent="0.35">
      <c r="A309" s="79">
        <v>1110088</v>
      </c>
      <c r="B309" t="s">
        <v>164</v>
      </c>
      <c r="C309" s="80">
        <v>501069</v>
      </c>
      <c r="D309" t="s">
        <v>125</v>
      </c>
      <c r="E309" s="81">
        <v>1</v>
      </c>
      <c r="F309" t="s">
        <v>21</v>
      </c>
      <c r="G309" s="55">
        <v>5293.69</v>
      </c>
      <c r="H309" s="82">
        <v>5293.69</v>
      </c>
      <c r="I309" s="83" t="str">
        <f>VLOOKUP(E309,[1]Mapping!$A$3:$B$14,2,FALSE)</f>
        <v>Jul</v>
      </c>
      <c r="J309" s="84">
        <f t="shared" si="8"/>
        <v>1110088</v>
      </c>
      <c r="K309" s="84">
        <f t="shared" si="9"/>
        <v>501069</v>
      </c>
      <c r="L309" s="61" t="str">
        <f>VLOOKUP(K309,[1]Mapping!$J$3:$Q$351,8,FALSE)</f>
        <v>Fringe Benefits</v>
      </c>
      <c r="M309" t="s">
        <v>83</v>
      </c>
    </row>
    <row r="310" spans="1:13" hidden="1" x14ac:dyDescent="0.35">
      <c r="A310" s="79">
        <v>1110088</v>
      </c>
      <c r="B310" t="s">
        <v>164</v>
      </c>
      <c r="C310" s="80">
        <v>600030</v>
      </c>
      <c r="D310" t="s">
        <v>110</v>
      </c>
      <c r="E310" s="81">
        <v>1</v>
      </c>
      <c r="F310" t="s">
        <v>23</v>
      </c>
      <c r="G310" s="55">
        <v>253.11</v>
      </c>
      <c r="H310" s="82">
        <v>253.11</v>
      </c>
      <c r="I310" s="83" t="str">
        <f>VLOOKUP(E310,[1]Mapping!$A$3:$B$14,2,FALSE)</f>
        <v>Jul</v>
      </c>
      <c r="J310" s="84">
        <f t="shared" si="8"/>
        <v>1110088</v>
      </c>
      <c r="K310" s="84">
        <f t="shared" si="9"/>
        <v>600030</v>
      </c>
      <c r="L310" s="61" t="str">
        <f>VLOOKUP(K310,[1]Mapping!$J$3:$Q$351,8,FALSE)</f>
        <v>Travel &amp; Entertainment</v>
      </c>
      <c r="M310" t="s">
        <v>83</v>
      </c>
    </row>
    <row r="311" spans="1:13" hidden="1" x14ac:dyDescent="0.35">
      <c r="A311" s="79">
        <v>1110088</v>
      </c>
      <c r="B311" t="s">
        <v>164</v>
      </c>
      <c r="C311" s="80">
        <v>600044</v>
      </c>
      <c r="D311" t="s">
        <v>111</v>
      </c>
      <c r="E311" s="81">
        <v>1</v>
      </c>
      <c r="F311" t="s">
        <v>23</v>
      </c>
      <c r="G311" s="55">
        <v>223.32999999999998</v>
      </c>
      <c r="H311" s="82">
        <v>223.32999999999998</v>
      </c>
      <c r="I311" s="83" t="str">
        <f>VLOOKUP(E311,[1]Mapping!$A$3:$B$14,2,FALSE)</f>
        <v>Jul</v>
      </c>
      <c r="J311" s="84">
        <f t="shared" si="8"/>
        <v>1110088</v>
      </c>
      <c r="K311" s="84">
        <f t="shared" si="9"/>
        <v>600044</v>
      </c>
      <c r="L311" s="61" t="str">
        <f>VLOOKUP(K311,[1]Mapping!$J$3:$Q$351,8,FALSE)</f>
        <v>Travel &amp; Entertainment</v>
      </c>
      <c r="M311" t="s">
        <v>83</v>
      </c>
    </row>
    <row r="312" spans="1:13" hidden="1" x14ac:dyDescent="0.35">
      <c r="A312" s="79">
        <v>1110088</v>
      </c>
      <c r="B312" t="s">
        <v>164</v>
      </c>
      <c r="C312" s="80">
        <v>600043</v>
      </c>
      <c r="D312" t="s">
        <v>102</v>
      </c>
      <c r="E312" s="81">
        <v>1</v>
      </c>
      <c r="F312" t="s">
        <v>23</v>
      </c>
      <c r="G312" s="55">
        <v>735.23000000000138</v>
      </c>
      <c r="H312" s="82">
        <v>735.23000000000138</v>
      </c>
      <c r="I312" s="83" t="str">
        <f>VLOOKUP(E312,[1]Mapping!$A$3:$B$14,2,FALSE)</f>
        <v>Jul</v>
      </c>
      <c r="J312" s="84">
        <f t="shared" si="8"/>
        <v>1110088</v>
      </c>
      <c r="K312" s="84">
        <f t="shared" si="9"/>
        <v>600043</v>
      </c>
      <c r="L312" s="61" t="str">
        <f>VLOOKUP(K312,[1]Mapping!$J$3:$Q$351,8,FALSE)</f>
        <v>Travel &amp; Entertainment</v>
      </c>
      <c r="M312" t="s">
        <v>83</v>
      </c>
    </row>
    <row r="313" spans="1:13" hidden="1" x14ac:dyDescent="0.35">
      <c r="A313" s="79">
        <v>1110088</v>
      </c>
      <c r="B313" t="s">
        <v>164</v>
      </c>
      <c r="C313" s="80">
        <v>600027</v>
      </c>
      <c r="D313" t="s">
        <v>112</v>
      </c>
      <c r="E313" s="81">
        <v>1</v>
      </c>
      <c r="F313" t="s">
        <v>23</v>
      </c>
      <c r="G313" s="55">
        <v>54.69</v>
      </c>
      <c r="H313" s="82">
        <v>54.69</v>
      </c>
      <c r="I313" s="83" t="str">
        <f>VLOOKUP(E313,[1]Mapping!$A$3:$B$14,2,FALSE)</f>
        <v>Jul</v>
      </c>
      <c r="J313" s="84">
        <f t="shared" si="8"/>
        <v>1110088</v>
      </c>
      <c r="K313" s="84">
        <f t="shared" si="9"/>
        <v>600027</v>
      </c>
      <c r="L313" s="61" t="str">
        <f>VLOOKUP(K313,[1]Mapping!$J$3:$Q$351,8,FALSE)</f>
        <v>Travel &amp; Entertainment</v>
      </c>
      <c r="M313" t="s">
        <v>83</v>
      </c>
    </row>
    <row r="314" spans="1:13" hidden="1" x14ac:dyDescent="0.35">
      <c r="A314" s="79">
        <v>1110088</v>
      </c>
      <c r="B314" t="s">
        <v>164</v>
      </c>
      <c r="C314" s="80">
        <v>600029</v>
      </c>
      <c r="D314" t="s">
        <v>113</v>
      </c>
      <c r="E314" s="81">
        <v>1</v>
      </c>
      <c r="F314" t="s">
        <v>23</v>
      </c>
      <c r="G314" s="55">
        <v>2083.88</v>
      </c>
      <c r="H314" s="82">
        <v>2083.88</v>
      </c>
      <c r="I314" s="83" t="str">
        <f>VLOOKUP(E314,[1]Mapping!$A$3:$B$14,2,FALSE)</f>
        <v>Jul</v>
      </c>
      <c r="J314" s="84">
        <f t="shared" si="8"/>
        <v>1110088</v>
      </c>
      <c r="K314" s="84">
        <f t="shared" si="9"/>
        <v>600029</v>
      </c>
      <c r="L314" s="61" t="str">
        <f>VLOOKUP(K314,[1]Mapping!$J$3:$Q$351,8,FALSE)</f>
        <v>Travel &amp; Entertainment</v>
      </c>
      <c r="M314" t="s">
        <v>83</v>
      </c>
    </row>
    <row r="315" spans="1:13" hidden="1" x14ac:dyDescent="0.35">
      <c r="A315" s="79">
        <v>1110088</v>
      </c>
      <c r="B315" t="s">
        <v>164</v>
      </c>
      <c r="C315" s="80">
        <v>600045</v>
      </c>
      <c r="D315" t="s">
        <v>127</v>
      </c>
      <c r="E315" s="81">
        <v>1</v>
      </c>
      <c r="F315" t="s">
        <v>23</v>
      </c>
      <c r="G315" s="55">
        <v>186.53999999999974</v>
      </c>
      <c r="H315" s="82">
        <v>186.53999999999974</v>
      </c>
      <c r="I315" s="83" t="str">
        <f>VLOOKUP(E315,[1]Mapping!$A$3:$B$14,2,FALSE)</f>
        <v>Jul</v>
      </c>
      <c r="J315" s="84">
        <f t="shared" si="8"/>
        <v>1110088</v>
      </c>
      <c r="K315" s="84">
        <f t="shared" si="9"/>
        <v>600045</v>
      </c>
      <c r="L315" s="61" t="str">
        <f>VLOOKUP(K315,[1]Mapping!$J$3:$Q$351,8,FALSE)</f>
        <v>Travel &amp; Entertainment</v>
      </c>
      <c r="M315" t="s">
        <v>83</v>
      </c>
    </row>
    <row r="316" spans="1:13" hidden="1" x14ac:dyDescent="0.35">
      <c r="A316" s="79">
        <v>1110088</v>
      </c>
      <c r="B316" t="s">
        <v>164</v>
      </c>
      <c r="C316" s="80">
        <v>600020</v>
      </c>
      <c r="D316" t="s">
        <v>91</v>
      </c>
      <c r="E316" s="81">
        <v>1</v>
      </c>
      <c r="F316" t="s">
        <v>21</v>
      </c>
      <c r="G316" s="55">
        <v>34415.599999999999</v>
      </c>
      <c r="H316" s="82">
        <v>34415.599999999999</v>
      </c>
      <c r="I316" s="83" t="str">
        <f>VLOOKUP(E316,[1]Mapping!$A$3:$B$14,2,FALSE)</f>
        <v>Jul</v>
      </c>
      <c r="J316" s="84">
        <f t="shared" si="8"/>
        <v>1110088</v>
      </c>
      <c r="K316" s="84">
        <f t="shared" si="9"/>
        <v>600020</v>
      </c>
      <c r="L316" s="61" t="str">
        <f>VLOOKUP(K316,[1]Mapping!$J$3:$Q$351,8,FALSE)</f>
        <v>Fringe Benefits</v>
      </c>
      <c r="M316" t="s">
        <v>83</v>
      </c>
    </row>
    <row r="317" spans="1:13" hidden="1" x14ac:dyDescent="0.35">
      <c r="A317" s="79">
        <v>1110088</v>
      </c>
      <c r="B317" t="s">
        <v>164</v>
      </c>
      <c r="C317" s="80">
        <v>600055</v>
      </c>
      <c r="D317" t="s">
        <v>92</v>
      </c>
      <c r="E317" s="81">
        <v>1</v>
      </c>
      <c r="F317" t="s">
        <v>21</v>
      </c>
      <c r="G317" s="55">
        <v>2753.25</v>
      </c>
      <c r="H317" s="82">
        <v>2753.25</v>
      </c>
      <c r="I317" s="83" t="str">
        <f>VLOOKUP(E317,[1]Mapping!$A$3:$B$14,2,FALSE)</f>
        <v>Jul</v>
      </c>
      <c r="J317" s="84">
        <f t="shared" si="8"/>
        <v>1110088</v>
      </c>
      <c r="K317" s="84">
        <f t="shared" si="9"/>
        <v>600055</v>
      </c>
      <c r="L317" s="61" t="str">
        <f>VLOOKUP(K317,[1]Mapping!$J$3:$Q$351,8,FALSE)</f>
        <v>Fringe Benefits</v>
      </c>
      <c r="M317" t="s">
        <v>83</v>
      </c>
    </row>
    <row r="318" spans="1:13" hidden="1" x14ac:dyDescent="0.35">
      <c r="A318" s="79">
        <v>1110088</v>
      </c>
      <c r="B318" t="s">
        <v>164</v>
      </c>
      <c r="C318" s="80">
        <v>600051</v>
      </c>
      <c r="D318" t="s">
        <v>157</v>
      </c>
      <c r="E318" s="81">
        <v>1</v>
      </c>
      <c r="F318" t="s">
        <v>23</v>
      </c>
      <c r="G318" s="55">
        <v>522.67000000000007</v>
      </c>
      <c r="H318" s="82">
        <v>522.67000000000007</v>
      </c>
      <c r="I318" s="83" t="str">
        <f>VLOOKUP(E318,[1]Mapping!$A$3:$B$14,2,FALSE)</f>
        <v>Jul</v>
      </c>
      <c r="J318" s="84">
        <f t="shared" si="8"/>
        <v>1110088</v>
      </c>
      <c r="K318" s="84">
        <f t="shared" si="9"/>
        <v>600051</v>
      </c>
      <c r="L318" s="61" t="str">
        <f>VLOOKUP(K318,[1]Mapping!$J$3:$Q$351,8,FALSE)</f>
        <v>Travel &amp; Entertainment</v>
      </c>
      <c r="M318" t="s">
        <v>83</v>
      </c>
    </row>
    <row r="319" spans="1:13" hidden="1" x14ac:dyDescent="0.35">
      <c r="A319" s="79">
        <v>1110088</v>
      </c>
      <c r="B319" t="s">
        <v>164</v>
      </c>
      <c r="C319" s="80">
        <v>501070</v>
      </c>
      <c r="D319" t="s">
        <v>135</v>
      </c>
      <c r="E319" s="81">
        <v>1</v>
      </c>
      <c r="F319" t="s">
        <v>21</v>
      </c>
      <c r="G319" s="55">
        <v>2880</v>
      </c>
      <c r="H319" s="82">
        <v>2880</v>
      </c>
      <c r="I319" s="83" t="str">
        <f>VLOOKUP(E319,[1]Mapping!$A$3:$B$14,2,FALSE)</f>
        <v>Jul</v>
      </c>
      <c r="J319" s="84">
        <f t="shared" si="8"/>
        <v>1110088</v>
      </c>
      <c r="K319" s="84">
        <f t="shared" si="9"/>
        <v>501070</v>
      </c>
      <c r="L319" s="61" t="str">
        <f>VLOOKUP(K319,[1]Mapping!$J$3:$Q$351,8,FALSE)</f>
        <v>Fringe Benefits</v>
      </c>
      <c r="M319" t="s">
        <v>83</v>
      </c>
    </row>
    <row r="320" spans="1:13" hidden="1" x14ac:dyDescent="0.35">
      <c r="A320" s="79">
        <v>1110088</v>
      </c>
      <c r="B320" t="s">
        <v>164</v>
      </c>
      <c r="C320" s="80">
        <v>600035</v>
      </c>
      <c r="D320" t="s">
        <v>118</v>
      </c>
      <c r="E320" s="81">
        <v>1</v>
      </c>
      <c r="F320" t="s">
        <v>29</v>
      </c>
      <c r="G320" s="55">
        <v>2625</v>
      </c>
      <c r="H320" s="82">
        <v>2625</v>
      </c>
      <c r="I320" s="83" t="str">
        <f>VLOOKUP(E320,[1]Mapping!$A$3:$B$14,2,FALSE)</f>
        <v>Jul</v>
      </c>
      <c r="J320" s="84">
        <f t="shared" si="8"/>
        <v>1110088</v>
      </c>
      <c r="K320" s="84">
        <f t="shared" si="9"/>
        <v>600035</v>
      </c>
      <c r="L320" s="61" t="str">
        <f>VLOOKUP(K320,[1]Mapping!$J$3:$Q$351,8,FALSE)</f>
        <v>Other</v>
      </c>
      <c r="M320" t="s">
        <v>83</v>
      </c>
    </row>
    <row r="321" spans="1:13" hidden="1" x14ac:dyDescent="0.35">
      <c r="A321" s="79">
        <v>1110095</v>
      </c>
      <c r="B321" t="s">
        <v>165</v>
      </c>
      <c r="C321" s="80">
        <v>501050</v>
      </c>
      <c r="D321" t="s">
        <v>39</v>
      </c>
      <c r="E321" s="81">
        <v>1</v>
      </c>
      <c r="F321" t="s">
        <v>19</v>
      </c>
      <c r="G321" s="55">
        <v>12675.829999999998</v>
      </c>
      <c r="H321" s="82">
        <v>12675.829999999998</v>
      </c>
      <c r="I321" s="83" t="str">
        <f>VLOOKUP(E321,[1]Mapping!$A$3:$B$14,2,FALSE)</f>
        <v>Jul</v>
      </c>
      <c r="J321" s="84">
        <f t="shared" si="8"/>
        <v>1110095</v>
      </c>
      <c r="K321" s="84">
        <f t="shared" si="9"/>
        <v>501050</v>
      </c>
      <c r="L321" s="61" t="str">
        <f>VLOOKUP(K321,[1]Mapping!$J$3:$Q$351,8,FALSE)</f>
        <v>Wages &amp; Salaries</v>
      </c>
      <c r="M321" t="s">
        <v>83</v>
      </c>
    </row>
    <row r="322" spans="1:13" hidden="1" x14ac:dyDescent="0.35">
      <c r="A322" s="79">
        <v>1110095</v>
      </c>
      <c r="B322" t="s">
        <v>165</v>
      </c>
      <c r="C322" s="80">
        <v>501058</v>
      </c>
      <c r="D322" t="s">
        <v>122</v>
      </c>
      <c r="E322" s="81">
        <v>1</v>
      </c>
      <c r="F322" t="s">
        <v>21</v>
      </c>
      <c r="G322" s="55">
        <v>1513.3600000000001</v>
      </c>
      <c r="H322" s="82">
        <v>1513.3600000000001</v>
      </c>
      <c r="I322" s="83" t="str">
        <f>VLOOKUP(E322,[1]Mapping!$A$3:$B$14,2,FALSE)</f>
        <v>Jul</v>
      </c>
      <c r="J322" s="84">
        <f t="shared" si="8"/>
        <v>1110095</v>
      </c>
      <c r="K322" s="84">
        <f t="shared" si="9"/>
        <v>501058</v>
      </c>
      <c r="L322" s="61" t="str">
        <f>VLOOKUP(K322,[1]Mapping!$J$3:$Q$351,8,FALSE)</f>
        <v>Fringe Benefits</v>
      </c>
      <c r="M322" t="s">
        <v>83</v>
      </c>
    </row>
    <row r="323" spans="1:13" hidden="1" x14ac:dyDescent="0.35">
      <c r="A323" s="79">
        <v>1110095</v>
      </c>
      <c r="B323" t="s">
        <v>165</v>
      </c>
      <c r="C323" s="80">
        <v>501062</v>
      </c>
      <c r="D323" t="s">
        <v>41</v>
      </c>
      <c r="E323" s="81">
        <v>1</v>
      </c>
      <c r="F323" t="s">
        <v>21</v>
      </c>
      <c r="G323" s="55">
        <v>23.82</v>
      </c>
      <c r="H323" s="82">
        <v>23.82</v>
      </c>
      <c r="I323" s="83" t="str">
        <f>VLOOKUP(E323,[1]Mapping!$A$3:$B$14,2,FALSE)</f>
        <v>Jul</v>
      </c>
      <c r="J323" s="84">
        <f t="shared" si="8"/>
        <v>1110095</v>
      </c>
      <c r="K323" s="84">
        <f t="shared" si="9"/>
        <v>501062</v>
      </c>
      <c r="L323" s="61" t="str">
        <f>VLOOKUP(K323,[1]Mapping!$J$3:$Q$351,8,FALSE)</f>
        <v>Fringe Benefits</v>
      </c>
      <c r="M323" t="s">
        <v>83</v>
      </c>
    </row>
    <row r="324" spans="1:13" hidden="1" x14ac:dyDescent="0.35">
      <c r="A324" s="79">
        <v>1110095</v>
      </c>
      <c r="B324" t="s">
        <v>165</v>
      </c>
      <c r="C324" s="80">
        <v>501063</v>
      </c>
      <c r="D324" t="s">
        <v>123</v>
      </c>
      <c r="E324" s="81">
        <v>1</v>
      </c>
      <c r="F324" t="s">
        <v>21</v>
      </c>
      <c r="G324" s="55">
        <v>2258.96</v>
      </c>
      <c r="H324" s="82">
        <v>2258.96</v>
      </c>
      <c r="I324" s="83" t="str">
        <f>VLOOKUP(E324,[1]Mapping!$A$3:$B$14,2,FALSE)</f>
        <v>Jul</v>
      </c>
      <c r="J324" s="84">
        <f t="shared" si="8"/>
        <v>1110095</v>
      </c>
      <c r="K324" s="84">
        <f t="shared" si="9"/>
        <v>501063</v>
      </c>
      <c r="L324" s="61" t="str">
        <f>VLOOKUP(K324,[1]Mapping!$J$3:$Q$351,8,FALSE)</f>
        <v>Fringe Benefits</v>
      </c>
      <c r="M324" t="s">
        <v>83</v>
      </c>
    </row>
    <row r="325" spans="1:13" hidden="1" x14ac:dyDescent="0.35">
      <c r="A325" s="79">
        <v>1110095</v>
      </c>
      <c r="B325" t="s">
        <v>165</v>
      </c>
      <c r="C325" s="80">
        <v>501065</v>
      </c>
      <c r="D325" t="s">
        <v>124</v>
      </c>
      <c r="E325" s="81">
        <v>1</v>
      </c>
      <c r="F325" t="s">
        <v>21</v>
      </c>
      <c r="G325" s="55">
        <v>34.17</v>
      </c>
      <c r="H325" s="82">
        <v>34.17</v>
      </c>
      <c r="I325" s="83" t="str">
        <f>VLOOKUP(E325,[1]Mapping!$A$3:$B$14,2,FALSE)</f>
        <v>Jul</v>
      </c>
      <c r="J325" s="84">
        <f t="shared" si="8"/>
        <v>1110095</v>
      </c>
      <c r="K325" s="84">
        <f t="shared" si="9"/>
        <v>501065</v>
      </c>
      <c r="L325" s="61" t="str">
        <f>VLOOKUP(K325,[1]Mapping!$J$3:$Q$351,8,FALSE)</f>
        <v>Fringe Benefits</v>
      </c>
      <c r="M325" t="s">
        <v>83</v>
      </c>
    </row>
    <row r="326" spans="1:13" hidden="1" x14ac:dyDescent="0.35">
      <c r="A326" s="79">
        <v>1110095</v>
      </c>
      <c r="B326" t="s">
        <v>165</v>
      </c>
      <c r="C326" s="80">
        <v>501069</v>
      </c>
      <c r="D326" t="s">
        <v>125</v>
      </c>
      <c r="E326" s="81">
        <v>1</v>
      </c>
      <c r="F326" t="s">
        <v>21</v>
      </c>
      <c r="G326" s="55">
        <v>633.78</v>
      </c>
      <c r="H326" s="82">
        <v>633.78</v>
      </c>
      <c r="I326" s="83" t="str">
        <f>VLOOKUP(E326,[1]Mapping!$A$3:$B$14,2,FALSE)</f>
        <v>Jul</v>
      </c>
      <c r="J326" s="84">
        <f t="shared" si="8"/>
        <v>1110095</v>
      </c>
      <c r="K326" s="84">
        <f t="shared" si="9"/>
        <v>501069</v>
      </c>
      <c r="L326" s="61" t="str">
        <f>VLOOKUP(K326,[1]Mapping!$J$3:$Q$351,8,FALSE)</f>
        <v>Fringe Benefits</v>
      </c>
      <c r="M326" t="s">
        <v>83</v>
      </c>
    </row>
    <row r="327" spans="1:13" hidden="1" x14ac:dyDescent="0.35">
      <c r="A327" s="79">
        <v>1110095</v>
      </c>
      <c r="B327" t="s">
        <v>165</v>
      </c>
      <c r="C327" s="80">
        <v>600020</v>
      </c>
      <c r="D327" t="s">
        <v>91</v>
      </c>
      <c r="E327" s="81">
        <v>1</v>
      </c>
      <c r="F327" t="s">
        <v>21</v>
      </c>
      <c r="G327" s="55">
        <v>1194.0999999999999</v>
      </c>
      <c r="H327" s="82">
        <v>1194.0999999999999</v>
      </c>
      <c r="I327" s="83" t="str">
        <f>VLOOKUP(E327,[1]Mapping!$A$3:$B$14,2,FALSE)</f>
        <v>Jul</v>
      </c>
      <c r="J327" s="84">
        <f t="shared" si="8"/>
        <v>1110095</v>
      </c>
      <c r="K327" s="84">
        <f t="shared" si="9"/>
        <v>600020</v>
      </c>
      <c r="L327" s="61" t="str">
        <f>VLOOKUP(K327,[1]Mapping!$J$3:$Q$351,8,FALSE)</f>
        <v>Fringe Benefits</v>
      </c>
      <c r="M327" t="s">
        <v>83</v>
      </c>
    </row>
    <row r="328" spans="1:13" hidden="1" x14ac:dyDescent="0.35">
      <c r="A328" s="79">
        <v>1110095</v>
      </c>
      <c r="B328" t="s">
        <v>165</v>
      </c>
      <c r="C328" s="80">
        <v>600055</v>
      </c>
      <c r="D328" t="s">
        <v>92</v>
      </c>
      <c r="E328" s="81">
        <v>1</v>
      </c>
      <c r="F328" t="s">
        <v>21</v>
      </c>
      <c r="G328" s="55">
        <v>95.53</v>
      </c>
      <c r="H328" s="82">
        <v>95.53</v>
      </c>
      <c r="I328" s="83" t="str">
        <f>VLOOKUP(E328,[1]Mapping!$A$3:$B$14,2,FALSE)</f>
        <v>Jul</v>
      </c>
      <c r="J328" s="84">
        <f t="shared" si="8"/>
        <v>1110095</v>
      </c>
      <c r="K328" s="84">
        <f t="shared" si="9"/>
        <v>600055</v>
      </c>
      <c r="L328" s="61" t="str">
        <f>VLOOKUP(K328,[1]Mapping!$J$3:$Q$351,8,FALSE)</f>
        <v>Fringe Benefits</v>
      </c>
      <c r="M328" t="s">
        <v>83</v>
      </c>
    </row>
    <row r="329" spans="1:13" hidden="1" x14ac:dyDescent="0.35">
      <c r="A329" s="79">
        <v>1110095</v>
      </c>
      <c r="B329" t="s">
        <v>165</v>
      </c>
      <c r="C329" s="80">
        <v>501070</v>
      </c>
      <c r="D329" t="s">
        <v>135</v>
      </c>
      <c r="E329" s="81">
        <v>1</v>
      </c>
      <c r="F329" t="s">
        <v>21</v>
      </c>
      <c r="G329" s="55">
        <v>720</v>
      </c>
      <c r="H329" s="82">
        <v>720</v>
      </c>
      <c r="I329" s="83" t="str">
        <f>VLOOKUP(E329,[1]Mapping!$A$3:$B$14,2,FALSE)</f>
        <v>Jul</v>
      </c>
      <c r="J329" s="84">
        <f t="shared" si="8"/>
        <v>1110095</v>
      </c>
      <c r="K329" s="84">
        <f t="shared" si="9"/>
        <v>501070</v>
      </c>
      <c r="L329" s="61" t="str">
        <f>VLOOKUP(K329,[1]Mapping!$J$3:$Q$351,8,FALSE)</f>
        <v>Fringe Benefits</v>
      </c>
      <c r="M329" t="s">
        <v>83</v>
      </c>
    </row>
    <row r="330" spans="1:13" hidden="1" x14ac:dyDescent="0.35">
      <c r="A330" s="79">
        <v>1110360</v>
      </c>
      <c r="B330" t="s">
        <v>166</v>
      </c>
      <c r="C330" s="80">
        <v>501050</v>
      </c>
      <c r="D330" t="s">
        <v>39</v>
      </c>
      <c r="E330" s="81">
        <v>1</v>
      </c>
      <c r="F330" t="s">
        <v>19</v>
      </c>
      <c r="G330" s="55">
        <v>43104.82</v>
      </c>
      <c r="H330" s="82">
        <v>43104.82</v>
      </c>
      <c r="I330" s="83" t="str">
        <f>VLOOKUP(E330,[1]Mapping!$A$3:$B$14,2,FALSE)</f>
        <v>Jul</v>
      </c>
      <c r="J330" s="84">
        <f t="shared" si="8"/>
        <v>1110360</v>
      </c>
      <c r="K330" s="84">
        <f t="shared" si="9"/>
        <v>501050</v>
      </c>
      <c r="L330" s="61" t="str">
        <f>VLOOKUP(K330,[1]Mapping!$J$3:$Q$351,8,FALSE)</f>
        <v>Wages &amp; Salaries</v>
      </c>
      <c r="M330" t="s">
        <v>83</v>
      </c>
    </row>
    <row r="331" spans="1:13" hidden="1" x14ac:dyDescent="0.35">
      <c r="A331" s="79">
        <v>1110360</v>
      </c>
      <c r="B331" t="s">
        <v>166</v>
      </c>
      <c r="C331" s="80">
        <v>501051</v>
      </c>
      <c r="D331" t="s">
        <v>121</v>
      </c>
      <c r="E331" s="81">
        <v>1</v>
      </c>
      <c r="F331" t="s">
        <v>19</v>
      </c>
      <c r="G331" s="55">
        <v>935.5</v>
      </c>
      <c r="H331" s="82">
        <v>935.5</v>
      </c>
      <c r="I331" s="83" t="str">
        <f>VLOOKUP(E331,[1]Mapping!$A$3:$B$14,2,FALSE)</f>
        <v>Jul</v>
      </c>
      <c r="J331" s="84">
        <f t="shared" ref="J331:J394" si="10">VALUE(A331)</f>
        <v>1110360</v>
      </c>
      <c r="K331" s="84">
        <f t="shared" ref="K331:K394" si="11">VALUE(C331)</f>
        <v>501051</v>
      </c>
      <c r="L331" s="61" t="str">
        <f>VLOOKUP(K331,[1]Mapping!$J$3:$Q$351,8,FALSE)</f>
        <v>Wages &amp; Salaries</v>
      </c>
      <c r="M331" t="s">
        <v>83</v>
      </c>
    </row>
    <row r="332" spans="1:13" hidden="1" x14ac:dyDescent="0.35">
      <c r="A332" s="79">
        <v>1110360</v>
      </c>
      <c r="B332" t="s">
        <v>166</v>
      </c>
      <c r="C332" s="80">
        <v>501058</v>
      </c>
      <c r="D332" t="s">
        <v>122</v>
      </c>
      <c r="E332" s="81">
        <v>1</v>
      </c>
      <c r="F332" t="s">
        <v>21</v>
      </c>
      <c r="G332" s="55">
        <v>3422.44</v>
      </c>
      <c r="H332" s="82">
        <v>3422.44</v>
      </c>
      <c r="I332" s="83" t="str">
        <f>VLOOKUP(E332,[1]Mapping!$A$3:$B$14,2,FALSE)</f>
        <v>Jul</v>
      </c>
      <c r="J332" s="84">
        <f t="shared" si="10"/>
        <v>1110360</v>
      </c>
      <c r="K332" s="84">
        <f t="shared" si="11"/>
        <v>501058</v>
      </c>
      <c r="L332" s="61" t="str">
        <f>VLOOKUP(K332,[1]Mapping!$J$3:$Q$351,8,FALSE)</f>
        <v>Fringe Benefits</v>
      </c>
      <c r="M332" t="s">
        <v>83</v>
      </c>
    </row>
    <row r="333" spans="1:13" hidden="1" x14ac:dyDescent="0.35">
      <c r="A333" s="79">
        <v>1110360</v>
      </c>
      <c r="B333" t="s">
        <v>166</v>
      </c>
      <c r="C333" s="80">
        <v>501062</v>
      </c>
      <c r="D333" t="s">
        <v>41</v>
      </c>
      <c r="E333" s="81">
        <v>1</v>
      </c>
      <c r="F333" t="s">
        <v>21</v>
      </c>
      <c r="G333" s="55">
        <v>75.97</v>
      </c>
      <c r="H333" s="82">
        <v>75.97</v>
      </c>
      <c r="I333" s="83" t="str">
        <f>VLOOKUP(E333,[1]Mapping!$A$3:$B$14,2,FALSE)</f>
        <v>Jul</v>
      </c>
      <c r="J333" s="84">
        <f t="shared" si="10"/>
        <v>1110360</v>
      </c>
      <c r="K333" s="84">
        <f t="shared" si="11"/>
        <v>501062</v>
      </c>
      <c r="L333" s="61" t="str">
        <f>VLOOKUP(K333,[1]Mapping!$J$3:$Q$351,8,FALSE)</f>
        <v>Fringe Benefits</v>
      </c>
      <c r="M333" t="s">
        <v>83</v>
      </c>
    </row>
    <row r="334" spans="1:13" hidden="1" x14ac:dyDescent="0.35">
      <c r="A334" s="79">
        <v>1110360</v>
      </c>
      <c r="B334" t="s">
        <v>166</v>
      </c>
      <c r="C334" s="80">
        <v>501063</v>
      </c>
      <c r="D334" t="s">
        <v>123</v>
      </c>
      <c r="E334" s="81">
        <v>1</v>
      </c>
      <c r="F334" t="s">
        <v>21</v>
      </c>
      <c r="G334" s="55">
        <v>1453.5</v>
      </c>
      <c r="H334" s="82">
        <v>1453.5</v>
      </c>
      <c r="I334" s="83" t="str">
        <f>VLOOKUP(E334,[1]Mapping!$A$3:$B$14,2,FALSE)</f>
        <v>Jul</v>
      </c>
      <c r="J334" s="84">
        <f t="shared" si="10"/>
        <v>1110360</v>
      </c>
      <c r="K334" s="84">
        <f t="shared" si="11"/>
        <v>501063</v>
      </c>
      <c r="L334" s="61" t="str">
        <f>VLOOKUP(K334,[1]Mapping!$J$3:$Q$351,8,FALSE)</f>
        <v>Fringe Benefits</v>
      </c>
      <c r="M334" t="s">
        <v>83</v>
      </c>
    </row>
    <row r="335" spans="1:13" hidden="1" x14ac:dyDescent="0.35">
      <c r="A335" s="79">
        <v>1110360</v>
      </c>
      <c r="B335" t="s">
        <v>166</v>
      </c>
      <c r="C335" s="80">
        <v>501065</v>
      </c>
      <c r="D335" t="s">
        <v>124</v>
      </c>
      <c r="E335" s="81">
        <v>1</v>
      </c>
      <c r="F335" t="s">
        <v>21</v>
      </c>
      <c r="G335" s="55">
        <v>109.35</v>
      </c>
      <c r="H335" s="82">
        <v>109.35</v>
      </c>
      <c r="I335" s="83" t="str">
        <f>VLOOKUP(E335,[1]Mapping!$A$3:$B$14,2,FALSE)</f>
        <v>Jul</v>
      </c>
      <c r="J335" s="84">
        <f t="shared" si="10"/>
        <v>1110360</v>
      </c>
      <c r="K335" s="84">
        <f t="shared" si="11"/>
        <v>501065</v>
      </c>
      <c r="L335" s="61" t="str">
        <f>VLOOKUP(K335,[1]Mapping!$J$3:$Q$351,8,FALSE)</f>
        <v>Fringe Benefits</v>
      </c>
      <c r="M335" t="s">
        <v>83</v>
      </c>
    </row>
    <row r="336" spans="1:13" hidden="1" x14ac:dyDescent="0.35">
      <c r="A336" s="79">
        <v>1110360</v>
      </c>
      <c r="B336" t="s">
        <v>166</v>
      </c>
      <c r="C336" s="80">
        <v>501069</v>
      </c>
      <c r="D336" t="s">
        <v>125</v>
      </c>
      <c r="E336" s="81">
        <v>1</v>
      </c>
      <c r="F336" t="s">
        <v>21</v>
      </c>
      <c r="G336" s="55">
        <v>2267.4700000000003</v>
      </c>
      <c r="H336" s="82">
        <v>2267.4700000000003</v>
      </c>
      <c r="I336" s="83" t="str">
        <f>VLOOKUP(E336,[1]Mapping!$A$3:$B$14,2,FALSE)</f>
        <v>Jul</v>
      </c>
      <c r="J336" s="84">
        <f t="shared" si="10"/>
        <v>1110360</v>
      </c>
      <c r="K336" s="84">
        <f t="shared" si="11"/>
        <v>501069</v>
      </c>
      <c r="L336" s="61" t="str">
        <f>VLOOKUP(K336,[1]Mapping!$J$3:$Q$351,8,FALSE)</f>
        <v>Fringe Benefits</v>
      </c>
      <c r="M336" t="s">
        <v>83</v>
      </c>
    </row>
    <row r="337" spans="1:13" hidden="1" x14ac:dyDescent="0.35">
      <c r="A337" s="79">
        <v>1110360</v>
      </c>
      <c r="B337" t="s">
        <v>166</v>
      </c>
      <c r="C337" s="80">
        <v>608533</v>
      </c>
      <c r="D337" t="s">
        <v>167</v>
      </c>
      <c r="E337" s="81">
        <v>1</v>
      </c>
      <c r="F337" t="s">
        <v>29</v>
      </c>
      <c r="G337" s="55">
        <v>6894.21</v>
      </c>
      <c r="H337" s="82">
        <v>6894.21</v>
      </c>
      <c r="I337" s="83" t="str">
        <f>VLOOKUP(E337,[1]Mapping!$A$3:$B$14,2,FALSE)</f>
        <v>Jul</v>
      </c>
      <c r="J337" s="84">
        <f t="shared" si="10"/>
        <v>1110360</v>
      </c>
      <c r="K337" s="84">
        <f t="shared" si="11"/>
        <v>608533</v>
      </c>
      <c r="L337" s="61" t="str">
        <f>VLOOKUP(K337,[1]Mapping!$J$3:$Q$351,8,FALSE)</f>
        <v>Other</v>
      </c>
      <c r="M337" t="s">
        <v>83</v>
      </c>
    </row>
    <row r="338" spans="1:13" hidden="1" x14ac:dyDescent="0.35">
      <c r="A338" s="79">
        <v>1110360</v>
      </c>
      <c r="B338" t="s">
        <v>166</v>
      </c>
      <c r="C338" s="80">
        <v>600030</v>
      </c>
      <c r="D338" t="s">
        <v>110</v>
      </c>
      <c r="E338" s="81">
        <v>1</v>
      </c>
      <c r="F338" t="s">
        <v>23</v>
      </c>
      <c r="G338" s="55">
        <v>283.59000000000003</v>
      </c>
      <c r="H338" s="82">
        <v>283.59000000000003</v>
      </c>
      <c r="I338" s="83" t="str">
        <f>VLOOKUP(E338,[1]Mapping!$A$3:$B$14,2,FALSE)</f>
        <v>Jul</v>
      </c>
      <c r="J338" s="84">
        <f t="shared" si="10"/>
        <v>1110360</v>
      </c>
      <c r="K338" s="84">
        <f t="shared" si="11"/>
        <v>600030</v>
      </c>
      <c r="L338" s="61" t="str">
        <f>VLOOKUP(K338,[1]Mapping!$J$3:$Q$351,8,FALSE)</f>
        <v>Travel &amp; Entertainment</v>
      </c>
      <c r="M338" t="s">
        <v>83</v>
      </c>
    </row>
    <row r="339" spans="1:13" hidden="1" x14ac:dyDescent="0.35">
      <c r="A339" s="79">
        <v>1110360</v>
      </c>
      <c r="B339" t="s">
        <v>166</v>
      </c>
      <c r="C339" s="80">
        <v>600044</v>
      </c>
      <c r="D339" t="s">
        <v>111</v>
      </c>
      <c r="E339" s="81">
        <v>1</v>
      </c>
      <c r="F339" t="s">
        <v>23</v>
      </c>
      <c r="G339" s="55">
        <v>114.38000000000001</v>
      </c>
      <c r="H339" s="82">
        <v>114.38000000000001</v>
      </c>
      <c r="I339" s="83" t="str">
        <f>VLOOKUP(E339,[1]Mapping!$A$3:$B$14,2,FALSE)</f>
        <v>Jul</v>
      </c>
      <c r="J339" s="84">
        <f t="shared" si="10"/>
        <v>1110360</v>
      </c>
      <c r="K339" s="84">
        <f t="shared" si="11"/>
        <v>600044</v>
      </c>
      <c r="L339" s="61" t="str">
        <f>VLOOKUP(K339,[1]Mapping!$J$3:$Q$351,8,FALSE)</f>
        <v>Travel &amp; Entertainment</v>
      </c>
      <c r="M339" t="s">
        <v>83</v>
      </c>
    </row>
    <row r="340" spans="1:13" hidden="1" x14ac:dyDescent="0.35">
      <c r="A340" s="79">
        <v>1110360</v>
      </c>
      <c r="B340" t="s">
        <v>166</v>
      </c>
      <c r="C340" s="80">
        <v>600043</v>
      </c>
      <c r="D340" t="s">
        <v>102</v>
      </c>
      <c r="E340" s="81">
        <v>1</v>
      </c>
      <c r="F340" t="s">
        <v>23</v>
      </c>
      <c r="G340" s="55">
        <v>570.66999999999996</v>
      </c>
      <c r="H340" s="82">
        <v>570.66999999999996</v>
      </c>
      <c r="I340" s="83" t="str">
        <f>VLOOKUP(E340,[1]Mapping!$A$3:$B$14,2,FALSE)</f>
        <v>Jul</v>
      </c>
      <c r="J340" s="84">
        <f t="shared" si="10"/>
        <v>1110360</v>
      </c>
      <c r="K340" s="84">
        <f t="shared" si="11"/>
        <v>600043</v>
      </c>
      <c r="L340" s="61" t="str">
        <f>VLOOKUP(K340,[1]Mapping!$J$3:$Q$351,8,FALSE)</f>
        <v>Travel &amp; Entertainment</v>
      </c>
      <c r="M340" t="s">
        <v>83</v>
      </c>
    </row>
    <row r="341" spans="1:13" hidden="1" x14ac:dyDescent="0.35">
      <c r="A341" s="79">
        <v>1110360</v>
      </c>
      <c r="B341" t="s">
        <v>166</v>
      </c>
      <c r="C341" s="80">
        <v>600029</v>
      </c>
      <c r="D341" t="s">
        <v>113</v>
      </c>
      <c r="E341" s="81">
        <v>1</v>
      </c>
      <c r="F341" t="s">
        <v>23</v>
      </c>
      <c r="G341" s="55">
        <v>374.97</v>
      </c>
      <c r="H341" s="82">
        <v>374.97</v>
      </c>
      <c r="I341" s="83" t="str">
        <f>VLOOKUP(E341,[1]Mapping!$A$3:$B$14,2,FALSE)</f>
        <v>Jul</v>
      </c>
      <c r="J341" s="84">
        <f t="shared" si="10"/>
        <v>1110360</v>
      </c>
      <c r="K341" s="84">
        <f t="shared" si="11"/>
        <v>600029</v>
      </c>
      <c r="L341" s="61" t="str">
        <f>VLOOKUP(K341,[1]Mapping!$J$3:$Q$351,8,FALSE)</f>
        <v>Travel &amp; Entertainment</v>
      </c>
      <c r="M341" t="s">
        <v>83</v>
      </c>
    </row>
    <row r="342" spans="1:13" hidden="1" x14ac:dyDescent="0.35">
      <c r="A342" s="79">
        <v>1110360</v>
      </c>
      <c r="B342" t="s">
        <v>166</v>
      </c>
      <c r="C342" s="80">
        <v>600042</v>
      </c>
      <c r="D342" t="s">
        <v>43</v>
      </c>
      <c r="E342" s="81">
        <v>1</v>
      </c>
      <c r="F342" t="s">
        <v>22</v>
      </c>
      <c r="G342" s="55">
        <v>0</v>
      </c>
      <c r="H342" s="82">
        <v>0</v>
      </c>
      <c r="I342" s="83" t="str">
        <f>VLOOKUP(E342,[1]Mapping!$A$3:$B$14,2,FALSE)</f>
        <v>Jul</v>
      </c>
      <c r="J342" s="84">
        <f t="shared" si="10"/>
        <v>1110360</v>
      </c>
      <c r="K342" s="84">
        <f t="shared" si="11"/>
        <v>600042</v>
      </c>
      <c r="L342" s="61" t="str">
        <f>VLOOKUP(K342,[1]Mapping!$J$3:$Q$351,8,FALSE)</f>
        <v>Employee Related Expenses</v>
      </c>
      <c r="M342" t="s">
        <v>83</v>
      </c>
    </row>
    <row r="343" spans="1:13" hidden="1" x14ac:dyDescent="0.35">
      <c r="A343" s="79">
        <v>1110360</v>
      </c>
      <c r="B343" t="s">
        <v>166</v>
      </c>
      <c r="C343" s="80">
        <v>600020</v>
      </c>
      <c r="D343" t="s">
        <v>91</v>
      </c>
      <c r="E343" s="81">
        <v>1</v>
      </c>
      <c r="F343" t="s">
        <v>21</v>
      </c>
      <c r="G343" s="55">
        <v>5502.3</v>
      </c>
      <c r="H343" s="82">
        <v>5502.3</v>
      </c>
      <c r="I343" s="83" t="str">
        <f>VLOOKUP(E343,[1]Mapping!$A$3:$B$14,2,FALSE)</f>
        <v>Jul</v>
      </c>
      <c r="J343" s="84">
        <f t="shared" si="10"/>
        <v>1110360</v>
      </c>
      <c r="K343" s="84">
        <f t="shared" si="11"/>
        <v>600020</v>
      </c>
      <c r="L343" s="61" t="str">
        <f>VLOOKUP(K343,[1]Mapping!$J$3:$Q$351,8,FALSE)</f>
        <v>Fringe Benefits</v>
      </c>
      <c r="M343" t="s">
        <v>83</v>
      </c>
    </row>
    <row r="344" spans="1:13" hidden="1" x14ac:dyDescent="0.35">
      <c r="A344" s="79">
        <v>1110360</v>
      </c>
      <c r="B344" t="s">
        <v>166</v>
      </c>
      <c r="C344" s="80">
        <v>600055</v>
      </c>
      <c r="D344" t="s">
        <v>92</v>
      </c>
      <c r="E344" s="81">
        <v>1</v>
      </c>
      <c r="F344" t="s">
        <v>21</v>
      </c>
      <c r="G344" s="55">
        <v>440.18</v>
      </c>
      <c r="H344" s="82">
        <v>440.18</v>
      </c>
      <c r="I344" s="83" t="str">
        <f>VLOOKUP(E344,[1]Mapping!$A$3:$B$14,2,FALSE)</f>
        <v>Jul</v>
      </c>
      <c r="J344" s="84">
        <f t="shared" si="10"/>
        <v>1110360</v>
      </c>
      <c r="K344" s="84">
        <f t="shared" si="11"/>
        <v>600055</v>
      </c>
      <c r="L344" s="61" t="str">
        <f>VLOOKUP(K344,[1]Mapping!$J$3:$Q$351,8,FALSE)</f>
        <v>Fringe Benefits</v>
      </c>
      <c r="M344" t="s">
        <v>83</v>
      </c>
    </row>
    <row r="345" spans="1:13" hidden="1" x14ac:dyDescent="0.35">
      <c r="A345" s="79">
        <v>1110360</v>
      </c>
      <c r="B345" t="s">
        <v>166</v>
      </c>
      <c r="C345" s="80">
        <v>600051</v>
      </c>
      <c r="D345" t="s">
        <v>157</v>
      </c>
      <c r="E345" s="81">
        <v>1</v>
      </c>
      <c r="F345" t="s">
        <v>23</v>
      </c>
      <c r="G345" s="55">
        <v>128.65</v>
      </c>
      <c r="H345" s="82">
        <v>128.65</v>
      </c>
      <c r="I345" s="83" t="str">
        <f>VLOOKUP(E345,[1]Mapping!$A$3:$B$14,2,FALSE)</f>
        <v>Jul</v>
      </c>
      <c r="J345" s="84">
        <f t="shared" si="10"/>
        <v>1110360</v>
      </c>
      <c r="K345" s="84">
        <f t="shared" si="11"/>
        <v>600051</v>
      </c>
      <c r="L345" s="61" t="str">
        <f>VLOOKUP(K345,[1]Mapping!$J$3:$Q$351,8,FALSE)</f>
        <v>Travel &amp; Entertainment</v>
      </c>
      <c r="M345" t="s">
        <v>83</v>
      </c>
    </row>
    <row r="346" spans="1:13" hidden="1" x14ac:dyDescent="0.35">
      <c r="A346" s="79">
        <v>1110360</v>
      </c>
      <c r="B346" t="s">
        <v>166</v>
      </c>
      <c r="C346" s="80">
        <v>600028</v>
      </c>
      <c r="D346" t="s">
        <v>115</v>
      </c>
      <c r="E346" s="81">
        <v>1</v>
      </c>
      <c r="F346" t="s">
        <v>23</v>
      </c>
      <c r="G346" s="55">
        <v>0</v>
      </c>
      <c r="H346" s="82">
        <v>0</v>
      </c>
      <c r="I346" s="83" t="str">
        <f>VLOOKUP(E346,[1]Mapping!$A$3:$B$14,2,FALSE)</f>
        <v>Jul</v>
      </c>
      <c r="J346" s="84">
        <f t="shared" si="10"/>
        <v>1110360</v>
      </c>
      <c r="K346" s="84">
        <f t="shared" si="11"/>
        <v>600028</v>
      </c>
      <c r="L346" s="61" t="str">
        <f>VLOOKUP(K346,[1]Mapping!$J$3:$Q$351,8,FALSE)</f>
        <v>Travel &amp; Entertainment</v>
      </c>
      <c r="M346" t="s">
        <v>83</v>
      </c>
    </row>
    <row r="347" spans="1:13" hidden="1" x14ac:dyDescent="0.35">
      <c r="A347" s="79">
        <v>1110478</v>
      </c>
      <c r="B347" t="s">
        <v>168</v>
      </c>
      <c r="C347" s="80">
        <v>600030</v>
      </c>
      <c r="D347" t="s">
        <v>110</v>
      </c>
      <c r="E347" s="81">
        <v>1</v>
      </c>
      <c r="F347" t="s">
        <v>23</v>
      </c>
      <c r="G347" s="55">
        <v>43.7</v>
      </c>
      <c r="H347" s="82">
        <v>43.7</v>
      </c>
      <c r="I347" s="83" t="str">
        <f>VLOOKUP(E347,[1]Mapping!$A$3:$B$14,2,FALSE)</f>
        <v>Jul</v>
      </c>
      <c r="J347" s="84">
        <f t="shared" si="10"/>
        <v>1110478</v>
      </c>
      <c r="K347" s="84">
        <f t="shared" si="11"/>
        <v>600030</v>
      </c>
      <c r="L347" s="61" t="str">
        <f>VLOOKUP(K347,[1]Mapping!$J$3:$Q$351,8,FALSE)</f>
        <v>Travel &amp; Entertainment</v>
      </c>
      <c r="M347" t="s">
        <v>83</v>
      </c>
    </row>
    <row r="348" spans="1:13" hidden="1" x14ac:dyDescent="0.35">
      <c r="A348" s="79">
        <v>1110478</v>
      </c>
      <c r="B348" t="s">
        <v>168</v>
      </c>
      <c r="C348" s="80">
        <v>600044</v>
      </c>
      <c r="D348" t="s">
        <v>111</v>
      </c>
      <c r="E348" s="81">
        <v>1</v>
      </c>
      <c r="F348" t="s">
        <v>23</v>
      </c>
      <c r="G348" s="55">
        <v>0</v>
      </c>
      <c r="H348" s="82">
        <v>0</v>
      </c>
      <c r="I348" s="83" t="str">
        <f>VLOOKUP(E348,[1]Mapping!$A$3:$B$14,2,FALSE)</f>
        <v>Jul</v>
      </c>
      <c r="J348" s="84">
        <f t="shared" si="10"/>
        <v>1110478</v>
      </c>
      <c r="K348" s="84">
        <f t="shared" si="11"/>
        <v>600044</v>
      </c>
      <c r="L348" s="61" t="str">
        <f>VLOOKUP(K348,[1]Mapping!$J$3:$Q$351,8,FALSE)</f>
        <v>Travel &amp; Entertainment</v>
      </c>
      <c r="M348" t="s">
        <v>83</v>
      </c>
    </row>
    <row r="349" spans="1:13" hidden="1" x14ac:dyDescent="0.35">
      <c r="A349" s="79">
        <v>1110478</v>
      </c>
      <c r="B349" t="s">
        <v>168</v>
      </c>
      <c r="C349" s="80">
        <v>600043</v>
      </c>
      <c r="D349" t="s">
        <v>102</v>
      </c>
      <c r="E349" s="81">
        <v>1</v>
      </c>
      <c r="F349" t="s">
        <v>23</v>
      </c>
      <c r="G349" s="55">
        <v>517.88</v>
      </c>
      <c r="H349" s="82">
        <v>517.88</v>
      </c>
      <c r="I349" s="83" t="str">
        <f>VLOOKUP(E349,[1]Mapping!$A$3:$B$14,2,FALSE)</f>
        <v>Jul</v>
      </c>
      <c r="J349" s="84">
        <f t="shared" si="10"/>
        <v>1110478</v>
      </c>
      <c r="K349" s="84">
        <f t="shared" si="11"/>
        <v>600043</v>
      </c>
      <c r="L349" s="61" t="str">
        <f>VLOOKUP(K349,[1]Mapping!$J$3:$Q$351,8,FALSE)</f>
        <v>Travel &amp; Entertainment</v>
      </c>
      <c r="M349" t="s">
        <v>83</v>
      </c>
    </row>
    <row r="350" spans="1:13" hidden="1" x14ac:dyDescent="0.35">
      <c r="A350" s="79">
        <v>1110478</v>
      </c>
      <c r="B350" t="s">
        <v>168</v>
      </c>
      <c r="C350" s="80">
        <v>600029</v>
      </c>
      <c r="D350" t="s">
        <v>113</v>
      </c>
      <c r="E350" s="81">
        <v>1</v>
      </c>
      <c r="F350" t="s">
        <v>23</v>
      </c>
      <c r="G350" s="55">
        <v>0</v>
      </c>
      <c r="H350" s="82">
        <v>0</v>
      </c>
      <c r="I350" s="83" t="str">
        <f>VLOOKUP(E350,[1]Mapping!$A$3:$B$14,2,FALSE)</f>
        <v>Jul</v>
      </c>
      <c r="J350" s="84">
        <f t="shared" si="10"/>
        <v>1110478</v>
      </c>
      <c r="K350" s="84">
        <f t="shared" si="11"/>
        <v>600029</v>
      </c>
      <c r="L350" s="61" t="str">
        <f>VLOOKUP(K350,[1]Mapping!$J$3:$Q$351,8,FALSE)</f>
        <v>Travel &amp; Entertainment</v>
      </c>
      <c r="M350" t="s">
        <v>83</v>
      </c>
    </row>
    <row r="351" spans="1:13" hidden="1" x14ac:dyDescent="0.35">
      <c r="A351" s="79">
        <v>1110478</v>
      </c>
      <c r="B351" t="s">
        <v>168</v>
      </c>
      <c r="C351" s="80">
        <v>600046</v>
      </c>
      <c r="D351" t="s">
        <v>169</v>
      </c>
      <c r="E351" s="81">
        <v>1</v>
      </c>
      <c r="F351" t="s">
        <v>28</v>
      </c>
      <c r="G351" s="55">
        <v>0</v>
      </c>
      <c r="H351" s="82">
        <v>0</v>
      </c>
      <c r="I351" s="83" t="str">
        <f>VLOOKUP(E351,[1]Mapping!$A$3:$B$14,2,FALSE)</f>
        <v>Jul</v>
      </c>
      <c r="J351" s="84">
        <f t="shared" si="10"/>
        <v>1110478</v>
      </c>
      <c r="K351" s="84">
        <f t="shared" si="11"/>
        <v>600046</v>
      </c>
      <c r="L351" s="61" t="str">
        <f>VLOOKUP(K351,[1]Mapping!$J$3:$Q$351,8,FALSE)</f>
        <v>Inbound Freight</v>
      </c>
      <c r="M351" t="s">
        <v>83</v>
      </c>
    </row>
    <row r="352" spans="1:13" hidden="1" x14ac:dyDescent="0.35">
      <c r="A352" s="79">
        <v>1110556</v>
      </c>
      <c r="B352" t="s">
        <v>170</v>
      </c>
      <c r="C352" s="80">
        <v>501050</v>
      </c>
      <c r="D352" t="s">
        <v>39</v>
      </c>
      <c r="E352" s="81">
        <v>1</v>
      </c>
      <c r="F352" t="s">
        <v>19</v>
      </c>
      <c r="G352" s="55">
        <v>131707.14000000001</v>
      </c>
      <c r="H352" s="82">
        <v>131707.14000000001</v>
      </c>
      <c r="I352" s="83" t="str">
        <f>VLOOKUP(E352,[1]Mapping!$A$3:$B$14,2,FALSE)</f>
        <v>Jul</v>
      </c>
      <c r="J352" s="84">
        <f t="shared" si="10"/>
        <v>1110556</v>
      </c>
      <c r="K352" s="84">
        <f t="shared" si="11"/>
        <v>501050</v>
      </c>
      <c r="L352" s="61" t="str">
        <f>VLOOKUP(K352,[1]Mapping!$J$3:$Q$351,8,FALSE)</f>
        <v>Wages &amp; Salaries</v>
      </c>
      <c r="M352" t="s">
        <v>83</v>
      </c>
    </row>
    <row r="353" spans="1:13" hidden="1" x14ac:dyDescent="0.35">
      <c r="A353" s="79">
        <v>1110556</v>
      </c>
      <c r="B353" t="s">
        <v>170</v>
      </c>
      <c r="C353" s="80">
        <v>501051</v>
      </c>
      <c r="D353" t="s">
        <v>121</v>
      </c>
      <c r="E353" s="81">
        <v>1</v>
      </c>
      <c r="F353" t="s">
        <v>19</v>
      </c>
      <c r="G353" s="55">
        <v>2716.43</v>
      </c>
      <c r="H353" s="82">
        <v>2716.43</v>
      </c>
      <c r="I353" s="83" t="str">
        <f>VLOOKUP(E353,[1]Mapping!$A$3:$B$14,2,FALSE)</f>
        <v>Jul</v>
      </c>
      <c r="J353" s="84">
        <f t="shared" si="10"/>
        <v>1110556</v>
      </c>
      <c r="K353" s="84">
        <f t="shared" si="11"/>
        <v>501051</v>
      </c>
      <c r="L353" s="61" t="str">
        <f>VLOOKUP(K353,[1]Mapping!$J$3:$Q$351,8,FALSE)</f>
        <v>Wages &amp; Salaries</v>
      </c>
      <c r="M353" t="s">
        <v>83</v>
      </c>
    </row>
    <row r="354" spans="1:13" hidden="1" x14ac:dyDescent="0.35">
      <c r="A354" s="79">
        <v>1110556</v>
      </c>
      <c r="B354" t="s">
        <v>170</v>
      </c>
      <c r="C354" s="80">
        <v>501058</v>
      </c>
      <c r="D354" t="s">
        <v>122</v>
      </c>
      <c r="E354" s="81">
        <v>1</v>
      </c>
      <c r="F354" t="s">
        <v>21</v>
      </c>
      <c r="G354" s="55">
        <v>10308.669999999998</v>
      </c>
      <c r="H354" s="82">
        <v>10308.669999999998</v>
      </c>
      <c r="I354" s="83" t="str">
        <f>VLOOKUP(E354,[1]Mapping!$A$3:$B$14,2,FALSE)</f>
        <v>Jul</v>
      </c>
      <c r="J354" s="84">
        <f t="shared" si="10"/>
        <v>1110556</v>
      </c>
      <c r="K354" s="84">
        <f t="shared" si="11"/>
        <v>501058</v>
      </c>
      <c r="L354" s="61" t="str">
        <f>VLOOKUP(K354,[1]Mapping!$J$3:$Q$351,8,FALSE)</f>
        <v>Fringe Benefits</v>
      </c>
      <c r="M354" t="s">
        <v>83</v>
      </c>
    </row>
    <row r="355" spans="1:13" hidden="1" x14ac:dyDescent="0.35">
      <c r="A355" s="79">
        <v>1110556</v>
      </c>
      <c r="B355" t="s">
        <v>170</v>
      </c>
      <c r="C355" s="80">
        <v>501062</v>
      </c>
      <c r="D355" t="s">
        <v>41</v>
      </c>
      <c r="E355" s="81">
        <v>1</v>
      </c>
      <c r="F355" t="s">
        <v>21</v>
      </c>
      <c r="G355" s="55">
        <v>2638.23</v>
      </c>
      <c r="H355" s="82">
        <v>2638.23</v>
      </c>
      <c r="I355" s="83" t="str">
        <f>VLOOKUP(E355,[1]Mapping!$A$3:$B$14,2,FALSE)</f>
        <v>Jul</v>
      </c>
      <c r="J355" s="84">
        <f t="shared" si="10"/>
        <v>1110556</v>
      </c>
      <c r="K355" s="84">
        <f t="shared" si="11"/>
        <v>501062</v>
      </c>
      <c r="L355" s="61" t="str">
        <f>VLOOKUP(K355,[1]Mapping!$J$3:$Q$351,8,FALSE)</f>
        <v>Fringe Benefits</v>
      </c>
      <c r="M355" t="s">
        <v>83</v>
      </c>
    </row>
    <row r="356" spans="1:13" hidden="1" x14ac:dyDescent="0.35">
      <c r="A356" s="79">
        <v>1110556</v>
      </c>
      <c r="B356" t="s">
        <v>170</v>
      </c>
      <c r="C356" s="80">
        <v>501063</v>
      </c>
      <c r="D356" t="s">
        <v>123</v>
      </c>
      <c r="E356" s="81">
        <v>1</v>
      </c>
      <c r="F356" t="s">
        <v>21</v>
      </c>
      <c r="G356" s="55">
        <v>10411.36</v>
      </c>
      <c r="H356" s="82">
        <v>10411.36</v>
      </c>
      <c r="I356" s="83" t="str">
        <f>VLOOKUP(E356,[1]Mapping!$A$3:$B$14,2,FALSE)</f>
        <v>Jul</v>
      </c>
      <c r="J356" s="84">
        <f t="shared" si="10"/>
        <v>1110556</v>
      </c>
      <c r="K356" s="84">
        <f t="shared" si="11"/>
        <v>501063</v>
      </c>
      <c r="L356" s="61" t="str">
        <f>VLOOKUP(K356,[1]Mapping!$J$3:$Q$351,8,FALSE)</f>
        <v>Fringe Benefits</v>
      </c>
      <c r="M356" t="s">
        <v>83</v>
      </c>
    </row>
    <row r="357" spans="1:13" hidden="1" x14ac:dyDescent="0.35">
      <c r="A357" s="79">
        <v>1110556</v>
      </c>
      <c r="B357" t="s">
        <v>170</v>
      </c>
      <c r="C357" s="80">
        <v>501065</v>
      </c>
      <c r="D357" t="s">
        <v>124</v>
      </c>
      <c r="E357" s="81">
        <v>1</v>
      </c>
      <c r="F357" t="s">
        <v>21</v>
      </c>
      <c r="G357" s="55">
        <v>332.97</v>
      </c>
      <c r="H357" s="82">
        <v>332.97</v>
      </c>
      <c r="I357" s="83" t="str">
        <f>VLOOKUP(E357,[1]Mapping!$A$3:$B$14,2,FALSE)</f>
        <v>Jul</v>
      </c>
      <c r="J357" s="84">
        <f t="shared" si="10"/>
        <v>1110556</v>
      </c>
      <c r="K357" s="84">
        <f t="shared" si="11"/>
        <v>501065</v>
      </c>
      <c r="L357" s="61" t="str">
        <f>VLOOKUP(K357,[1]Mapping!$J$3:$Q$351,8,FALSE)</f>
        <v>Fringe Benefits</v>
      </c>
      <c r="M357" t="s">
        <v>83</v>
      </c>
    </row>
    <row r="358" spans="1:13" hidden="1" x14ac:dyDescent="0.35">
      <c r="A358" s="79">
        <v>1110556</v>
      </c>
      <c r="B358" t="s">
        <v>170</v>
      </c>
      <c r="C358" s="80">
        <v>501069</v>
      </c>
      <c r="D358" t="s">
        <v>125</v>
      </c>
      <c r="E358" s="81">
        <v>1</v>
      </c>
      <c r="F358" t="s">
        <v>21</v>
      </c>
      <c r="G358" s="55">
        <v>6142.6900000000005</v>
      </c>
      <c r="H358" s="82">
        <v>6142.6900000000005</v>
      </c>
      <c r="I358" s="83" t="str">
        <f>VLOOKUP(E358,[1]Mapping!$A$3:$B$14,2,FALSE)</f>
        <v>Jul</v>
      </c>
      <c r="J358" s="84">
        <f t="shared" si="10"/>
        <v>1110556</v>
      </c>
      <c r="K358" s="84">
        <f t="shared" si="11"/>
        <v>501069</v>
      </c>
      <c r="L358" s="61" t="str">
        <f>VLOOKUP(K358,[1]Mapping!$J$3:$Q$351,8,FALSE)</f>
        <v>Fringe Benefits</v>
      </c>
      <c r="M358" t="s">
        <v>83</v>
      </c>
    </row>
    <row r="359" spans="1:13" hidden="1" x14ac:dyDescent="0.35">
      <c r="A359" s="79">
        <v>1110556</v>
      </c>
      <c r="B359" t="s">
        <v>170</v>
      </c>
      <c r="C359" s="80">
        <v>501710</v>
      </c>
      <c r="D359" t="s">
        <v>45</v>
      </c>
      <c r="E359" s="81">
        <v>1</v>
      </c>
      <c r="F359" t="s">
        <v>27</v>
      </c>
      <c r="G359" s="55">
        <v>7000</v>
      </c>
      <c r="H359" s="82">
        <v>7000</v>
      </c>
      <c r="I359" s="83" t="str">
        <f>VLOOKUP(E359,[1]Mapping!$A$3:$B$14,2,FALSE)</f>
        <v>Jul</v>
      </c>
      <c r="J359" s="84">
        <f t="shared" si="10"/>
        <v>1110556</v>
      </c>
      <c r="K359" s="84">
        <f t="shared" si="11"/>
        <v>501710</v>
      </c>
      <c r="L359" s="61" t="str">
        <f>VLOOKUP(K359,[1]Mapping!$J$3:$Q$351,8,FALSE)</f>
        <v>Outside Services</v>
      </c>
      <c r="M359" t="s">
        <v>83</v>
      </c>
    </row>
    <row r="360" spans="1:13" hidden="1" x14ac:dyDescent="0.35">
      <c r="A360" s="79">
        <v>1110556</v>
      </c>
      <c r="B360" t="s">
        <v>170</v>
      </c>
      <c r="C360" s="80">
        <v>600030</v>
      </c>
      <c r="D360" t="s">
        <v>110</v>
      </c>
      <c r="E360" s="81">
        <v>1</v>
      </c>
      <c r="F360" t="s">
        <v>23</v>
      </c>
      <c r="G360" s="55">
        <v>0</v>
      </c>
      <c r="H360" s="82">
        <v>0</v>
      </c>
      <c r="I360" s="83" t="str">
        <f>VLOOKUP(E360,[1]Mapping!$A$3:$B$14,2,FALSE)</f>
        <v>Jul</v>
      </c>
      <c r="J360" s="84">
        <f t="shared" si="10"/>
        <v>1110556</v>
      </c>
      <c r="K360" s="84">
        <f t="shared" si="11"/>
        <v>600030</v>
      </c>
      <c r="L360" s="61" t="str">
        <f>VLOOKUP(K360,[1]Mapping!$J$3:$Q$351,8,FALSE)</f>
        <v>Travel &amp; Entertainment</v>
      </c>
      <c r="M360" t="s">
        <v>83</v>
      </c>
    </row>
    <row r="361" spans="1:13" hidden="1" x14ac:dyDescent="0.35">
      <c r="A361" s="79">
        <v>1110556</v>
      </c>
      <c r="B361" t="s">
        <v>170</v>
      </c>
      <c r="C361" s="80">
        <v>600044</v>
      </c>
      <c r="D361" t="s">
        <v>111</v>
      </c>
      <c r="E361" s="81">
        <v>1</v>
      </c>
      <c r="F361" t="s">
        <v>23</v>
      </c>
      <c r="G361" s="55">
        <v>0</v>
      </c>
      <c r="H361" s="82">
        <v>0</v>
      </c>
      <c r="I361" s="83" t="str">
        <f>VLOOKUP(E361,[1]Mapping!$A$3:$B$14,2,FALSE)</f>
        <v>Jul</v>
      </c>
      <c r="J361" s="84">
        <f t="shared" si="10"/>
        <v>1110556</v>
      </c>
      <c r="K361" s="84">
        <f t="shared" si="11"/>
        <v>600044</v>
      </c>
      <c r="L361" s="61" t="str">
        <f>VLOOKUP(K361,[1]Mapping!$J$3:$Q$351,8,FALSE)</f>
        <v>Travel &amp; Entertainment</v>
      </c>
      <c r="M361" t="s">
        <v>83</v>
      </c>
    </row>
    <row r="362" spans="1:13" hidden="1" x14ac:dyDescent="0.35">
      <c r="A362" s="79">
        <v>1110556</v>
      </c>
      <c r="B362" t="s">
        <v>170</v>
      </c>
      <c r="C362" s="80">
        <v>600050</v>
      </c>
      <c r="D362" t="s">
        <v>101</v>
      </c>
      <c r="E362" s="81">
        <v>1</v>
      </c>
      <c r="F362" t="s">
        <v>23</v>
      </c>
      <c r="G362" s="55">
        <v>1042.45</v>
      </c>
      <c r="H362" s="82">
        <v>1042.45</v>
      </c>
      <c r="I362" s="83" t="str">
        <f>VLOOKUP(E362,[1]Mapping!$A$3:$B$14,2,FALSE)</f>
        <v>Jul</v>
      </c>
      <c r="J362" s="84">
        <f t="shared" si="10"/>
        <v>1110556</v>
      </c>
      <c r="K362" s="84">
        <f t="shared" si="11"/>
        <v>600050</v>
      </c>
      <c r="L362" s="61" t="str">
        <f>VLOOKUP(K362,[1]Mapping!$J$3:$Q$351,8,FALSE)</f>
        <v>Travel &amp; Entertainment</v>
      </c>
      <c r="M362" t="s">
        <v>83</v>
      </c>
    </row>
    <row r="363" spans="1:13" hidden="1" x14ac:dyDescent="0.35">
      <c r="A363" s="79">
        <v>1110556</v>
      </c>
      <c r="B363" t="s">
        <v>170</v>
      </c>
      <c r="C363" s="80">
        <v>600043</v>
      </c>
      <c r="D363" t="s">
        <v>102</v>
      </c>
      <c r="E363" s="81">
        <v>1</v>
      </c>
      <c r="F363" t="s">
        <v>23</v>
      </c>
      <c r="G363" s="55">
        <v>562.96</v>
      </c>
      <c r="H363" s="82">
        <v>562.96</v>
      </c>
      <c r="I363" s="83" t="str">
        <f>VLOOKUP(E363,[1]Mapping!$A$3:$B$14,2,FALSE)</f>
        <v>Jul</v>
      </c>
      <c r="J363" s="84">
        <f t="shared" si="10"/>
        <v>1110556</v>
      </c>
      <c r="K363" s="84">
        <f t="shared" si="11"/>
        <v>600043</v>
      </c>
      <c r="L363" s="61" t="str">
        <f>VLOOKUP(K363,[1]Mapping!$J$3:$Q$351,8,FALSE)</f>
        <v>Travel &amp; Entertainment</v>
      </c>
      <c r="M363" t="s">
        <v>83</v>
      </c>
    </row>
    <row r="364" spans="1:13" hidden="1" x14ac:dyDescent="0.35">
      <c r="A364" s="79">
        <v>1110556</v>
      </c>
      <c r="B364" t="s">
        <v>170</v>
      </c>
      <c r="C364" s="80">
        <v>600029</v>
      </c>
      <c r="D364" t="s">
        <v>113</v>
      </c>
      <c r="E364" s="81">
        <v>1</v>
      </c>
      <c r="F364" t="s">
        <v>23</v>
      </c>
      <c r="G364" s="55">
        <v>0</v>
      </c>
      <c r="H364" s="82">
        <v>0</v>
      </c>
      <c r="I364" s="83" t="str">
        <f>VLOOKUP(E364,[1]Mapping!$A$3:$B$14,2,FALSE)</f>
        <v>Jul</v>
      </c>
      <c r="J364" s="84">
        <f t="shared" si="10"/>
        <v>1110556</v>
      </c>
      <c r="K364" s="84">
        <f t="shared" si="11"/>
        <v>600029</v>
      </c>
      <c r="L364" s="61" t="str">
        <f>VLOOKUP(K364,[1]Mapping!$J$3:$Q$351,8,FALSE)</f>
        <v>Travel &amp; Entertainment</v>
      </c>
      <c r="M364" t="s">
        <v>83</v>
      </c>
    </row>
    <row r="365" spans="1:13" hidden="1" x14ac:dyDescent="0.35">
      <c r="A365" s="79">
        <v>1110556</v>
      </c>
      <c r="B365" t="s">
        <v>170</v>
      </c>
      <c r="C365" s="80">
        <v>607035</v>
      </c>
      <c r="D365" t="s">
        <v>108</v>
      </c>
      <c r="E365" s="81">
        <v>1</v>
      </c>
      <c r="F365" t="s">
        <v>27</v>
      </c>
      <c r="G365" s="55">
        <v>0</v>
      </c>
      <c r="H365" s="82">
        <v>0</v>
      </c>
      <c r="I365" s="83" t="str">
        <f>VLOOKUP(E365,[1]Mapping!$A$3:$B$14,2,FALSE)</f>
        <v>Jul</v>
      </c>
      <c r="J365" s="84">
        <f t="shared" si="10"/>
        <v>1110556</v>
      </c>
      <c r="K365" s="84">
        <f t="shared" si="11"/>
        <v>607035</v>
      </c>
      <c r="L365" s="61" t="str">
        <f>VLOOKUP(K365,[1]Mapping!$J$3:$Q$351,8,FALSE)</f>
        <v>Outside Services</v>
      </c>
      <c r="M365" t="s">
        <v>83</v>
      </c>
    </row>
    <row r="366" spans="1:13" hidden="1" x14ac:dyDescent="0.35">
      <c r="A366" s="79">
        <v>1110556</v>
      </c>
      <c r="B366" t="s">
        <v>170</v>
      </c>
      <c r="C366" s="80">
        <v>600045</v>
      </c>
      <c r="D366" t="s">
        <v>127</v>
      </c>
      <c r="E366" s="81">
        <v>1</v>
      </c>
      <c r="F366" t="s">
        <v>23</v>
      </c>
      <c r="G366" s="55">
        <v>0</v>
      </c>
      <c r="H366" s="82">
        <v>0</v>
      </c>
      <c r="I366" s="83" t="str">
        <f>VLOOKUP(E366,[1]Mapping!$A$3:$B$14,2,FALSE)</f>
        <v>Jul</v>
      </c>
      <c r="J366" s="84">
        <f t="shared" si="10"/>
        <v>1110556</v>
      </c>
      <c r="K366" s="84">
        <f t="shared" si="11"/>
        <v>600045</v>
      </c>
      <c r="L366" s="61" t="str">
        <f>VLOOKUP(K366,[1]Mapping!$J$3:$Q$351,8,FALSE)</f>
        <v>Travel &amp; Entertainment</v>
      </c>
      <c r="M366" t="s">
        <v>83</v>
      </c>
    </row>
    <row r="367" spans="1:13" hidden="1" x14ac:dyDescent="0.35">
      <c r="A367" s="79">
        <v>1110556</v>
      </c>
      <c r="B367" t="s">
        <v>170</v>
      </c>
      <c r="C367" s="80">
        <v>501059</v>
      </c>
      <c r="D367" t="s">
        <v>138</v>
      </c>
      <c r="E367" s="81">
        <v>1</v>
      </c>
      <c r="F367" t="s">
        <v>21</v>
      </c>
      <c r="G367" s="55">
        <v>1450</v>
      </c>
      <c r="H367" s="82">
        <v>1450</v>
      </c>
      <c r="I367" s="83" t="str">
        <f>VLOOKUP(E367,[1]Mapping!$A$3:$B$14,2,FALSE)</f>
        <v>Jul</v>
      </c>
      <c r="J367" s="84">
        <f t="shared" si="10"/>
        <v>1110556</v>
      </c>
      <c r="K367" s="84">
        <f t="shared" si="11"/>
        <v>501059</v>
      </c>
      <c r="L367" s="61" t="str">
        <f>VLOOKUP(K367,[1]Mapping!$J$3:$Q$351,8,FALSE)</f>
        <v>Fringe Benefits</v>
      </c>
      <c r="M367" t="s">
        <v>83</v>
      </c>
    </row>
    <row r="368" spans="1:13" hidden="1" x14ac:dyDescent="0.35">
      <c r="A368" s="79">
        <v>1110556</v>
      </c>
      <c r="B368" t="s">
        <v>170</v>
      </c>
      <c r="C368" s="80">
        <v>600020</v>
      </c>
      <c r="D368" t="s">
        <v>91</v>
      </c>
      <c r="E368" s="81">
        <v>1</v>
      </c>
      <c r="F368" t="s">
        <v>21</v>
      </c>
      <c r="G368" s="55">
        <v>19659.580000000002</v>
      </c>
      <c r="H368" s="82">
        <v>19659.580000000002</v>
      </c>
      <c r="I368" s="83" t="str">
        <f>VLOOKUP(E368,[1]Mapping!$A$3:$B$14,2,FALSE)</f>
        <v>Jul</v>
      </c>
      <c r="J368" s="84">
        <f t="shared" si="10"/>
        <v>1110556</v>
      </c>
      <c r="K368" s="84">
        <f t="shared" si="11"/>
        <v>600020</v>
      </c>
      <c r="L368" s="61" t="str">
        <f>VLOOKUP(K368,[1]Mapping!$J$3:$Q$351,8,FALSE)</f>
        <v>Fringe Benefits</v>
      </c>
      <c r="M368" t="s">
        <v>83</v>
      </c>
    </row>
    <row r="369" spans="1:13" hidden="1" x14ac:dyDescent="0.35">
      <c r="A369" s="79">
        <v>1110556</v>
      </c>
      <c r="B369" t="s">
        <v>170</v>
      </c>
      <c r="C369" s="80">
        <v>600055</v>
      </c>
      <c r="D369" t="s">
        <v>92</v>
      </c>
      <c r="E369" s="81">
        <v>1</v>
      </c>
      <c r="F369" t="s">
        <v>21</v>
      </c>
      <c r="G369" s="55">
        <v>1572.77</v>
      </c>
      <c r="H369" s="82">
        <v>1572.77</v>
      </c>
      <c r="I369" s="83" t="str">
        <f>VLOOKUP(E369,[1]Mapping!$A$3:$B$14,2,FALSE)</f>
        <v>Jul</v>
      </c>
      <c r="J369" s="84">
        <f t="shared" si="10"/>
        <v>1110556</v>
      </c>
      <c r="K369" s="84">
        <f t="shared" si="11"/>
        <v>600055</v>
      </c>
      <c r="L369" s="61" t="str">
        <f>VLOOKUP(K369,[1]Mapping!$J$3:$Q$351,8,FALSE)</f>
        <v>Fringe Benefits</v>
      </c>
      <c r="M369" t="s">
        <v>83</v>
      </c>
    </row>
    <row r="370" spans="1:13" hidden="1" x14ac:dyDescent="0.35">
      <c r="A370" s="79">
        <v>1110556</v>
      </c>
      <c r="B370" t="s">
        <v>170</v>
      </c>
      <c r="C370" s="80">
        <v>501253</v>
      </c>
      <c r="D370" t="s">
        <v>171</v>
      </c>
      <c r="E370" s="81">
        <v>1</v>
      </c>
      <c r="F370" t="s">
        <v>27</v>
      </c>
      <c r="G370" s="55">
        <v>30482.57</v>
      </c>
      <c r="H370" s="82">
        <v>30482.57</v>
      </c>
      <c r="I370" s="83" t="str">
        <f>VLOOKUP(E370,[1]Mapping!$A$3:$B$14,2,FALSE)</f>
        <v>Jul</v>
      </c>
      <c r="J370" s="84">
        <f t="shared" si="10"/>
        <v>1110556</v>
      </c>
      <c r="K370" s="84">
        <f t="shared" si="11"/>
        <v>501253</v>
      </c>
      <c r="L370" s="61" t="str">
        <f>VLOOKUP(K370,[1]Mapping!$J$3:$Q$351,8,FALSE)</f>
        <v>Outside Services</v>
      </c>
      <c r="M370" t="s">
        <v>83</v>
      </c>
    </row>
    <row r="371" spans="1:13" hidden="1" x14ac:dyDescent="0.35">
      <c r="A371" s="79">
        <v>1110556</v>
      </c>
      <c r="B371" t="s">
        <v>170</v>
      </c>
      <c r="C371" s="80">
        <v>508002</v>
      </c>
      <c r="D371" t="s">
        <v>172</v>
      </c>
      <c r="E371" s="81">
        <v>1</v>
      </c>
      <c r="F371" t="s">
        <v>31</v>
      </c>
      <c r="G371" s="55">
        <v>107.34</v>
      </c>
      <c r="H371" s="82">
        <v>107.34</v>
      </c>
      <c r="I371" s="83" t="str">
        <f>VLOOKUP(E371,[1]Mapping!$A$3:$B$14,2,FALSE)</f>
        <v>Jul</v>
      </c>
      <c r="J371" s="84">
        <f t="shared" si="10"/>
        <v>1110556</v>
      </c>
      <c r="K371" s="84">
        <f t="shared" si="11"/>
        <v>508002</v>
      </c>
      <c r="L371" s="61" t="str">
        <f>VLOOKUP(K371,[1]Mapping!$J$3:$Q$351,8,FALSE)</f>
        <v>Depreciation</v>
      </c>
      <c r="M371" t="s">
        <v>83</v>
      </c>
    </row>
    <row r="372" spans="1:13" hidden="1" x14ac:dyDescent="0.35">
      <c r="A372" s="79">
        <v>1110556</v>
      </c>
      <c r="B372" t="s">
        <v>170</v>
      </c>
      <c r="C372" s="80">
        <v>600051</v>
      </c>
      <c r="D372" t="s">
        <v>157</v>
      </c>
      <c r="E372" s="81">
        <v>1</v>
      </c>
      <c r="F372" t="s">
        <v>23</v>
      </c>
      <c r="G372" s="55">
        <v>0</v>
      </c>
      <c r="H372" s="82">
        <v>0</v>
      </c>
      <c r="I372" s="83" t="str">
        <f>VLOOKUP(E372,[1]Mapping!$A$3:$B$14,2,FALSE)</f>
        <v>Jul</v>
      </c>
      <c r="J372" s="84">
        <f t="shared" si="10"/>
        <v>1110556</v>
      </c>
      <c r="K372" s="84">
        <f t="shared" si="11"/>
        <v>600051</v>
      </c>
      <c r="L372" s="61" t="str">
        <f>VLOOKUP(K372,[1]Mapping!$J$3:$Q$351,8,FALSE)</f>
        <v>Travel &amp; Entertainment</v>
      </c>
      <c r="M372" t="s">
        <v>83</v>
      </c>
    </row>
    <row r="373" spans="1:13" hidden="1" x14ac:dyDescent="0.35">
      <c r="A373" s="79">
        <v>1110556</v>
      </c>
      <c r="B373" t="s">
        <v>170</v>
      </c>
      <c r="C373" s="80">
        <v>600036</v>
      </c>
      <c r="D373" t="s">
        <v>173</v>
      </c>
      <c r="E373" s="81">
        <v>1</v>
      </c>
      <c r="F373" t="s">
        <v>22</v>
      </c>
      <c r="G373" s="55">
        <v>0</v>
      </c>
      <c r="H373" s="82">
        <v>0</v>
      </c>
      <c r="I373" s="83" t="str">
        <f>VLOOKUP(E373,[1]Mapping!$A$3:$B$14,2,FALSE)</f>
        <v>Jul</v>
      </c>
      <c r="J373" s="84">
        <f t="shared" si="10"/>
        <v>1110556</v>
      </c>
      <c r="K373" s="84">
        <f t="shared" si="11"/>
        <v>600036</v>
      </c>
      <c r="L373" s="61" t="str">
        <f>VLOOKUP(K373,[1]Mapping!$J$3:$Q$351,8,FALSE)</f>
        <v>Employee Related Expenses</v>
      </c>
      <c r="M373" t="s">
        <v>83</v>
      </c>
    </row>
    <row r="374" spans="1:13" hidden="1" x14ac:dyDescent="0.35">
      <c r="A374" s="79">
        <v>1110556</v>
      </c>
      <c r="B374" t="s">
        <v>170</v>
      </c>
      <c r="C374" s="80">
        <v>501070</v>
      </c>
      <c r="D374" t="s">
        <v>135</v>
      </c>
      <c r="E374" s="81">
        <v>1</v>
      </c>
      <c r="F374" t="s">
        <v>21</v>
      </c>
      <c r="G374" s="55">
        <v>6480</v>
      </c>
      <c r="H374" s="82">
        <v>6480</v>
      </c>
      <c r="I374" s="83" t="str">
        <f>VLOOKUP(E374,[1]Mapping!$A$3:$B$14,2,FALSE)</f>
        <v>Jul</v>
      </c>
      <c r="J374" s="84">
        <f t="shared" si="10"/>
        <v>1110556</v>
      </c>
      <c r="K374" s="84">
        <f t="shared" si="11"/>
        <v>501070</v>
      </c>
      <c r="L374" s="61" t="str">
        <f>VLOOKUP(K374,[1]Mapping!$J$3:$Q$351,8,FALSE)</f>
        <v>Fringe Benefits</v>
      </c>
      <c r="M374" t="s">
        <v>83</v>
      </c>
    </row>
    <row r="375" spans="1:13" hidden="1" x14ac:dyDescent="0.35">
      <c r="A375" s="79">
        <v>1110556</v>
      </c>
      <c r="B375" t="s">
        <v>170</v>
      </c>
      <c r="C375" s="80">
        <v>607064</v>
      </c>
      <c r="D375" t="s">
        <v>174</v>
      </c>
      <c r="E375" s="81">
        <v>1</v>
      </c>
      <c r="F375" t="s">
        <v>24</v>
      </c>
      <c r="G375" s="55">
        <v>3614.42</v>
      </c>
      <c r="H375" s="82">
        <v>3614.42</v>
      </c>
      <c r="I375" s="83" t="str">
        <f>VLOOKUP(E375,[1]Mapping!$A$3:$B$14,2,FALSE)</f>
        <v>Jul</v>
      </c>
      <c r="J375" s="84">
        <f t="shared" si="10"/>
        <v>1110556</v>
      </c>
      <c r="K375" s="84">
        <f t="shared" si="11"/>
        <v>607064</v>
      </c>
      <c r="L375" s="61" t="str">
        <f>VLOOKUP(K375,[1]Mapping!$J$3:$Q$351,8,FALSE)</f>
        <v>Supplies Expenses</v>
      </c>
      <c r="M375" t="s">
        <v>83</v>
      </c>
    </row>
    <row r="376" spans="1:13" hidden="1" x14ac:dyDescent="0.35">
      <c r="A376" s="79">
        <v>1110073</v>
      </c>
      <c r="B376" t="s">
        <v>175</v>
      </c>
      <c r="C376" s="80">
        <v>501050</v>
      </c>
      <c r="D376" t="s">
        <v>39</v>
      </c>
      <c r="E376" s="81">
        <v>1</v>
      </c>
      <c r="F376" t="s">
        <v>19</v>
      </c>
      <c r="G376" s="55">
        <v>164833.46000000002</v>
      </c>
      <c r="H376" s="82">
        <v>164833.46000000002</v>
      </c>
      <c r="I376" s="83" t="str">
        <f>VLOOKUP(E376,[1]Mapping!$A$3:$B$14,2,FALSE)</f>
        <v>Jul</v>
      </c>
      <c r="J376" s="84">
        <f t="shared" si="10"/>
        <v>1110073</v>
      </c>
      <c r="K376" s="84">
        <f t="shared" si="11"/>
        <v>501050</v>
      </c>
      <c r="L376" s="61" t="str">
        <f>VLOOKUP(K376,[1]Mapping!$J$3:$Q$351,8,FALSE)</f>
        <v>Wages &amp; Salaries</v>
      </c>
      <c r="M376" t="s">
        <v>83</v>
      </c>
    </row>
    <row r="377" spans="1:13" hidden="1" x14ac:dyDescent="0.35">
      <c r="A377" s="79">
        <v>1110073</v>
      </c>
      <c r="B377" t="s">
        <v>175</v>
      </c>
      <c r="C377" s="80">
        <v>501051</v>
      </c>
      <c r="D377" t="s">
        <v>121</v>
      </c>
      <c r="E377" s="81">
        <v>1</v>
      </c>
      <c r="F377" t="s">
        <v>19</v>
      </c>
      <c r="G377" s="55">
        <v>2953.34</v>
      </c>
      <c r="H377" s="82">
        <v>2953.34</v>
      </c>
      <c r="I377" s="83" t="str">
        <f>VLOOKUP(E377,[1]Mapping!$A$3:$B$14,2,FALSE)</f>
        <v>Jul</v>
      </c>
      <c r="J377" s="84">
        <f t="shared" si="10"/>
        <v>1110073</v>
      </c>
      <c r="K377" s="84">
        <f t="shared" si="11"/>
        <v>501051</v>
      </c>
      <c r="L377" s="61" t="str">
        <f>VLOOKUP(K377,[1]Mapping!$J$3:$Q$351,8,FALSE)</f>
        <v>Wages &amp; Salaries</v>
      </c>
      <c r="M377" t="s">
        <v>83</v>
      </c>
    </row>
    <row r="378" spans="1:13" hidden="1" x14ac:dyDescent="0.35">
      <c r="A378" s="79">
        <v>1110073</v>
      </c>
      <c r="B378" t="s">
        <v>175</v>
      </c>
      <c r="C378" s="80">
        <v>501058</v>
      </c>
      <c r="D378" t="s">
        <v>122</v>
      </c>
      <c r="E378" s="81">
        <v>1</v>
      </c>
      <c r="F378" t="s">
        <v>21</v>
      </c>
      <c r="G378" s="55">
        <v>12614.29</v>
      </c>
      <c r="H378" s="82">
        <v>12614.29</v>
      </c>
      <c r="I378" s="83" t="str">
        <f>VLOOKUP(E378,[1]Mapping!$A$3:$B$14,2,FALSE)</f>
        <v>Jul</v>
      </c>
      <c r="J378" s="84">
        <f t="shared" si="10"/>
        <v>1110073</v>
      </c>
      <c r="K378" s="84">
        <f t="shared" si="11"/>
        <v>501058</v>
      </c>
      <c r="L378" s="61" t="str">
        <f>VLOOKUP(K378,[1]Mapping!$J$3:$Q$351,8,FALSE)</f>
        <v>Fringe Benefits</v>
      </c>
      <c r="M378" t="s">
        <v>83</v>
      </c>
    </row>
    <row r="379" spans="1:13" hidden="1" x14ac:dyDescent="0.35">
      <c r="A379" s="79">
        <v>1110073</v>
      </c>
      <c r="B379" t="s">
        <v>175</v>
      </c>
      <c r="C379" s="80">
        <v>501062</v>
      </c>
      <c r="D379" t="s">
        <v>41</v>
      </c>
      <c r="E379" s="81">
        <v>1</v>
      </c>
      <c r="F379" t="s">
        <v>21</v>
      </c>
      <c r="G379" s="55">
        <v>300.67999999999995</v>
      </c>
      <c r="H379" s="82">
        <v>300.67999999999995</v>
      </c>
      <c r="I379" s="83" t="str">
        <f>VLOOKUP(E379,[1]Mapping!$A$3:$B$14,2,FALSE)</f>
        <v>Jul</v>
      </c>
      <c r="J379" s="84">
        <f t="shared" si="10"/>
        <v>1110073</v>
      </c>
      <c r="K379" s="84">
        <f t="shared" si="11"/>
        <v>501062</v>
      </c>
      <c r="L379" s="61" t="str">
        <f>VLOOKUP(K379,[1]Mapping!$J$3:$Q$351,8,FALSE)</f>
        <v>Fringe Benefits</v>
      </c>
      <c r="M379" t="s">
        <v>83</v>
      </c>
    </row>
    <row r="380" spans="1:13" hidden="1" x14ac:dyDescent="0.35">
      <c r="A380" s="79">
        <v>1110073</v>
      </c>
      <c r="B380" t="s">
        <v>175</v>
      </c>
      <c r="C380" s="80">
        <v>501063</v>
      </c>
      <c r="D380" t="s">
        <v>123</v>
      </c>
      <c r="E380" s="81">
        <v>1</v>
      </c>
      <c r="F380" t="s">
        <v>21</v>
      </c>
      <c r="G380" s="55">
        <v>19550.099999999999</v>
      </c>
      <c r="H380" s="82">
        <v>19550.099999999999</v>
      </c>
      <c r="I380" s="83" t="str">
        <f>VLOOKUP(E380,[1]Mapping!$A$3:$B$14,2,FALSE)</f>
        <v>Jul</v>
      </c>
      <c r="J380" s="84">
        <f t="shared" si="10"/>
        <v>1110073</v>
      </c>
      <c r="K380" s="84">
        <f t="shared" si="11"/>
        <v>501063</v>
      </c>
      <c r="L380" s="61" t="str">
        <f>VLOOKUP(K380,[1]Mapping!$J$3:$Q$351,8,FALSE)</f>
        <v>Fringe Benefits</v>
      </c>
      <c r="M380" t="s">
        <v>83</v>
      </c>
    </row>
    <row r="381" spans="1:13" hidden="1" x14ac:dyDescent="0.35">
      <c r="A381" s="79">
        <v>1110073</v>
      </c>
      <c r="B381" t="s">
        <v>175</v>
      </c>
      <c r="C381" s="80">
        <v>501065</v>
      </c>
      <c r="D381" t="s">
        <v>124</v>
      </c>
      <c r="E381" s="81">
        <v>1</v>
      </c>
      <c r="F381" t="s">
        <v>21</v>
      </c>
      <c r="G381" s="55">
        <v>423.45000000000005</v>
      </c>
      <c r="H381" s="82">
        <v>423.45000000000005</v>
      </c>
      <c r="I381" s="83" t="str">
        <f>VLOOKUP(E381,[1]Mapping!$A$3:$B$14,2,FALSE)</f>
        <v>Jul</v>
      </c>
      <c r="J381" s="84">
        <f t="shared" si="10"/>
        <v>1110073</v>
      </c>
      <c r="K381" s="84">
        <f t="shared" si="11"/>
        <v>501065</v>
      </c>
      <c r="L381" s="61" t="str">
        <f>VLOOKUP(K381,[1]Mapping!$J$3:$Q$351,8,FALSE)</f>
        <v>Fringe Benefits</v>
      </c>
      <c r="M381" t="s">
        <v>83</v>
      </c>
    </row>
    <row r="382" spans="1:13" hidden="1" x14ac:dyDescent="0.35">
      <c r="A382" s="79">
        <v>1110073</v>
      </c>
      <c r="B382" t="s">
        <v>175</v>
      </c>
      <c r="C382" s="80">
        <v>501069</v>
      </c>
      <c r="D382" t="s">
        <v>125</v>
      </c>
      <c r="E382" s="81">
        <v>1</v>
      </c>
      <c r="F382" t="s">
        <v>21</v>
      </c>
      <c r="G382" s="55">
        <v>6383.26</v>
      </c>
      <c r="H382" s="82">
        <v>6383.26</v>
      </c>
      <c r="I382" s="83" t="str">
        <f>VLOOKUP(E382,[1]Mapping!$A$3:$B$14,2,FALSE)</f>
        <v>Jul</v>
      </c>
      <c r="J382" s="84">
        <f t="shared" si="10"/>
        <v>1110073</v>
      </c>
      <c r="K382" s="84">
        <f t="shared" si="11"/>
        <v>501069</v>
      </c>
      <c r="L382" s="61" t="str">
        <f>VLOOKUP(K382,[1]Mapping!$J$3:$Q$351,8,FALSE)</f>
        <v>Fringe Benefits</v>
      </c>
      <c r="M382" t="s">
        <v>83</v>
      </c>
    </row>
    <row r="383" spans="1:13" hidden="1" x14ac:dyDescent="0.35">
      <c r="A383" s="79">
        <v>1110073</v>
      </c>
      <c r="B383" t="s">
        <v>175</v>
      </c>
      <c r="C383" s="80">
        <v>600030</v>
      </c>
      <c r="D383" t="s">
        <v>110</v>
      </c>
      <c r="E383" s="81">
        <v>1</v>
      </c>
      <c r="F383" t="s">
        <v>23</v>
      </c>
      <c r="G383" s="55">
        <v>137.69999999999999</v>
      </c>
      <c r="H383" s="82">
        <v>137.69999999999999</v>
      </c>
      <c r="I383" s="83" t="str">
        <f>VLOOKUP(E383,[1]Mapping!$A$3:$B$14,2,FALSE)</f>
        <v>Jul</v>
      </c>
      <c r="J383" s="84">
        <f t="shared" si="10"/>
        <v>1110073</v>
      </c>
      <c r="K383" s="84">
        <f t="shared" si="11"/>
        <v>600030</v>
      </c>
      <c r="L383" s="61" t="str">
        <f>VLOOKUP(K383,[1]Mapping!$J$3:$Q$351,8,FALSE)</f>
        <v>Travel &amp; Entertainment</v>
      </c>
      <c r="M383" t="s">
        <v>83</v>
      </c>
    </row>
    <row r="384" spans="1:13" hidden="1" x14ac:dyDescent="0.35">
      <c r="A384" s="79">
        <v>1110073</v>
      </c>
      <c r="B384" t="s">
        <v>175</v>
      </c>
      <c r="C384" s="80">
        <v>600043</v>
      </c>
      <c r="D384" t="s">
        <v>102</v>
      </c>
      <c r="E384" s="81">
        <v>1</v>
      </c>
      <c r="F384" t="s">
        <v>23</v>
      </c>
      <c r="G384" s="55">
        <v>247.36000000000013</v>
      </c>
      <c r="H384" s="82">
        <v>247.36000000000013</v>
      </c>
      <c r="I384" s="83" t="str">
        <f>VLOOKUP(E384,[1]Mapping!$A$3:$B$14,2,FALSE)</f>
        <v>Jul</v>
      </c>
      <c r="J384" s="84">
        <f t="shared" si="10"/>
        <v>1110073</v>
      </c>
      <c r="K384" s="84">
        <f t="shared" si="11"/>
        <v>600043</v>
      </c>
      <c r="L384" s="61" t="str">
        <f>VLOOKUP(K384,[1]Mapping!$J$3:$Q$351,8,FALSE)</f>
        <v>Travel &amp; Entertainment</v>
      </c>
      <c r="M384" t="s">
        <v>83</v>
      </c>
    </row>
    <row r="385" spans="1:15" hidden="1" x14ac:dyDescent="0.35">
      <c r="A385" s="79">
        <v>1110073</v>
      </c>
      <c r="B385" t="s">
        <v>175</v>
      </c>
      <c r="C385" s="80">
        <v>501709</v>
      </c>
      <c r="D385" t="s">
        <v>85</v>
      </c>
      <c r="E385" s="81">
        <v>1</v>
      </c>
      <c r="F385" t="s">
        <v>27</v>
      </c>
      <c r="G385" s="55">
        <v>1331</v>
      </c>
      <c r="H385" s="82">
        <v>1331</v>
      </c>
      <c r="I385" s="83" t="str">
        <f>VLOOKUP(E385,[1]Mapping!$A$3:$B$14,2,FALSE)</f>
        <v>Jul</v>
      </c>
      <c r="J385" s="84">
        <f t="shared" si="10"/>
        <v>1110073</v>
      </c>
      <c r="K385" s="84">
        <f t="shared" si="11"/>
        <v>501709</v>
      </c>
      <c r="L385" s="61" t="str">
        <f>VLOOKUP(K385,[1]Mapping!$J$3:$Q$351,8,FALSE)</f>
        <v>Outside Services</v>
      </c>
      <c r="M385" t="s">
        <v>83</v>
      </c>
    </row>
    <row r="386" spans="1:15" hidden="1" x14ac:dyDescent="0.35">
      <c r="A386" s="79">
        <v>1110073</v>
      </c>
      <c r="B386" t="s">
        <v>175</v>
      </c>
      <c r="C386" s="80">
        <v>501017</v>
      </c>
      <c r="D386" t="s">
        <v>176</v>
      </c>
      <c r="E386" s="81">
        <v>1</v>
      </c>
      <c r="F386" t="s">
        <v>21</v>
      </c>
      <c r="G386" s="55">
        <v>-236.60000000000002</v>
      </c>
      <c r="H386" s="82">
        <v>-236.60000000000002</v>
      </c>
      <c r="I386" s="83" t="str">
        <f>VLOOKUP(E386,[1]Mapping!$A$3:$B$14,2,FALSE)</f>
        <v>Jul</v>
      </c>
      <c r="J386" s="84">
        <f t="shared" si="10"/>
        <v>1110073</v>
      </c>
      <c r="K386" s="84">
        <f t="shared" si="11"/>
        <v>501017</v>
      </c>
      <c r="L386" s="61" t="str">
        <f>VLOOKUP(K386,[1]Mapping!$J$3:$Q$351,8,FALSE)</f>
        <v>Fringe Benefits</v>
      </c>
      <c r="M386" t="s">
        <v>83</v>
      </c>
      <c r="N386" t="s">
        <v>177</v>
      </c>
      <c r="O386" t="s">
        <v>178</v>
      </c>
    </row>
    <row r="387" spans="1:15" hidden="1" x14ac:dyDescent="0.35">
      <c r="A387" s="79">
        <v>1110073</v>
      </c>
      <c r="B387" t="s">
        <v>175</v>
      </c>
      <c r="C387" s="80">
        <v>607130</v>
      </c>
      <c r="D387" t="s">
        <v>155</v>
      </c>
      <c r="E387" s="81">
        <v>1</v>
      </c>
      <c r="F387" t="s">
        <v>29</v>
      </c>
      <c r="G387" s="55">
        <v>18.29</v>
      </c>
      <c r="H387" s="82">
        <v>18.29</v>
      </c>
      <c r="I387" s="83" t="str">
        <f>VLOOKUP(E387,[1]Mapping!$A$3:$B$14,2,FALSE)</f>
        <v>Jul</v>
      </c>
      <c r="J387" s="84">
        <f t="shared" si="10"/>
        <v>1110073</v>
      </c>
      <c r="K387" s="84">
        <f t="shared" si="11"/>
        <v>607130</v>
      </c>
      <c r="L387" s="61" t="str">
        <f>VLOOKUP(K387,[1]Mapping!$J$3:$Q$351,8,FALSE)</f>
        <v>Other</v>
      </c>
      <c r="M387" t="s">
        <v>83</v>
      </c>
      <c r="N387" t="s">
        <v>177</v>
      </c>
      <c r="O387" t="s">
        <v>178</v>
      </c>
    </row>
    <row r="388" spans="1:15" hidden="1" x14ac:dyDescent="0.35">
      <c r="A388" s="79">
        <v>1110073</v>
      </c>
      <c r="B388" t="s">
        <v>175</v>
      </c>
      <c r="C388" s="80">
        <v>600020</v>
      </c>
      <c r="D388" t="s">
        <v>91</v>
      </c>
      <c r="E388" s="81">
        <v>1</v>
      </c>
      <c r="F388" t="s">
        <v>21</v>
      </c>
      <c r="G388" s="55">
        <v>20605.349999999999</v>
      </c>
      <c r="H388" s="82">
        <v>20605.349999999999</v>
      </c>
      <c r="I388" s="83" t="str">
        <f>VLOOKUP(E388,[1]Mapping!$A$3:$B$14,2,FALSE)</f>
        <v>Jul</v>
      </c>
      <c r="J388" s="84">
        <f t="shared" si="10"/>
        <v>1110073</v>
      </c>
      <c r="K388" s="84">
        <f t="shared" si="11"/>
        <v>600020</v>
      </c>
      <c r="L388" s="61" t="str">
        <f>VLOOKUP(K388,[1]Mapping!$J$3:$Q$351,8,FALSE)</f>
        <v>Fringe Benefits</v>
      </c>
      <c r="M388" t="s">
        <v>83</v>
      </c>
      <c r="N388" t="s">
        <v>177</v>
      </c>
      <c r="O388" t="s">
        <v>178</v>
      </c>
    </row>
    <row r="389" spans="1:15" hidden="1" x14ac:dyDescent="0.35">
      <c r="A389" s="79">
        <v>1110073</v>
      </c>
      <c r="B389" t="s">
        <v>175</v>
      </c>
      <c r="C389" s="80">
        <v>600055</v>
      </c>
      <c r="D389" t="s">
        <v>92</v>
      </c>
      <c r="E389" s="81">
        <v>1</v>
      </c>
      <c r="F389" t="s">
        <v>21</v>
      </c>
      <c r="G389" s="55">
        <v>1648.43</v>
      </c>
      <c r="H389" s="82">
        <v>1648.43</v>
      </c>
      <c r="I389" s="83" t="str">
        <f>VLOOKUP(E389,[1]Mapping!$A$3:$B$14,2,FALSE)</f>
        <v>Jul</v>
      </c>
      <c r="J389" s="84">
        <f t="shared" si="10"/>
        <v>1110073</v>
      </c>
      <c r="K389" s="84">
        <f t="shared" si="11"/>
        <v>600055</v>
      </c>
      <c r="L389" s="61" t="str">
        <f>VLOOKUP(K389,[1]Mapping!$J$3:$Q$351,8,FALSE)</f>
        <v>Fringe Benefits</v>
      </c>
      <c r="M389" t="s">
        <v>83</v>
      </c>
      <c r="N389" t="s">
        <v>177</v>
      </c>
      <c r="O389" t="s">
        <v>178</v>
      </c>
    </row>
    <row r="390" spans="1:15" hidden="1" x14ac:dyDescent="0.35">
      <c r="A390" s="79">
        <v>1110073</v>
      </c>
      <c r="B390" t="s">
        <v>175</v>
      </c>
      <c r="C390" s="80">
        <v>501070</v>
      </c>
      <c r="D390" t="s">
        <v>135</v>
      </c>
      <c r="E390" s="81">
        <v>1</v>
      </c>
      <c r="F390" t="s">
        <v>21</v>
      </c>
      <c r="G390" s="55">
        <v>6480</v>
      </c>
      <c r="H390" s="82">
        <v>6480</v>
      </c>
      <c r="I390" s="83" t="str">
        <f>VLOOKUP(E390,[1]Mapping!$A$3:$B$14,2,FALSE)</f>
        <v>Jul</v>
      </c>
      <c r="J390" s="84">
        <f t="shared" si="10"/>
        <v>1110073</v>
      </c>
      <c r="K390" s="84">
        <f t="shared" si="11"/>
        <v>501070</v>
      </c>
      <c r="L390" s="61" t="str">
        <f>VLOOKUP(K390,[1]Mapping!$J$3:$Q$351,8,FALSE)</f>
        <v>Fringe Benefits</v>
      </c>
      <c r="M390" t="s">
        <v>83</v>
      </c>
      <c r="N390" t="s">
        <v>177</v>
      </c>
      <c r="O390" t="s">
        <v>178</v>
      </c>
    </row>
    <row r="391" spans="1:15" hidden="1" x14ac:dyDescent="0.35">
      <c r="A391" s="79">
        <v>1110080</v>
      </c>
      <c r="B391" t="s">
        <v>179</v>
      </c>
      <c r="C391" s="80">
        <v>501050</v>
      </c>
      <c r="D391" t="s">
        <v>39</v>
      </c>
      <c r="E391" s="81">
        <v>1</v>
      </c>
      <c r="F391" t="s">
        <v>19</v>
      </c>
      <c r="G391" s="55">
        <v>83356.51999999999</v>
      </c>
      <c r="H391" s="82">
        <v>83356.51999999999</v>
      </c>
      <c r="I391" s="83" t="str">
        <f>VLOOKUP(E391,[1]Mapping!$A$3:$B$14,2,FALSE)</f>
        <v>Jul</v>
      </c>
      <c r="J391" s="84">
        <f t="shared" si="10"/>
        <v>1110080</v>
      </c>
      <c r="K391" s="84">
        <f t="shared" si="11"/>
        <v>501050</v>
      </c>
      <c r="L391" s="61" t="str">
        <f>VLOOKUP(K391,[1]Mapping!$J$3:$Q$351,8,FALSE)</f>
        <v>Wages &amp; Salaries</v>
      </c>
      <c r="M391" t="s">
        <v>83</v>
      </c>
      <c r="N391" t="s">
        <v>177</v>
      </c>
      <c r="O391" t="s">
        <v>178</v>
      </c>
    </row>
    <row r="392" spans="1:15" hidden="1" x14ac:dyDescent="0.35">
      <c r="A392" s="79">
        <v>1110080</v>
      </c>
      <c r="B392" t="s">
        <v>179</v>
      </c>
      <c r="C392" s="80">
        <v>501051</v>
      </c>
      <c r="D392" t="s">
        <v>121</v>
      </c>
      <c r="E392" s="81">
        <v>1</v>
      </c>
      <c r="F392" t="s">
        <v>19</v>
      </c>
      <c r="G392" s="55">
        <v>1251.32</v>
      </c>
      <c r="H392" s="82">
        <v>1251.32</v>
      </c>
      <c r="I392" s="83" t="str">
        <f>VLOOKUP(E392,[1]Mapping!$A$3:$B$14,2,FALSE)</f>
        <v>Jul</v>
      </c>
      <c r="J392" s="84">
        <f t="shared" si="10"/>
        <v>1110080</v>
      </c>
      <c r="K392" s="84">
        <f t="shared" si="11"/>
        <v>501051</v>
      </c>
      <c r="L392" s="61" t="str">
        <f>VLOOKUP(K392,[1]Mapping!$J$3:$Q$351,8,FALSE)</f>
        <v>Wages &amp; Salaries</v>
      </c>
      <c r="M392" t="s">
        <v>83</v>
      </c>
      <c r="N392" t="s">
        <v>177</v>
      </c>
      <c r="O392" t="s">
        <v>178</v>
      </c>
    </row>
    <row r="393" spans="1:15" hidden="1" x14ac:dyDescent="0.35">
      <c r="A393" s="79">
        <v>1110080</v>
      </c>
      <c r="B393" t="s">
        <v>179</v>
      </c>
      <c r="C393" s="80">
        <v>501058</v>
      </c>
      <c r="D393" t="s">
        <v>122</v>
      </c>
      <c r="E393" s="81">
        <v>1</v>
      </c>
      <c r="F393" t="s">
        <v>21</v>
      </c>
      <c r="G393" s="55">
        <v>6373.9499999999989</v>
      </c>
      <c r="H393" s="82">
        <v>6373.9499999999989</v>
      </c>
      <c r="I393" s="83" t="str">
        <f>VLOOKUP(E393,[1]Mapping!$A$3:$B$14,2,FALSE)</f>
        <v>Jul</v>
      </c>
      <c r="J393" s="84">
        <f t="shared" si="10"/>
        <v>1110080</v>
      </c>
      <c r="K393" s="84">
        <f t="shared" si="11"/>
        <v>501058</v>
      </c>
      <c r="L393" s="61" t="str">
        <f>VLOOKUP(K393,[1]Mapping!$J$3:$Q$351,8,FALSE)</f>
        <v>Fringe Benefits</v>
      </c>
      <c r="M393" t="s">
        <v>83</v>
      </c>
      <c r="N393" t="s">
        <v>180</v>
      </c>
      <c r="O393" t="s">
        <v>178</v>
      </c>
    </row>
    <row r="394" spans="1:15" hidden="1" x14ac:dyDescent="0.35">
      <c r="A394" s="79">
        <v>1110080</v>
      </c>
      <c r="B394" t="s">
        <v>179</v>
      </c>
      <c r="C394" s="80">
        <v>501062</v>
      </c>
      <c r="D394" t="s">
        <v>41</v>
      </c>
      <c r="E394" s="81">
        <v>1</v>
      </c>
      <c r="F394" t="s">
        <v>21</v>
      </c>
      <c r="G394" s="55">
        <v>153.48000000000002</v>
      </c>
      <c r="H394" s="82">
        <v>153.48000000000002</v>
      </c>
      <c r="I394" s="83" t="str">
        <f>VLOOKUP(E394,[1]Mapping!$A$3:$B$14,2,FALSE)</f>
        <v>Jul</v>
      </c>
      <c r="J394" s="84">
        <f t="shared" si="10"/>
        <v>1110080</v>
      </c>
      <c r="K394" s="84">
        <f t="shared" si="11"/>
        <v>501062</v>
      </c>
      <c r="L394" s="61" t="str">
        <f>VLOOKUP(K394,[1]Mapping!$J$3:$Q$351,8,FALSE)</f>
        <v>Fringe Benefits</v>
      </c>
      <c r="M394" t="s">
        <v>83</v>
      </c>
      <c r="N394" t="s">
        <v>181</v>
      </c>
      <c r="O394" t="s">
        <v>178</v>
      </c>
    </row>
    <row r="395" spans="1:15" hidden="1" x14ac:dyDescent="0.35">
      <c r="A395" s="79">
        <v>1110080</v>
      </c>
      <c r="B395" t="s">
        <v>179</v>
      </c>
      <c r="C395" s="80">
        <v>501063</v>
      </c>
      <c r="D395" t="s">
        <v>123</v>
      </c>
      <c r="E395" s="81">
        <v>1</v>
      </c>
      <c r="F395" t="s">
        <v>21</v>
      </c>
      <c r="G395" s="55">
        <v>4940.7299999999996</v>
      </c>
      <c r="H395" s="82">
        <v>4940.7299999999996</v>
      </c>
      <c r="I395" s="83" t="str">
        <f>VLOOKUP(E395,[1]Mapping!$A$3:$B$14,2,FALSE)</f>
        <v>Jul</v>
      </c>
      <c r="J395" s="84">
        <f t="shared" ref="J395:J458" si="12">VALUE(A395)</f>
        <v>1110080</v>
      </c>
      <c r="K395" s="84">
        <f t="shared" ref="K395:K458" si="13">VALUE(C395)</f>
        <v>501063</v>
      </c>
      <c r="L395" s="61" t="str">
        <f>VLOOKUP(K395,[1]Mapping!$J$3:$Q$351,8,FALSE)</f>
        <v>Fringe Benefits</v>
      </c>
      <c r="M395" t="s">
        <v>83</v>
      </c>
      <c r="N395" t="s">
        <v>181</v>
      </c>
      <c r="O395" t="s">
        <v>178</v>
      </c>
    </row>
    <row r="396" spans="1:15" hidden="1" x14ac:dyDescent="0.35">
      <c r="A396">
        <v>1110080</v>
      </c>
      <c r="B396" t="s">
        <v>179</v>
      </c>
      <c r="C396">
        <v>501065</v>
      </c>
      <c r="D396" t="s">
        <v>124</v>
      </c>
      <c r="E396" s="81">
        <v>1</v>
      </c>
      <c r="F396" t="s">
        <v>21</v>
      </c>
      <c r="G396" s="55">
        <v>204.54000000000002</v>
      </c>
      <c r="H396" s="82">
        <v>204.54000000000002</v>
      </c>
      <c r="I396" s="83" t="str">
        <f>VLOOKUP(E396,[1]Mapping!$A$3:$B$14,2,FALSE)</f>
        <v>Jul</v>
      </c>
      <c r="J396" s="84">
        <f t="shared" si="12"/>
        <v>1110080</v>
      </c>
      <c r="K396" s="84">
        <f t="shared" si="13"/>
        <v>501065</v>
      </c>
      <c r="L396" s="61" t="str">
        <f>VLOOKUP(K396,[1]Mapping!$J$3:$Q$351,8,FALSE)</f>
        <v>Fringe Benefits</v>
      </c>
      <c r="M396" t="s">
        <v>83</v>
      </c>
    </row>
    <row r="397" spans="1:15" hidden="1" x14ac:dyDescent="0.35">
      <c r="A397">
        <v>1110080</v>
      </c>
      <c r="B397" t="s">
        <v>179</v>
      </c>
      <c r="C397">
        <v>501069</v>
      </c>
      <c r="D397" t="s">
        <v>125</v>
      </c>
      <c r="E397" s="81">
        <v>1</v>
      </c>
      <c r="F397" t="s">
        <v>21</v>
      </c>
      <c r="G397" s="55">
        <v>4133.8900000000003</v>
      </c>
      <c r="H397" s="82">
        <v>4133.8900000000003</v>
      </c>
      <c r="I397" s="83" t="str">
        <f>VLOOKUP(E397,[1]Mapping!$A$3:$B$14,2,FALSE)</f>
        <v>Jul</v>
      </c>
      <c r="J397" s="84">
        <f t="shared" si="12"/>
        <v>1110080</v>
      </c>
      <c r="K397" s="84">
        <f t="shared" si="13"/>
        <v>501069</v>
      </c>
      <c r="L397" s="61" t="str">
        <f>VLOOKUP(K397,[1]Mapping!$J$3:$Q$351,8,FALSE)</f>
        <v>Fringe Benefits</v>
      </c>
      <c r="M397" t="s">
        <v>83</v>
      </c>
    </row>
    <row r="398" spans="1:15" hidden="1" x14ac:dyDescent="0.35">
      <c r="A398">
        <v>1110080</v>
      </c>
      <c r="B398" t="s">
        <v>179</v>
      </c>
      <c r="C398">
        <v>608533</v>
      </c>
      <c r="D398" t="s">
        <v>167</v>
      </c>
      <c r="E398" s="81">
        <v>1</v>
      </c>
      <c r="F398" t="s">
        <v>29</v>
      </c>
      <c r="G398" s="55">
        <v>0</v>
      </c>
      <c r="H398" s="82">
        <v>0</v>
      </c>
      <c r="I398" s="83" t="str">
        <f>VLOOKUP(E398,[1]Mapping!$A$3:$B$14,2,FALSE)</f>
        <v>Jul</v>
      </c>
      <c r="J398" s="84">
        <f t="shared" si="12"/>
        <v>1110080</v>
      </c>
      <c r="K398" s="84">
        <f t="shared" si="13"/>
        <v>608533</v>
      </c>
      <c r="L398" s="61" t="str">
        <f>VLOOKUP(K398,[1]Mapping!$J$3:$Q$351,8,FALSE)</f>
        <v>Other</v>
      </c>
      <c r="M398" t="s">
        <v>83</v>
      </c>
    </row>
    <row r="399" spans="1:15" hidden="1" x14ac:dyDescent="0.35">
      <c r="A399">
        <v>1110080</v>
      </c>
      <c r="B399" t="s">
        <v>179</v>
      </c>
      <c r="C399">
        <v>600044</v>
      </c>
      <c r="D399" t="s">
        <v>111</v>
      </c>
      <c r="E399" s="81">
        <v>1</v>
      </c>
      <c r="F399" t="s">
        <v>23</v>
      </c>
      <c r="G399" s="55">
        <v>0</v>
      </c>
      <c r="H399" s="82">
        <v>0</v>
      </c>
      <c r="I399" s="83" t="str">
        <f>VLOOKUP(E399,[1]Mapping!$A$3:$B$14,2,FALSE)</f>
        <v>Jul</v>
      </c>
      <c r="J399" s="84">
        <f t="shared" si="12"/>
        <v>1110080</v>
      </c>
      <c r="K399" s="84">
        <f t="shared" si="13"/>
        <v>600044</v>
      </c>
      <c r="L399" s="61" t="str">
        <f>VLOOKUP(K399,[1]Mapping!$J$3:$Q$351,8,FALSE)</f>
        <v>Travel &amp; Entertainment</v>
      </c>
      <c r="M399" t="s">
        <v>83</v>
      </c>
    </row>
    <row r="400" spans="1:15" hidden="1" x14ac:dyDescent="0.35">
      <c r="A400">
        <v>1110080</v>
      </c>
      <c r="B400" t="s">
        <v>179</v>
      </c>
      <c r="C400">
        <v>600027</v>
      </c>
      <c r="D400" t="s">
        <v>112</v>
      </c>
      <c r="E400" s="81">
        <v>1</v>
      </c>
      <c r="F400" t="s">
        <v>23</v>
      </c>
      <c r="G400" s="55">
        <v>0</v>
      </c>
      <c r="H400" s="82">
        <v>0</v>
      </c>
      <c r="I400" s="83" t="str">
        <f>VLOOKUP(E400,[1]Mapping!$A$3:$B$14,2,FALSE)</f>
        <v>Jul</v>
      </c>
      <c r="J400" s="84">
        <f t="shared" si="12"/>
        <v>1110080</v>
      </c>
      <c r="K400" s="84">
        <f t="shared" si="13"/>
        <v>600027</v>
      </c>
      <c r="L400" s="61" t="str">
        <f>VLOOKUP(K400,[1]Mapping!$J$3:$Q$351,8,FALSE)</f>
        <v>Travel &amp; Entertainment</v>
      </c>
      <c r="M400" t="s">
        <v>83</v>
      </c>
    </row>
    <row r="401" spans="1:13" hidden="1" x14ac:dyDescent="0.35">
      <c r="A401">
        <v>1110080</v>
      </c>
      <c r="B401" t="s">
        <v>179</v>
      </c>
      <c r="C401">
        <v>600029</v>
      </c>
      <c r="D401" t="s">
        <v>113</v>
      </c>
      <c r="E401" s="81">
        <v>1</v>
      </c>
      <c r="F401" t="s">
        <v>23</v>
      </c>
      <c r="G401" s="55">
        <v>0</v>
      </c>
      <c r="H401" s="82">
        <v>0</v>
      </c>
      <c r="I401" s="83" t="str">
        <f>VLOOKUP(E401,[1]Mapping!$A$3:$B$14,2,FALSE)</f>
        <v>Jul</v>
      </c>
      <c r="J401" s="84">
        <f t="shared" si="12"/>
        <v>1110080</v>
      </c>
      <c r="K401" s="84">
        <f t="shared" si="13"/>
        <v>600029</v>
      </c>
      <c r="L401" s="61" t="str">
        <f>VLOOKUP(K401,[1]Mapping!$J$3:$Q$351,8,FALSE)</f>
        <v>Travel &amp; Entertainment</v>
      </c>
      <c r="M401" t="s">
        <v>83</v>
      </c>
    </row>
    <row r="402" spans="1:13" hidden="1" x14ac:dyDescent="0.35">
      <c r="A402">
        <v>1110080</v>
      </c>
      <c r="B402" t="s">
        <v>179</v>
      </c>
      <c r="C402">
        <v>600020</v>
      </c>
      <c r="D402" t="s">
        <v>91</v>
      </c>
      <c r="E402" s="81">
        <v>1</v>
      </c>
      <c r="F402" t="s">
        <v>21</v>
      </c>
      <c r="G402" s="55">
        <v>10756.02</v>
      </c>
      <c r="H402" s="82">
        <v>10756.02</v>
      </c>
      <c r="I402" s="83" t="str">
        <f>VLOOKUP(E402,[1]Mapping!$A$3:$B$14,2,FALSE)</f>
        <v>Jul</v>
      </c>
      <c r="J402" s="84">
        <f t="shared" si="12"/>
        <v>1110080</v>
      </c>
      <c r="K402" s="84">
        <f t="shared" si="13"/>
        <v>600020</v>
      </c>
      <c r="L402" s="61" t="str">
        <f>VLOOKUP(K402,[1]Mapping!$J$3:$Q$351,8,FALSE)</f>
        <v>Fringe Benefits</v>
      </c>
      <c r="M402" t="s">
        <v>83</v>
      </c>
    </row>
    <row r="403" spans="1:13" hidden="1" x14ac:dyDescent="0.35">
      <c r="A403">
        <v>1110080</v>
      </c>
      <c r="B403" t="s">
        <v>179</v>
      </c>
      <c r="C403">
        <v>600055</v>
      </c>
      <c r="D403" t="s">
        <v>92</v>
      </c>
      <c r="E403" s="81">
        <v>1</v>
      </c>
      <c r="F403" t="s">
        <v>21</v>
      </c>
      <c r="G403" s="55">
        <v>860.48</v>
      </c>
      <c r="H403" s="82">
        <v>860.48</v>
      </c>
      <c r="I403" s="83" t="str">
        <f>VLOOKUP(E403,[1]Mapping!$A$3:$B$14,2,FALSE)</f>
        <v>Jul</v>
      </c>
      <c r="J403" s="84">
        <f t="shared" si="12"/>
        <v>1110080</v>
      </c>
      <c r="K403" s="84">
        <f t="shared" si="13"/>
        <v>600055</v>
      </c>
      <c r="L403" s="61" t="str">
        <f>VLOOKUP(K403,[1]Mapping!$J$3:$Q$351,8,FALSE)</f>
        <v>Fringe Benefits</v>
      </c>
      <c r="M403" t="s">
        <v>83</v>
      </c>
    </row>
    <row r="404" spans="1:13" hidden="1" x14ac:dyDescent="0.35">
      <c r="A404">
        <v>1110080</v>
      </c>
      <c r="B404" t="s">
        <v>179</v>
      </c>
      <c r="C404">
        <v>501070</v>
      </c>
      <c r="D404" t="s">
        <v>135</v>
      </c>
      <c r="E404" s="81">
        <v>1</v>
      </c>
      <c r="F404" t="s">
        <v>21</v>
      </c>
      <c r="G404" s="55">
        <v>1800</v>
      </c>
      <c r="H404" s="82">
        <v>1800</v>
      </c>
      <c r="I404" s="83" t="str">
        <f>VLOOKUP(E404,[1]Mapping!$A$3:$B$14,2,FALSE)</f>
        <v>Jul</v>
      </c>
      <c r="J404" s="84">
        <f t="shared" si="12"/>
        <v>1110080</v>
      </c>
      <c r="K404" s="84">
        <f t="shared" si="13"/>
        <v>501070</v>
      </c>
      <c r="L404" s="61" t="str">
        <f>VLOOKUP(K404,[1]Mapping!$J$3:$Q$351,8,FALSE)</f>
        <v>Fringe Benefits</v>
      </c>
      <c r="M404" t="s">
        <v>83</v>
      </c>
    </row>
    <row r="405" spans="1:13" hidden="1" x14ac:dyDescent="0.35">
      <c r="A405">
        <v>1110080</v>
      </c>
      <c r="B405" t="s">
        <v>179</v>
      </c>
      <c r="C405">
        <v>607009</v>
      </c>
      <c r="D405" t="s">
        <v>50</v>
      </c>
      <c r="E405" s="81">
        <v>1</v>
      </c>
      <c r="F405" t="s">
        <v>22</v>
      </c>
      <c r="G405" s="55">
        <v>63</v>
      </c>
      <c r="H405" s="82">
        <v>63</v>
      </c>
      <c r="I405" s="83" t="str">
        <f>VLOOKUP(E405,[1]Mapping!$A$3:$B$14,2,FALSE)</f>
        <v>Jul</v>
      </c>
      <c r="J405" s="84">
        <f t="shared" si="12"/>
        <v>1110080</v>
      </c>
      <c r="K405" s="84">
        <f t="shared" si="13"/>
        <v>607009</v>
      </c>
      <c r="L405" s="61" t="str">
        <f>VLOOKUP(K405,[1]Mapping!$J$3:$Q$351,8,FALSE)</f>
        <v>Employee Related Expenses</v>
      </c>
      <c r="M405" t="s">
        <v>83</v>
      </c>
    </row>
    <row r="406" spans="1:13" hidden="1" x14ac:dyDescent="0.35">
      <c r="A406">
        <v>27110138</v>
      </c>
      <c r="B406" t="s">
        <v>182</v>
      </c>
      <c r="C406">
        <v>501613</v>
      </c>
      <c r="D406" t="s">
        <v>149</v>
      </c>
      <c r="E406" s="81">
        <v>1</v>
      </c>
      <c r="F406" t="s">
        <v>24</v>
      </c>
      <c r="G406" s="55">
        <v>1295.08</v>
      </c>
      <c r="H406" s="82">
        <v>1295.08</v>
      </c>
      <c r="I406" s="83" t="str">
        <f>VLOOKUP(E406,[1]Mapping!$A$3:$B$14,2,FALSE)</f>
        <v>Jul</v>
      </c>
      <c r="J406" s="84">
        <f t="shared" si="12"/>
        <v>27110138</v>
      </c>
      <c r="K406" s="84">
        <f t="shared" si="13"/>
        <v>501613</v>
      </c>
      <c r="L406" s="61" t="str">
        <f>VLOOKUP(K406,[1]Mapping!$J$3:$Q$351,8,FALSE)</f>
        <v>Supplies Expenses</v>
      </c>
      <c r="M406" t="s">
        <v>83</v>
      </c>
    </row>
    <row r="407" spans="1:13" hidden="1" x14ac:dyDescent="0.35">
      <c r="A407">
        <v>27110138</v>
      </c>
      <c r="B407" t="s">
        <v>182</v>
      </c>
      <c r="C407">
        <v>501716</v>
      </c>
      <c r="D407" t="s">
        <v>139</v>
      </c>
      <c r="E407" s="81">
        <v>1</v>
      </c>
      <c r="F407" t="s">
        <v>117</v>
      </c>
      <c r="G407" s="55">
        <v>-1295.08</v>
      </c>
      <c r="H407" s="82">
        <v>-1295.08</v>
      </c>
      <c r="I407" s="83" t="str">
        <f>VLOOKUP(E407,[1]Mapping!$A$3:$B$14,2,FALSE)</f>
        <v>Jul</v>
      </c>
      <c r="J407" s="84">
        <f t="shared" si="12"/>
        <v>27110138</v>
      </c>
      <c r="K407" s="84">
        <f t="shared" si="13"/>
        <v>501716</v>
      </c>
      <c r="L407" s="61" t="e">
        <f>VLOOKUP(K407,[1]Mapping!$J$3:$Q$351,8,FALSE)</f>
        <v>#N/A</v>
      </c>
      <c r="M407" t="s">
        <v>83</v>
      </c>
    </row>
    <row r="408" spans="1:13" hidden="1" x14ac:dyDescent="0.35">
      <c r="A408">
        <v>27110458</v>
      </c>
      <c r="B408" t="s">
        <v>140</v>
      </c>
      <c r="C408">
        <v>501613</v>
      </c>
      <c r="D408" t="s">
        <v>149</v>
      </c>
      <c r="E408" s="81">
        <v>1</v>
      </c>
      <c r="F408" t="s">
        <v>24</v>
      </c>
      <c r="G408" s="55">
        <v>108</v>
      </c>
      <c r="H408" s="82">
        <v>108</v>
      </c>
      <c r="I408" s="83" t="str">
        <f>VLOOKUP(E408,[1]Mapping!$A$3:$B$14,2,FALSE)</f>
        <v>Jul</v>
      </c>
      <c r="J408" s="84">
        <f t="shared" si="12"/>
        <v>27110458</v>
      </c>
      <c r="K408" s="84">
        <f t="shared" si="13"/>
        <v>501613</v>
      </c>
      <c r="L408" s="61" t="str">
        <f>VLOOKUP(K408,[1]Mapping!$J$3:$Q$351,8,FALSE)</f>
        <v>Supplies Expenses</v>
      </c>
      <c r="M408" t="s">
        <v>83</v>
      </c>
    </row>
    <row r="409" spans="1:13" hidden="1" x14ac:dyDescent="0.35">
      <c r="A409">
        <v>27110458</v>
      </c>
      <c r="B409" t="s">
        <v>140</v>
      </c>
      <c r="C409">
        <v>501716</v>
      </c>
      <c r="D409" t="s">
        <v>139</v>
      </c>
      <c r="E409" s="81">
        <v>1</v>
      </c>
      <c r="F409" t="s">
        <v>117</v>
      </c>
      <c r="G409" s="55">
        <v>-108</v>
      </c>
      <c r="H409" s="82">
        <v>-108</v>
      </c>
      <c r="I409" s="83" t="str">
        <f>VLOOKUP(E409,[1]Mapping!$A$3:$B$14,2,FALSE)</f>
        <v>Jul</v>
      </c>
      <c r="J409" s="84">
        <f t="shared" si="12"/>
        <v>27110458</v>
      </c>
      <c r="K409" s="84">
        <f t="shared" si="13"/>
        <v>501716</v>
      </c>
      <c r="L409" s="61" t="e">
        <f>VLOOKUP(K409,[1]Mapping!$J$3:$Q$351,8,FALSE)</f>
        <v>#N/A</v>
      </c>
      <c r="M409" t="s">
        <v>83</v>
      </c>
    </row>
    <row r="410" spans="1:13" hidden="1" x14ac:dyDescent="0.35">
      <c r="A410">
        <v>27110292</v>
      </c>
      <c r="B410" t="s">
        <v>183</v>
      </c>
      <c r="C410">
        <v>501613</v>
      </c>
      <c r="D410" t="s">
        <v>149</v>
      </c>
      <c r="E410" s="81">
        <v>1</v>
      </c>
      <c r="F410" t="s">
        <v>24</v>
      </c>
      <c r="G410" s="55">
        <v>1276.51</v>
      </c>
      <c r="H410" s="82">
        <v>1276.51</v>
      </c>
      <c r="I410" s="83" t="str">
        <f>VLOOKUP(E410,[1]Mapping!$A$3:$B$14,2,FALSE)</f>
        <v>Jul</v>
      </c>
      <c r="J410" s="84">
        <f t="shared" si="12"/>
        <v>27110292</v>
      </c>
      <c r="K410" s="84">
        <f t="shared" si="13"/>
        <v>501613</v>
      </c>
      <c r="L410" s="61" t="str">
        <f>VLOOKUP(K410,[1]Mapping!$J$3:$Q$351,8,FALSE)</f>
        <v>Supplies Expenses</v>
      </c>
      <c r="M410" t="s">
        <v>83</v>
      </c>
    </row>
    <row r="411" spans="1:13" hidden="1" x14ac:dyDescent="0.35">
      <c r="A411">
        <v>27110292</v>
      </c>
      <c r="B411" t="s">
        <v>183</v>
      </c>
      <c r="C411">
        <v>501716</v>
      </c>
      <c r="D411" t="s">
        <v>139</v>
      </c>
      <c r="E411" s="81">
        <v>1</v>
      </c>
      <c r="F411" t="s">
        <v>117</v>
      </c>
      <c r="G411" s="55">
        <v>-1276.51</v>
      </c>
      <c r="H411" s="82">
        <v>-1276.51</v>
      </c>
      <c r="I411" s="83" t="str">
        <f>VLOOKUP(E411,[1]Mapping!$A$3:$B$14,2,FALSE)</f>
        <v>Jul</v>
      </c>
      <c r="J411" s="84">
        <f t="shared" si="12"/>
        <v>27110292</v>
      </c>
      <c r="K411" s="84">
        <f t="shared" si="13"/>
        <v>501716</v>
      </c>
      <c r="L411" s="61" t="e">
        <f>VLOOKUP(K411,[1]Mapping!$J$3:$Q$351,8,FALSE)</f>
        <v>#N/A</v>
      </c>
      <c r="M411" t="s">
        <v>83</v>
      </c>
    </row>
    <row r="412" spans="1:13" hidden="1" x14ac:dyDescent="0.35">
      <c r="A412">
        <v>27110141</v>
      </c>
      <c r="B412" t="s">
        <v>184</v>
      </c>
      <c r="C412">
        <v>501711</v>
      </c>
      <c r="D412" t="s">
        <v>144</v>
      </c>
      <c r="E412" s="81">
        <v>1</v>
      </c>
      <c r="F412" t="s">
        <v>27</v>
      </c>
      <c r="G412" s="55">
        <v>1012.5</v>
      </c>
      <c r="H412" s="82">
        <v>1012.5</v>
      </c>
      <c r="I412" s="83" t="str">
        <f>VLOOKUP(E412,[1]Mapping!$A$3:$B$14,2,FALSE)</f>
        <v>Jul</v>
      </c>
      <c r="J412" s="84">
        <f t="shared" si="12"/>
        <v>27110141</v>
      </c>
      <c r="K412" s="84">
        <f t="shared" si="13"/>
        <v>501711</v>
      </c>
      <c r="L412" s="61" t="str">
        <f>VLOOKUP(K412,[1]Mapping!$J$3:$Q$351,8,FALSE)</f>
        <v>Outside Services</v>
      </c>
      <c r="M412" t="s">
        <v>83</v>
      </c>
    </row>
    <row r="413" spans="1:13" hidden="1" x14ac:dyDescent="0.35">
      <c r="A413">
        <v>27110141</v>
      </c>
      <c r="B413" t="s">
        <v>184</v>
      </c>
      <c r="C413">
        <v>501613</v>
      </c>
      <c r="D413" t="s">
        <v>149</v>
      </c>
      <c r="E413" s="81">
        <v>1</v>
      </c>
      <c r="F413" t="s">
        <v>24</v>
      </c>
      <c r="G413" s="55">
        <v>798.8</v>
      </c>
      <c r="H413" s="82">
        <v>798.8</v>
      </c>
      <c r="I413" s="83" t="str">
        <f>VLOOKUP(E413,[1]Mapping!$A$3:$B$14,2,FALSE)</f>
        <v>Jul</v>
      </c>
      <c r="J413" s="84">
        <f t="shared" si="12"/>
        <v>27110141</v>
      </c>
      <c r="K413" s="84">
        <f t="shared" si="13"/>
        <v>501613</v>
      </c>
      <c r="L413" s="61" t="str">
        <f>VLOOKUP(K413,[1]Mapping!$J$3:$Q$351,8,FALSE)</f>
        <v>Supplies Expenses</v>
      </c>
      <c r="M413" t="s">
        <v>83</v>
      </c>
    </row>
    <row r="414" spans="1:13" hidden="1" x14ac:dyDescent="0.35">
      <c r="A414">
        <v>27110141</v>
      </c>
      <c r="B414" t="s">
        <v>184</v>
      </c>
      <c r="C414">
        <v>501609</v>
      </c>
      <c r="D414" t="s">
        <v>47</v>
      </c>
      <c r="E414" s="81">
        <v>1</v>
      </c>
      <c r="F414" t="s">
        <v>24</v>
      </c>
      <c r="G414" s="55">
        <v>12205.28</v>
      </c>
      <c r="H414" s="82">
        <v>12205.28</v>
      </c>
      <c r="I414" s="83" t="str">
        <f>VLOOKUP(E414,[1]Mapping!$A$3:$B$14,2,FALSE)</f>
        <v>Jul</v>
      </c>
      <c r="J414" s="84">
        <f t="shared" si="12"/>
        <v>27110141</v>
      </c>
      <c r="K414" s="84">
        <f t="shared" si="13"/>
        <v>501609</v>
      </c>
      <c r="L414" s="61" t="str">
        <f>VLOOKUP(K414,[1]Mapping!$J$3:$Q$351,8,FALSE)</f>
        <v>Supplies Expenses</v>
      </c>
      <c r="M414" t="s">
        <v>83</v>
      </c>
    </row>
    <row r="415" spans="1:13" hidden="1" x14ac:dyDescent="0.35">
      <c r="A415">
        <v>27110141</v>
      </c>
      <c r="B415" t="s">
        <v>184</v>
      </c>
      <c r="C415">
        <v>501714</v>
      </c>
      <c r="D415" t="s">
        <v>134</v>
      </c>
      <c r="E415" s="81">
        <v>1</v>
      </c>
      <c r="F415" t="s">
        <v>24</v>
      </c>
      <c r="G415" s="55">
        <v>13454.94</v>
      </c>
      <c r="H415" s="82">
        <v>13454.94</v>
      </c>
      <c r="I415" s="83" t="str">
        <f>VLOOKUP(E415,[1]Mapping!$A$3:$B$14,2,FALSE)</f>
        <v>Jul</v>
      </c>
      <c r="J415" s="84">
        <f t="shared" si="12"/>
        <v>27110141</v>
      </c>
      <c r="K415" s="84">
        <f t="shared" si="13"/>
        <v>501714</v>
      </c>
      <c r="L415" s="61" t="str">
        <f>VLOOKUP(K415,[1]Mapping!$J$3:$Q$351,8,FALSE)</f>
        <v>Supplies Expenses</v>
      </c>
      <c r="M415" t="s">
        <v>83</v>
      </c>
    </row>
    <row r="416" spans="1:13" hidden="1" x14ac:dyDescent="0.35">
      <c r="A416">
        <v>27110141</v>
      </c>
      <c r="B416" t="s">
        <v>184</v>
      </c>
      <c r="C416">
        <v>501716</v>
      </c>
      <c r="D416" t="s">
        <v>139</v>
      </c>
      <c r="E416" s="81">
        <v>1</v>
      </c>
      <c r="F416" t="s">
        <v>117</v>
      </c>
      <c r="G416" s="55">
        <v>-27471.52</v>
      </c>
      <c r="H416" s="82">
        <v>-27471.52</v>
      </c>
      <c r="I416" s="83" t="str">
        <f>VLOOKUP(E416,[1]Mapping!$A$3:$B$14,2,FALSE)</f>
        <v>Jul</v>
      </c>
      <c r="J416" s="84">
        <f t="shared" si="12"/>
        <v>27110141</v>
      </c>
      <c r="K416" s="84">
        <f t="shared" si="13"/>
        <v>501716</v>
      </c>
      <c r="L416" s="61" t="e">
        <f>VLOOKUP(K416,[1]Mapping!$J$3:$Q$351,8,FALSE)</f>
        <v>#N/A</v>
      </c>
      <c r="M416" t="s">
        <v>83</v>
      </c>
    </row>
    <row r="417" spans="1:13" hidden="1" x14ac:dyDescent="0.35">
      <c r="A417">
        <v>27110141</v>
      </c>
      <c r="B417" t="s">
        <v>184</v>
      </c>
      <c r="C417">
        <v>500550</v>
      </c>
      <c r="D417" t="s">
        <v>185</v>
      </c>
      <c r="E417" s="81">
        <v>1</v>
      </c>
      <c r="F417" t="s">
        <v>186</v>
      </c>
      <c r="G417" s="55">
        <v>0</v>
      </c>
      <c r="H417" s="82">
        <v>0</v>
      </c>
      <c r="I417" s="83" t="str">
        <f>VLOOKUP(E417,[1]Mapping!$A$3:$B$14,2,FALSE)</f>
        <v>Jul</v>
      </c>
      <c r="J417" s="84">
        <f t="shared" si="12"/>
        <v>27110141</v>
      </c>
      <c r="K417" s="84">
        <f t="shared" si="13"/>
        <v>500550</v>
      </c>
      <c r="L417" s="61" t="str">
        <f>VLOOKUP(K417,[1]Mapping!$J$3:$Q$351,8,FALSE)</f>
        <v>Inv Adj</v>
      </c>
      <c r="M417" t="s">
        <v>83</v>
      </c>
    </row>
    <row r="418" spans="1:13" hidden="1" x14ac:dyDescent="0.35">
      <c r="A418">
        <v>27110403</v>
      </c>
      <c r="B418" t="s">
        <v>147</v>
      </c>
      <c r="C418">
        <v>501613</v>
      </c>
      <c r="D418" t="s">
        <v>149</v>
      </c>
      <c r="E418" s="81">
        <v>1</v>
      </c>
      <c r="F418" t="s">
        <v>24</v>
      </c>
      <c r="G418" s="55">
        <v>74.099999999999994</v>
      </c>
      <c r="H418" s="82">
        <v>74.099999999999994</v>
      </c>
      <c r="I418" s="83" t="str">
        <f>VLOOKUP(E418,[1]Mapping!$A$3:$B$14,2,FALSE)</f>
        <v>Jul</v>
      </c>
      <c r="J418" s="84">
        <f t="shared" si="12"/>
        <v>27110403</v>
      </c>
      <c r="K418" s="84">
        <f t="shared" si="13"/>
        <v>501613</v>
      </c>
      <c r="L418" s="61" t="str">
        <f>VLOOKUP(K418,[1]Mapping!$J$3:$Q$351,8,FALSE)</f>
        <v>Supplies Expenses</v>
      </c>
      <c r="M418" t="s">
        <v>83</v>
      </c>
    </row>
    <row r="419" spans="1:13" hidden="1" x14ac:dyDescent="0.35">
      <c r="A419">
        <v>27110403</v>
      </c>
      <c r="B419" t="s">
        <v>147</v>
      </c>
      <c r="C419">
        <v>501716</v>
      </c>
      <c r="D419" t="s">
        <v>139</v>
      </c>
      <c r="E419" s="81">
        <v>1</v>
      </c>
      <c r="F419" t="s">
        <v>117</v>
      </c>
      <c r="G419" s="55">
        <v>-74.099999999999994</v>
      </c>
      <c r="H419" s="82">
        <v>-74.099999999999994</v>
      </c>
      <c r="I419" s="83" t="str">
        <f>VLOOKUP(E419,[1]Mapping!$A$3:$B$14,2,FALSE)</f>
        <v>Jul</v>
      </c>
      <c r="J419" s="84">
        <f t="shared" si="12"/>
        <v>27110403</v>
      </c>
      <c r="K419" s="84">
        <f t="shared" si="13"/>
        <v>501716</v>
      </c>
      <c r="L419" s="61" t="e">
        <f>VLOOKUP(K419,[1]Mapping!$J$3:$Q$351,8,FALSE)</f>
        <v>#N/A</v>
      </c>
      <c r="M419" t="s">
        <v>83</v>
      </c>
    </row>
    <row r="420" spans="1:13" hidden="1" x14ac:dyDescent="0.35">
      <c r="A420">
        <v>27110139</v>
      </c>
      <c r="B420" t="s">
        <v>187</v>
      </c>
      <c r="C420">
        <v>501050</v>
      </c>
      <c r="D420" t="s">
        <v>39</v>
      </c>
      <c r="E420" s="81">
        <v>1</v>
      </c>
      <c r="F420" t="s">
        <v>19</v>
      </c>
      <c r="G420" s="55">
        <v>23447.5</v>
      </c>
      <c r="H420" s="82">
        <v>23447.5</v>
      </c>
      <c r="I420" s="83" t="str">
        <f>VLOOKUP(E420,[1]Mapping!$A$3:$B$14,2,FALSE)</f>
        <v>Jul</v>
      </c>
      <c r="J420" s="84">
        <f t="shared" si="12"/>
        <v>27110139</v>
      </c>
      <c r="K420" s="84">
        <f t="shared" si="13"/>
        <v>501050</v>
      </c>
      <c r="L420" s="61" t="str">
        <f>VLOOKUP(K420,[1]Mapping!$J$3:$Q$351,8,FALSE)</f>
        <v>Wages &amp; Salaries</v>
      </c>
      <c r="M420" t="s">
        <v>83</v>
      </c>
    </row>
    <row r="421" spans="1:13" hidden="1" x14ac:dyDescent="0.35">
      <c r="A421">
        <v>27110139</v>
      </c>
      <c r="B421" t="s">
        <v>187</v>
      </c>
      <c r="C421">
        <v>501051</v>
      </c>
      <c r="D421" t="s">
        <v>121</v>
      </c>
      <c r="E421" s="81">
        <v>1</v>
      </c>
      <c r="F421" t="s">
        <v>19</v>
      </c>
      <c r="G421" s="55">
        <v>634.62</v>
      </c>
      <c r="H421" s="82">
        <v>634.62</v>
      </c>
      <c r="I421" s="83" t="str">
        <f>VLOOKUP(E421,[1]Mapping!$A$3:$B$14,2,FALSE)</f>
        <v>Jul</v>
      </c>
      <c r="J421" s="84">
        <f t="shared" si="12"/>
        <v>27110139</v>
      </c>
      <c r="K421" s="84">
        <f t="shared" si="13"/>
        <v>501051</v>
      </c>
      <c r="L421" s="61" t="str">
        <f>VLOOKUP(K421,[1]Mapping!$J$3:$Q$351,8,FALSE)</f>
        <v>Wages &amp; Salaries</v>
      </c>
      <c r="M421" t="s">
        <v>83</v>
      </c>
    </row>
    <row r="422" spans="1:13" hidden="1" x14ac:dyDescent="0.35">
      <c r="A422">
        <v>27110139</v>
      </c>
      <c r="B422" t="s">
        <v>187</v>
      </c>
      <c r="C422">
        <v>501058</v>
      </c>
      <c r="D422" t="s">
        <v>122</v>
      </c>
      <c r="E422" s="81">
        <v>1</v>
      </c>
      <c r="F422" t="s">
        <v>21</v>
      </c>
      <c r="G422" s="55">
        <v>1954.69</v>
      </c>
      <c r="H422" s="82">
        <v>1954.69</v>
      </c>
      <c r="I422" s="83" t="str">
        <f>VLOOKUP(E422,[1]Mapping!$A$3:$B$14,2,FALSE)</f>
        <v>Jul</v>
      </c>
      <c r="J422" s="84">
        <f t="shared" si="12"/>
        <v>27110139</v>
      </c>
      <c r="K422" s="84">
        <f t="shared" si="13"/>
        <v>501058</v>
      </c>
      <c r="L422" s="61" t="str">
        <f>VLOOKUP(K422,[1]Mapping!$J$3:$Q$351,8,FALSE)</f>
        <v>Fringe Benefits</v>
      </c>
      <c r="M422" t="s">
        <v>83</v>
      </c>
    </row>
    <row r="423" spans="1:13" hidden="1" x14ac:dyDescent="0.35">
      <c r="A423">
        <v>27110139</v>
      </c>
      <c r="B423" t="s">
        <v>187</v>
      </c>
      <c r="C423">
        <v>501062</v>
      </c>
      <c r="D423" t="s">
        <v>41</v>
      </c>
      <c r="E423" s="81">
        <v>1</v>
      </c>
      <c r="F423" t="s">
        <v>21</v>
      </c>
      <c r="G423" s="55">
        <v>836.99</v>
      </c>
      <c r="H423" s="82">
        <v>836.99</v>
      </c>
      <c r="I423" s="83" t="str">
        <f>VLOOKUP(E423,[1]Mapping!$A$3:$B$14,2,FALSE)</f>
        <v>Jul</v>
      </c>
      <c r="J423" s="84">
        <f t="shared" si="12"/>
        <v>27110139</v>
      </c>
      <c r="K423" s="84">
        <f t="shared" si="13"/>
        <v>501062</v>
      </c>
      <c r="L423" s="61" t="str">
        <f>VLOOKUP(K423,[1]Mapping!$J$3:$Q$351,8,FALSE)</f>
        <v>Fringe Benefits</v>
      </c>
      <c r="M423" t="s">
        <v>83</v>
      </c>
    </row>
    <row r="424" spans="1:13" hidden="1" x14ac:dyDescent="0.35">
      <c r="A424">
        <v>27110139</v>
      </c>
      <c r="B424" t="s">
        <v>187</v>
      </c>
      <c r="C424">
        <v>501063</v>
      </c>
      <c r="D424" t="s">
        <v>123</v>
      </c>
      <c r="E424" s="81">
        <v>1</v>
      </c>
      <c r="F424" t="s">
        <v>21</v>
      </c>
      <c r="G424" s="55">
        <v>715.18</v>
      </c>
      <c r="H424" s="82">
        <v>715.18</v>
      </c>
      <c r="I424" s="83" t="str">
        <f>VLOOKUP(E424,[1]Mapping!$A$3:$B$14,2,FALSE)</f>
        <v>Jul</v>
      </c>
      <c r="J424" s="84">
        <f t="shared" si="12"/>
        <v>27110139</v>
      </c>
      <c r="K424" s="84">
        <f t="shared" si="13"/>
        <v>501063</v>
      </c>
      <c r="L424" s="61" t="str">
        <f>VLOOKUP(K424,[1]Mapping!$J$3:$Q$351,8,FALSE)</f>
        <v>Fringe Benefits</v>
      </c>
      <c r="M424" t="s">
        <v>83</v>
      </c>
    </row>
    <row r="425" spans="1:13" hidden="1" x14ac:dyDescent="0.35">
      <c r="A425">
        <v>27110139</v>
      </c>
      <c r="B425" t="s">
        <v>187</v>
      </c>
      <c r="C425">
        <v>501065</v>
      </c>
      <c r="D425" t="s">
        <v>124</v>
      </c>
      <c r="E425" s="81">
        <v>1</v>
      </c>
      <c r="F425" t="s">
        <v>21</v>
      </c>
      <c r="G425" s="55">
        <v>55.2</v>
      </c>
      <c r="H425" s="82">
        <v>55.2</v>
      </c>
      <c r="I425" s="83" t="str">
        <f>VLOOKUP(E425,[1]Mapping!$A$3:$B$14,2,FALSE)</f>
        <v>Jul</v>
      </c>
      <c r="J425" s="84">
        <f t="shared" si="12"/>
        <v>27110139</v>
      </c>
      <c r="K425" s="84">
        <f t="shared" si="13"/>
        <v>501065</v>
      </c>
      <c r="L425" s="61" t="str">
        <f>VLOOKUP(K425,[1]Mapping!$J$3:$Q$351,8,FALSE)</f>
        <v>Fringe Benefits</v>
      </c>
      <c r="M425" t="s">
        <v>83</v>
      </c>
    </row>
    <row r="426" spans="1:13" hidden="1" x14ac:dyDescent="0.35">
      <c r="A426">
        <v>27110139</v>
      </c>
      <c r="B426" t="s">
        <v>187</v>
      </c>
      <c r="C426">
        <v>501069</v>
      </c>
      <c r="D426" t="s">
        <v>125</v>
      </c>
      <c r="E426" s="81">
        <v>1</v>
      </c>
      <c r="F426" t="s">
        <v>21</v>
      </c>
      <c r="G426" s="55">
        <v>1290.8400000000001</v>
      </c>
      <c r="H426" s="82">
        <v>1290.8400000000001</v>
      </c>
      <c r="I426" s="83" t="str">
        <f>VLOOKUP(E426,[1]Mapping!$A$3:$B$14,2,FALSE)</f>
        <v>Jul</v>
      </c>
      <c r="J426" s="84">
        <f t="shared" si="12"/>
        <v>27110139</v>
      </c>
      <c r="K426" s="84">
        <f t="shared" si="13"/>
        <v>501069</v>
      </c>
      <c r="L426" s="61" t="str">
        <f>VLOOKUP(K426,[1]Mapping!$J$3:$Q$351,8,FALSE)</f>
        <v>Fringe Benefits</v>
      </c>
      <c r="M426" t="s">
        <v>83</v>
      </c>
    </row>
    <row r="427" spans="1:13" hidden="1" x14ac:dyDescent="0.35">
      <c r="A427">
        <v>27110139</v>
      </c>
      <c r="B427" t="s">
        <v>187</v>
      </c>
      <c r="C427">
        <v>501059</v>
      </c>
      <c r="D427" t="s">
        <v>138</v>
      </c>
      <c r="E427" s="81">
        <v>1</v>
      </c>
      <c r="F427" t="s">
        <v>21</v>
      </c>
      <c r="G427" s="55">
        <v>50</v>
      </c>
      <c r="H427" s="82">
        <v>50</v>
      </c>
      <c r="I427" s="83" t="str">
        <f>VLOOKUP(E427,[1]Mapping!$A$3:$B$14,2,FALSE)</f>
        <v>Jul</v>
      </c>
      <c r="J427" s="84">
        <f t="shared" si="12"/>
        <v>27110139</v>
      </c>
      <c r="K427" s="84">
        <f t="shared" si="13"/>
        <v>501059</v>
      </c>
      <c r="L427" s="61" t="str">
        <f>VLOOKUP(K427,[1]Mapping!$J$3:$Q$351,8,FALSE)</f>
        <v>Fringe Benefits</v>
      </c>
      <c r="M427" t="s">
        <v>83</v>
      </c>
    </row>
    <row r="428" spans="1:13" hidden="1" x14ac:dyDescent="0.35">
      <c r="A428">
        <v>27110139</v>
      </c>
      <c r="B428" t="s">
        <v>187</v>
      </c>
      <c r="C428">
        <v>501072</v>
      </c>
      <c r="D428" t="s">
        <v>128</v>
      </c>
      <c r="E428" s="81">
        <v>1</v>
      </c>
      <c r="F428" t="s">
        <v>21</v>
      </c>
      <c r="G428" s="55">
        <v>3528.45</v>
      </c>
      <c r="H428" s="82">
        <v>3528.45</v>
      </c>
      <c r="I428" s="83" t="str">
        <f>VLOOKUP(E428,[1]Mapping!$A$3:$B$14,2,FALSE)</f>
        <v>Jul</v>
      </c>
      <c r="J428" s="84">
        <f t="shared" si="12"/>
        <v>27110139</v>
      </c>
      <c r="K428" s="84">
        <f t="shared" si="13"/>
        <v>501072</v>
      </c>
      <c r="L428" s="61" t="str">
        <f>VLOOKUP(K428,[1]Mapping!$J$3:$Q$351,8,FALSE)</f>
        <v>Fringe Benefits</v>
      </c>
      <c r="M428" t="s">
        <v>83</v>
      </c>
    </row>
    <row r="429" spans="1:13" hidden="1" x14ac:dyDescent="0.35">
      <c r="A429">
        <v>27110139</v>
      </c>
      <c r="B429" t="s">
        <v>187</v>
      </c>
      <c r="C429">
        <v>501073</v>
      </c>
      <c r="D429" t="s">
        <v>129</v>
      </c>
      <c r="E429" s="81">
        <v>1</v>
      </c>
      <c r="F429" t="s">
        <v>21</v>
      </c>
      <c r="G429" s="55">
        <v>282.27999999999997</v>
      </c>
      <c r="H429" s="82">
        <v>282.27999999999997</v>
      </c>
      <c r="I429" s="83" t="str">
        <f>VLOOKUP(E429,[1]Mapping!$A$3:$B$14,2,FALSE)</f>
        <v>Jul</v>
      </c>
      <c r="J429" s="84">
        <f t="shared" si="12"/>
        <v>27110139</v>
      </c>
      <c r="K429" s="84">
        <f t="shared" si="13"/>
        <v>501073</v>
      </c>
      <c r="L429" s="61" t="str">
        <f>VLOOKUP(K429,[1]Mapping!$J$3:$Q$351,8,FALSE)</f>
        <v>Fringe Benefits</v>
      </c>
      <c r="M429" t="s">
        <v>83</v>
      </c>
    </row>
    <row r="430" spans="1:13" hidden="1" x14ac:dyDescent="0.35">
      <c r="A430">
        <v>27110139</v>
      </c>
      <c r="B430" t="s">
        <v>187</v>
      </c>
      <c r="C430">
        <v>501223</v>
      </c>
      <c r="D430" t="s">
        <v>51</v>
      </c>
      <c r="E430" s="81">
        <v>1</v>
      </c>
      <c r="F430" t="s">
        <v>34</v>
      </c>
      <c r="G430" s="55">
        <v>-6894.21</v>
      </c>
      <c r="H430" s="82">
        <v>-6894.21</v>
      </c>
      <c r="I430" s="83" t="str">
        <f>VLOOKUP(E430,[1]Mapping!$A$3:$B$14,2,FALSE)</f>
        <v>Jul</v>
      </c>
      <c r="J430" s="84">
        <f t="shared" si="12"/>
        <v>27110139</v>
      </c>
      <c r="K430" s="84">
        <f t="shared" si="13"/>
        <v>501223</v>
      </c>
      <c r="L430" s="61" t="str">
        <f>VLOOKUP(K430,[1]Mapping!$J$3:$Q$351,8,FALSE)</f>
        <v>Allocations</v>
      </c>
      <c r="M430" t="s">
        <v>83</v>
      </c>
    </row>
    <row r="431" spans="1:13" hidden="1" x14ac:dyDescent="0.35">
      <c r="A431">
        <v>27110139</v>
      </c>
      <c r="B431" t="s">
        <v>187</v>
      </c>
      <c r="C431">
        <v>501070</v>
      </c>
      <c r="D431" t="s">
        <v>135</v>
      </c>
      <c r="E431" s="81">
        <v>1</v>
      </c>
      <c r="F431" t="s">
        <v>21</v>
      </c>
      <c r="G431" s="55">
        <v>720</v>
      </c>
      <c r="H431" s="82">
        <v>720</v>
      </c>
      <c r="I431" s="83" t="str">
        <f>VLOOKUP(E431,[1]Mapping!$A$3:$B$14,2,FALSE)</f>
        <v>Jul</v>
      </c>
      <c r="J431" s="84">
        <f t="shared" si="12"/>
        <v>27110139</v>
      </c>
      <c r="K431" s="84">
        <f t="shared" si="13"/>
        <v>501070</v>
      </c>
      <c r="L431" s="61" t="str">
        <f>VLOOKUP(K431,[1]Mapping!$J$3:$Q$351,8,FALSE)</f>
        <v>Fringe Benefits</v>
      </c>
      <c r="M431" t="s">
        <v>83</v>
      </c>
    </row>
    <row r="432" spans="1:13" hidden="1" x14ac:dyDescent="0.35">
      <c r="A432">
        <v>27110139</v>
      </c>
      <c r="B432" t="s">
        <v>187</v>
      </c>
      <c r="C432">
        <v>501716</v>
      </c>
      <c r="D432" t="s">
        <v>139</v>
      </c>
      <c r="E432" s="81">
        <v>1</v>
      </c>
      <c r="F432" t="s">
        <v>117</v>
      </c>
      <c r="G432" s="55">
        <v>-26621.54</v>
      </c>
      <c r="H432" s="82">
        <v>-26621.54</v>
      </c>
      <c r="I432" s="83" t="str">
        <f>VLOOKUP(E432,[1]Mapping!$A$3:$B$14,2,FALSE)</f>
        <v>Jul</v>
      </c>
      <c r="J432" s="84">
        <f t="shared" si="12"/>
        <v>27110139</v>
      </c>
      <c r="K432" s="84">
        <f t="shared" si="13"/>
        <v>501716</v>
      </c>
      <c r="L432" s="61" t="e">
        <f>VLOOKUP(K432,[1]Mapping!$J$3:$Q$351,8,FALSE)</f>
        <v>#N/A</v>
      </c>
      <c r="M432" t="s">
        <v>83</v>
      </c>
    </row>
    <row r="433" spans="1:15" hidden="1" x14ac:dyDescent="0.35">
      <c r="A433">
        <v>2000110039</v>
      </c>
      <c r="B433" t="s">
        <v>188</v>
      </c>
      <c r="C433">
        <v>501613</v>
      </c>
      <c r="D433" t="s">
        <v>149</v>
      </c>
      <c r="E433" s="81">
        <v>1</v>
      </c>
      <c r="F433" t="s">
        <v>24</v>
      </c>
      <c r="G433" s="55">
        <v>26.25</v>
      </c>
      <c r="H433" s="82">
        <v>26.25</v>
      </c>
      <c r="I433" s="83" t="str">
        <f>VLOOKUP(E433,[1]Mapping!$A$3:$B$14,2,FALSE)</f>
        <v>Jul</v>
      </c>
      <c r="J433" s="84">
        <f t="shared" si="12"/>
        <v>2000110039</v>
      </c>
      <c r="K433" s="84">
        <f t="shared" si="13"/>
        <v>501613</v>
      </c>
      <c r="L433" s="61" t="str">
        <f>VLOOKUP(K433,[1]Mapping!$J$3:$Q$351,8,FALSE)</f>
        <v>Supplies Expenses</v>
      </c>
      <c r="M433" t="s">
        <v>83</v>
      </c>
    </row>
    <row r="434" spans="1:15" hidden="1" x14ac:dyDescent="0.35">
      <c r="A434">
        <v>2000110039</v>
      </c>
      <c r="B434" t="s">
        <v>188</v>
      </c>
      <c r="C434">
        <v>501716</v>
      </c>
      <c r="D434" t="s">
        <v>139</v>
      </c>
      <c r="E434" s="81">
        <v>1</v>
      </c>
      <c r="F434" t="s">
        <v>117</v>
      </c>
      <c r="G434" s="55">
        <v>-26.25</v>
      </c>
      <c r="H434" s="82">
        <v>-26.25</v>
      </c>
      <c r="I434" s="83" t="str">
        <f>VLOOKUP(E434,[1]Mapping!$A$3:$B$14,2,FALSE)</f>
        <v>Jul</v>
      </c>
      <c r="J434" s="84">
        <f t="shared" si="12"/>
        <v>2000110039</v>
      </c>
      <c r="K434" s="84">
        <f t="shared" si="13"/>
        <v>501716</v>
      </c>
      <c r="L434" s="61" t="e">
        <f>VLOOKUP(K434,[1]Mapping!$J$3:$Q$351,8,FALSE)</f>
        <v>#N/A</v>
      </c>
      <c r="M434" t="s">
        <v>83</v>
      </c>
    </row>
    <row r="435" spans="1:15" hidden="1" x14ac:dyDescent="0.35">
      <c r="A435">
        <v>4064045061</v>
      </c>
      <c r="B435" t="s">
        <v>189</v>
      </c>
      <c r="C435">
        <v>607063</v>
      </c>
      <c r="D435" t="s">
        <v>106</v>
      </c>
      <c r="E435" s="81">
        <v>1</v>
      </c>
      <c r="F435" t="s">
        <v>24</v>
      </c>
      <c r="G435" s="55">
        <v>0</v>
      </c>
      <c r="H435" s="82">
        <v>0</v>
      </c>
      <c r="I435" s="83" t="str">
        <f>VLOOKUP(E435,[1]Mapping!$A$3:$B$14,2,FALSE)</f>
        <v>Jul</v>
      </c>
      <c r="J435" s="84">
        <f t="shared" si="12"/>
        <v>4064045061</v>
      </c>
      <c r="K435" s="84">
        <f t="shared" si="13"/>
        <v>607063</v>
      </c>
      <c r="L435" s="61" t="str">
        <f>VLOOKUP(K435,[1]Mapping!$J$3:$Q$351,8,FALSE)</f>
        <v>Other</v>
      </c>
      <c r="M435" t="s">
        <v>83</v>
      </c>
    </row>
    <row r="436" spans="1:15" hidden="1" x14ac:dyDescent="0.35">
      <c r="A436">
        <v>4064045061</v>
      </c>
      <c r="B436" t="s">
        <v>189</v>
      </c>
      <c r="C436">
        <v>608002</v>
      </c>
      <c r="D436" t="s">
        <v>130</v>
      </c>
      <c r="E436" s="81">
        <v>1</v>
      </c>
      <c r="F436" t="s">
        <v>31</v>
      </c>
      <c r="G436" s="55">
        <v>3095</v>
      </c>
      <c r="H436" s="82">
        <f>SUMIFS([1]Matrix!CC:CC,[1]Matrix!BX:BX,'JDE GL Act'!N436,[1]Matrix!CE:CE,'JDE GL Act'!E436,[1]Matrix!BZ:BZ,'JDE GL Act'!O436)*G436</f>
        <v>21.060144149999999</v>
      </c>
      <c r="I436" s="83" t="str">
        <f>VLOOKUP(E436,[1]Mapping!$A$3:$B$14,2,FALSE)</f>
        <v>Jul</v>
      </c>
      <c r="J436" s="84">
        <f t="shared" si="12"/>
        <v>4064045061</v>
      </c>
      <c r="K436" s="84">
        <f t="shared" si="13"/>
        <v>608002</v>
      </c>
      <c r="L436" s="61" t="str">
        <f>VLOOKUP(K436,[1]Mapping!$J$3:$Q$351,8,FALSE)</f>
        <v>Depreciation</v>
      </c>
      <c r="M436" t="s">
        <v>83</v>
      </c>
      <c r="N436" t="s">
        <v>180</v>
      </c>
      <c r="O436" t="s">
        <v>178</v>
      </c>
    </row>
    <row r="437" spans="1:15" hidden="1" x14ac:dyDescent="0.35">
      <c r="A437">
        <v>2000113000</v>
      </c>
      <c r="B437" t="s">
        <v>81</v>
      </c>
      <c r="C437">
        <v>600019</v>
      </c>
      <c r="D437" t="s">
        <v>82</v>
      </c>
      <c r="E437" s="81">
        <v>2</v>
      </c>
      <c r="F437" t="s">
        <v>21</v>
      </c>
      <c r="G437" s="55">
        <v>26.070000000000004</v>
      </c>
      <c r="H437" s="82">
        <v>26.070000000000004</v>
      </c>
      <c r="I437" s="83" t="str">
        <f>VLOOKUP(E437,[1]Mapping!$A$3:$B$14,2,FALSE)</f>
        <v>Aug</v>
      </c>
      <c r="J437" s="84">
        <f t="shared" si="12"/>
        <v>2000113000</v>
      </c>
      <c r="K437" s="84">
        <f t="shared" si="13"/>
        <v>600019</v>
      </c>
      <c r="L437" s="61" t="str">
        <f>VLOOKUP(K437,[1]Mapping!$J$3:$Q$351,8,FALSE)</f>
        <v>Fringe Benefits</v>
      </c>
      <c r="M437" t="s">
        <v>83</v>
      </c>
    </row>
    <row r="438" spans="1:15" hidden="1" x14ac:dyDescent="0.35">
      <c r="A438">
        <v>2000113000</v>
      </c>
      <c r="B438" t="s">
        <v>81</v>
      </c>
      <c r="C438">
        <v>501709</v>
      </c>
      <c r="D438" t="s">
        <v>85</v>
      </c>
      <c r="E438" s="81">
        <v>2</v>
      </c>
      <c r="F438" t="s">
        <v>27</v>
      </c>
      <c r="G438" s="55">
        <v>563.05999999999995</v>
      </c>
      <c r="H438" s="82">
        <v>563.05999999999995</v>
      </c>
      <c r="I438" s="83" t="str">
        <f>VLOOKUP(E438,[1]Mapping!$A$3:$B$14,2,FALSE)</f>
        <v>Aug</v>
      </c>
      <c r="J438" s="84">
        <f t="shared" si="12"/>
        <v>2000113000</v>
      </c>
      <c r="K438" s="84">
        <f t="shared" si="13"/>
        <v>501709</v>
      </c>
      <c r="L438" s="61" t="str">
        <f>VLOOKUP(K438,[1]Mapping!$J$3:$Q$351,8,FALSE)</f>
        <v>Outside Services</v>
      </c>
      <c r="M438" t="s">
        <v>83</v>
      </c>
    </row>
    <row r="439" spans="1:15" hidden="1" x14ac:dyDescent="0.35">
      <c r="A439">
        <v>2000113000</v>
      </c>
      <c r="B439" t="s">
        <v>81</v>
      </c>
      <c r="C439">
        <v>600001</v>
      </c>
      <c r="D439" t="s">
        <v>86</v>
      </c>
      <c r="E439" s="81">
        <v>2</v>
      </c>
      <c r="F439" t="s">
        <v>19</v>
      </c>
      <c r="G439" s="55">
        <v>12829.720000000001</v>
      </c>
      <c r="H439" s="82">
        <v>12829.720000000001</v>
      </c>
      <c r="I439" s="83" t="str">
        <f>VLOOKUP(E439,[1]Mapping!$A$3:$B$14,2,FALSE)</f>
        <v>Aug</v>
      </c>
      <c r="J439" s="84">
        <f t="shared" si="12"/>
        <v>2000113000</v>
      </c>
      <c r="K439" s="84">
        <f t="shared" si="13"/>
        <v>600001</v>
      </c>
      <c r="L439" s="61" t="str">
        <f>VLOOKUP(K439,[1]Mapping!$J$3:$Q$351,8,FALSE)</f>
        <v>Wages &amp; Salaries</v>
      </c>
      <c r="M439" t="s">
        <v>83</v>
      </c>
    </row>
    <row r="440" spans="1:15" hidden="1" x14ac:dyDescent="0.35">
      <c r="A440">
        <v>2000113000</v>
      </c>
      <c r="B440" t="s">
        <v>81</v>
      </c>
      <c r="C440">
        <v>600011</v>
      </c>
      <c r="D440" t="s">
        <v>87</v>
      </c>
      <c r="E440" s="81">
        <v>2</v>
      </c>
      <c r="F440" t="s">
        <v>21</v>
      </c>
      <c r="G440" s="55">
        <v>519.16</v>
      </c>
      <c r="H440" s="82">
        <v>519.16</v>
      </c>
      <c r="I440" s="83" t="str">
        <f>VLOOKUP(E440,[1]Mapping!$A$3:$B$14,2,FALSE)</f>
        <v>Aug</v>
      </c>
      <c r="J440" s="84">
        <f t="shared" si="12"/>
        <v>2000113000</v>
      </c>
      <c r="K440" s="84">
        <f t="shared" si="13"/>
        <v>600011</v>
      </c>
      <c r="L440" s="61" t="str">
        <f>VLOOKUP(K440,[1]Mapping!$J$3:$Q$351,8,FALSE)</f>
        <v>Fringe Benefits</v>
      </c>
      <c r="M440" t="s">
        <v>83</v>
      </c>
    </row>
    <row r="441" spans="1:15" hidden="1" x14ac:dyDescent="0.35">
      <c r="A441">
        <v>2000113000</v>
      </c>
      <c r="B441" t="s">
        <v>81</v>
      </c>
      <c r="C441">
        <v>600013</v>
      </c>
      <c r="D441" t="s">
        <v>88</v>
      </c>
      <c r="E441" s="81">
        <v>2</v>
      </c>
      <c r="F441" t="s">
        <v>21</v>
      </c>
      <c r="G441" s="55">
        <v>1337.5299999999997</v>
      </c>
      <c r="H441" s="82">
        <v>1337.5299999999997</v>
      </c>
      <c r="I441" s="83" t="str">
        <f>VLOOKUP(E441,[1]Mapping!$A$3:$B$14,2,FALSE)</f>
        <v>Aug</v>
      </c>
      <c r="J441" s="84">
        <f t="shared" si="12"/>
        <v>2000113000</v>
      </c>
      <c r="K441" s="84">
        <f t="shared" si="13"/>
        <v>600013</v>
      </c>
      <c r="L441" s="61" t="str">
        <f>VLOOKUP(K441,[1]Mapping!$J$3:$Q$351,8,FALSE)</f>
        <v>Fringe Benefits</v>
      </c>
      <c r="M441" t="s">
        <v>83</v>
      </c>
    </row>
    <row r="442" spans="1:15" hidden="1" x14ac:dyDescent="0.35">
      <c r="A442">
        <v>2000113000</v>
      </c>
      <c r="B442" t="s">
        <v>81</v>
      </c>
      <c r="C442">
        <v>600018</v>
      </c>
      <c r="D442" t="s">
        <v>89</v>
      </c>
      <c r="E442" s="81">
        <v>2</v>
      </c>
      <c r="F442" t="s">
        <v>21</v>
      </c>
      <c r="G442" s="55">
        <v>958.05999999999983</v>
      </c>
      <c r="H442" s="82">
        <v>958.05999999999983</v>
      </c>
      <c r="I442" s="83" t="str">
        <f>VLOOKUP(E442,[1]Mapping!$A$3:$B$14,2,FALSE)</f>
        <v>Aug</v>
      </c>
      <c r="J442" s="84">
        <f t="shared" si="12"/>
        <v>2000113000</v>
      </c>
      <c r="K442" s="84">
        <f t="shared" si="13"/>
        <v>600018</v>
      </c>
      <c r="L442" s="61" t="str">
        <f>VLOOKUP(K442,[1]Mapping!$J$3:$Q$351,8,FALSE)</f>
        <v>Fringe Benefits</v>
      </c>
      <c r="M442" t="s">
        <v>83</v>
      </c>
    </row>
    <row r="443" spans="1:15" hidden="1" x14ac:dyDescent="0.35">
      <c r="A443">
        <v>2000113000</v>
      </c>
      <c r="B443" t="s">
        <v>81</v>
      </c>
      <c r="C443">
        <v>600022</v>
      </c>
      <c r="D443" t="s">
        <v>90</v>
      </c>
      <c r="E443" s="81">
        <v>2</v>
      </c>
      <c r="F443" t="s">
        <v>21</v>
      </c>
      <c r="G443" s="55">
        <v>33.769999999999996</v>
      </c>
      <c r="H443" s="82">
        <v>33.769999999999996</v>
      </c>
      <c r="I443" s="83" t="str">
        <f>VLOOKUP(E443,[1]Mapping!$A$3:$B$14,2,FALSE)</f>
        <v>Aug</v>
      </c>
      <c r="J443" s="84">
        <f t="shared" si="12"/>
        <v>2000113000</v>
      </c>
      <c r="K443" s="84">
        <f t="shared" si="13"/>
        <v>600022</v>
      </c>
      <c r="L443" s="61" t="str">
        <f>VLOOKUP(K443,[1]Mapping!$J$3:$Q$351,8,FALSE)</f>
        <v>Fringe Benefits</v>
      </c>
      <c r="M443" t="s">
        <v>83</v>
      </c>
    </row>
    <row r="444" spans="1:15" hidden="1" x14ac:dyDescent="0.35">
      <c r="A444">
        <v>2000113000</v>
      </c>
      <c r="B444" t="s">
        <v>81</v>
      </c>
      <c r="C444">
        <v>600020</v>
      </c>
      <c r="D444" t="s">
        <v>91</v>
      </c>
      <c r="E444" s="81">
        <v>2</v>
      </c>
      <c r="F444" t="s">
        <v>21</v>
      </c>
      <c r="G444" s="55">
        <v>1323.7</v>
      </c>
      <c r="H444" s="82">
        <v>1323.7</v>
      </c>
      <c r="I444" s="83" t="str">
        <f>VLOOKUP(E444,[1]Mapping!$A$3:$B$14,2,FALSE)</f>
        <v>Aug</v>
      </c>
      <c r="J444" s="84">
        <f t="shared" si="12"/>
        <v>2000113000</v>
      </c>
      <c r="K444" s="84">
        <f t="shared" si="13"/>
        <v>600020</v>
      </c>
      <c r="L444" s="61" t="str">
        <f>VLOOKUP(K444,[1]Mapping!$J$3:$Q$351,8,FALSE)</f>
        <v>Fringe Benefits</v>
      </c>
      <c r="M444" t="s">
        <v>83</v>
      </c>
    </row>
    <row r="445" spans="1:15" hidden="1" x14ac:dyDescent="0.35">
      <c r="A445">
        <v>2000113000</v>
      </c>
      <c r="B445" t="s">
        <v>81</v>
      </c>
      <c r="C445">
        <v>600055</v>
      </c>
      <c r="D445" t="s">
        <v>92</v>
      </c>
      <c r="E445" s="81">
        <v>2</v>
      </c>
      <c r="F445" t="s">
        <v>21</v>
      </c>
      <c r="G445" s="55">
        <v>105.88999999999999</v>
      </c>
      <c r="H445" s="82">
        <v>105.88999999999999</v>
      </c>
      <c r="I445" s="83" t="str">
        <f>VLOOKUP(E445,[1]Mapping!$A$3:$B$14,2,FALSE)</f>
        <v>Aug</v>
      </c>
      <c r="J445" s="84">
        <f t="shared" si="12"/>
        <v>2000113000</v>
      </c>
      <c r="K445" s="84">
        <f t="shared" si="13"/>
        <v>600055</v>
      </c>
      <c r="L445" s="61" t="str">
        <f>VLOOKUP(K445,[1]Mapping!$J$3:$Q$351,8,FALSE)</f>
        <v>Fringe Benefits</v>
      </c>
      <c r="M445" t="s">
        <v>83</v>
      </c>
    </row>
    <row r="446" spans="1:15" hidden="1" x14ac:dyDescent="0.35">
      <c r="A446">
        <v>2000113000</v>
      </c>
      <c r="B446" t="s">
        <v>81</v>
      </c>
      <c r="C446">
        <v>600026</v>
      </c>
      <c r="D446" t="s">
        <v>93</v>
      </c>
      <c r="E446" s="81">
        <v>2</v>
      </c>
      <c r="F446" t="s">
        <v>21</v>
      </c>
      <c r="G446" s="55">
        <v>-627.73</v>
      </c>
      <c r="H446" s="82">
        <v>-627.73</v>
      </c>
      <c r="I446" s="83" t="str">
        <f>VLOOKUP(E446,[1]Mapping!$A$3:$B$14,2,FALSE)</f>
        <v>Aug</v>
      </c>
      <c r="J446" s="84">
        <f t="shared" si="12"/>
        <v>2000113000</v>
      </c>
      <c r="K446" s="84">
        <f t="shared" si="13"/>
        <v>600026</v>
      </c>
      <c r="L446" s="61" t="str">
        <f>VLOOKUP(K446,[1]Mapping!$J$3:$Q$351,8,FALSE)</f>
        <v>Fringe Benefits</v>
      </c>
      <c r="M446" t="s">
        <v>83</v>
      </c>
    </row>
    <row r="447" spans="1:15" hidden="1" x14ac:dyDescent="0.35">
      <c r="A447">
        <v>2000113001</v>
      </c>
      <c r="B447" t="s">
        <v>94</v>
      </c>
      <c r="C447">
        <v>600019</v>
      </c>
      <c r="D447" t="s">
        <v>82</v>
      </c>
      <c r="E447" s="81">
        <v>2</v>
      </c>
      <c r="F447" t="s">
        <v>21</v>
      </c>
      <c r="G447" s="55">
        <v>69.87</v>
      </c>
      <c r="H447" s="82">
        <v>69.87</v>
      </c>
      <c r="I447" s="83" t="str">
        <f>VLOOKUP(E447,[1]Mapping!$A$3:$B$14,2,FALSE)</f>
        <v>Aug</v>
      </c>
      <c r="J447" s="84">
        <f t="shared" si="12"/>
        <v>2000113001</v>
      </c>
      <c r="K447" s="84">
        <f t="shared" si="13"/>
        <v>600019</v>
      </c>
      <c r="L447" s="61" t="str">
        <f>VLOOKUP(K447,[1]Mapping!$J$3:$Q$351,8,FALSE)</f>
        <v>Fringe Benefits</v>
      </c>
      <c r="M447" t="s">
        <v>83</v>
      </c>
    </row>
    <row r="448" spans="1:15" hidden="1" x14ac:dyDescent="0.35">
      <c r="A448">
        <v>2000113001</v>
      </c>
      <c r="B448" t="s">
        <v>94</v>
      </c>
      <c r="C448">
        <v>600043</v>
      </c>
      <c r="D448" t="s">
        <v>102</v>
      </c>
      <c r="E448" s="81">
        <v>2</v>
      </c>
      <c r="F448" t="s">
        <v>23</v>
      </c>
      <c r="G448" s="55">
        <v>713.4</v>
      </c>
      <c r="H448" s="82">
        <v>713.4</v>
      </c>
      <c r="I448" s="83" t="str">
        <f>VLOOKUP(E448,[1]Mapping!$A$3:$B$14,2,FALSE)</f>
        <v>Aug</v>
      </c>
      <c r="J448" s="84">
        <f t="shared" si="12"/>
        <v>2000113001</v>
      </c>
      <c r="K448" s="84">
        <f t="shared" si="13"/>
        <v>600043</v>
      </c>
      <c r="L448" s="61" t="str">
        <f>VLOOKUP(K448,[1]Mapping!$J$3:$Q$351,8,FALSE)</f>
        <v>Travel &amp; Entertainment</v>
      </c>
      <c r="M448" t="s">
        <v>83</v>
      </c>
    </row>
    <row r="449" spans="1:13" hidden="1" x14ac:dyDescent="0.35">
      <c r="A449">
        <v>2000113001</v>
      </c>
      <c r="B449" t="s">
        <v>94</v>
      </c>
      <c r="C449">
        <v>600001</v>
      </c>
      <c r="D449" t="s">
        <v>86</v>
      </c>
      <c r="E449" s="81">
        <v>2</v>
      </c>
      <c r="F449" t="s">
        <v>19</v>
      </c>
      <c r="G449" s="55">
        <v>44993.3</v>
      </c>
      <c r="H449" s="82">
        <v>44993.3</v>
      </c>
      <c r="I449" s="83" t="str">
        <f>VLOOKUP(E449,[1]Mapping!$A$3:$B$14,2,FALSE)</f>
        <v>Aug</v>
      </c>
      <c r="J449" s="84">
        <f t="shared" si="12"/>
        <v>2000113001</v>
      </c>
      <c r="K449" s="84">
        <f t="shared" si="13"/>
        <v>600001</v>
      </c>
      <c r="L449" s="61" t="str">
        <f>VLOOKUP(K449,[1]Mapping!$J$3:$Q$351,8,FALSE)</f>
        <v>Wages &amp; Salaries</v>
      </c>
      <c r="M449" t="s">
        <v>83</v>
      </c>
    </row>
    <row r="450" spans="1:13" hidden="1" x14ac:dyDescent="0.35">
      <c r="A450">
        <v>2000113001</v>
      </c>
      <c r="B450" t="s">
        <v>94</v>
      </c>
      <c r="C450">
        <v>501053</v>
      </c>
      <c r="D450" t="s">
        <v>40</v>
      </c>
      <c r="E450" s="81">
        <v>2</v>
      </c>
      <c r="F450" t="s">
        <v>20</v>
      </c>
      <c r="G450" s="55">
        <v>37.239999999999995</v>
      </c>
      <c r="H450" s="82">
        <v>37.239999999999995</v>
      </c>
      <c r="I450" s="83" t="str">
        <f>VLOOKUP(E450,[1]Mapping!$A$3:$B$14,2,FALSE)</f>
        <v>Aug</v>
      </c>
      <c r="J450" s="84">
        <f t="shared" si="12"/>
        <v>2000113001</v>
      </c>
      <c r="K450" s="84">
        <f t="shared" si="13"/>
        <v>501053</v>
      </c>
      <c r="L450" s="61" t="str">
        <f>VLOOKUP(K450,[1]Mapping!$J$3:$Q$351,8,FALSE)</f>
        <v>Overtime</v>
      </c>
      <c r="M450" t="s">
        <v>83</v>
      </c>
    </row>
    <row r="451" spans="1:13" hidden="1" x14ac:dyDescent="0.35">
      <c r="A451">
        <v>2000113001</v>
      </c>
      <c r="B451" t="s">
        <v>94</v>
      </c>
      <c r="C451">
        <v>600011</v>
      </c>
      <c r="D451" t="s">
        <v>87</v>
      </c>
      <c r="E451" s="81">
        <v>2</v>
      </c>
      <c r="F451" t="s">
        <v>21</v>
      </c>
      <c r="G451" s="55">
        <v>2130.8300000000004</v>
      </c>
      <c r="H451" s="82">
        <v>2130.8300000000004</v>
      </c>
      <c r="I451" s="83" t="str">
        <f>VLOOKUP(E451,[1]Mapping!$A$3:$B$14,2,FALSE)</f>
        <v>Aug</v>
      </c>
      <c r="J451" s="84">
        <f t="shared" si="12"/>
        <v>2000113001</v>
      </c>
      <c r="K451" s="84">
        <f t="shared" si="13"/>
        <v>600011</v>
      </c>
      <c r="L451" s="61" t="str">
        <f>VLOOKUP(K451,[1]Mapping!$J$3:$Q$351,8,FALSE)</f>
        <v>Fringe Benefits</v>
      </c>
      <c r="M451" t="s">
        <v>83</v>
      </c>
    </row>
    <row r="452" spans="1:13" hidden="1" x14ac:dyDescent="0.35">
      <c r="A452">
        <v>2000113001</v>
      </c>
      <c r="B452" t="s">
        <v>94</v>
      </c>
      <c r="C452">
        <v>600013</v>
      </c>
      <c r="D452" t="s">
        <v>88</v>
      </c>
      <c r="E452" s="81">
        <v>2</v>
      </c>
      <c r="F452" t="s">
        <v>21</v>
      </c>
      <c r="G452" s="55">
        <v>4866.83</v>
      </c>
      <c r="H452" s="82">
        <v>4866.83</v>
      </c>
      <c r="I452" s="83" t="str">
        <f>VLOOKUP(E452,[1]Mapping!$A$3:$B$14,2,FALSE)</f>
        <v>Aug</v>
      </c>
      <c r="J452" s="84">
        <f t="shared" si="12"/>
        <v>2000113001</v>
      </c>
      <c r="K452" s="84">
        <f t="shared" si="13"/>
        <v>600013</v>
      </c>
      <c r="L452" s="61" t="str">
        <f>VLOOKUP(K452,[1]Mapping!$J$3:$Q$351,8,FALSE)</f>
        <v>Fringe Benefits</v>
      </c>
      <c r="M452" t="s">
        <v>83</v>
      </c>
    </row>
    <row r="453" spans="1:13" hidden="1" x14ac:dyDescent="0.35">
      <c r="A453">
        <v>2000113001</v>
      </c>
      <c r="B453" t="s">
        <v>94</v>
      </c>
      <c r="C453">
        <v>600018</v>
      </c>
      <c r="D453" t="s">
        <v>89</v>
      </c>
      <c r="E453" s="81">
        <v>2</v>
      </c>
      <c r="F453" t="s">
        <v>21</v>
      </c>
      <c r="G453" s="55">
        <v>3149.62</v>
      </c>
      <c r="H453" s="82">
        <v>3149.62</v>
      </c>
      <c r="I453" s="83" t="str">
        <f>VLOOKUP(E453,[1]Mapping!$A$3:$B$14,2,FALSE)</f>
        <v>Aug</v>
      </c>
      <c r="J453" s="84">
        <f t="shared" si="12"/>
        <v>2000113001</v>
      </c>
      <c r="K453" s="84">
        <f t="shared" si="13"/>
        <v>600018</v>
      </c>
      <c r="L453" s="61" t="str">
        <f>VLOOKUP(K453,[1]Mapping!$J$3:$Q$351,8,FALSE)</f>
        <v>Fringe Benefits</v>
      </c>
      <c r="M453" t="s">
        <v>83</v>
      </c>
    </row>
    <row r="454" spans="1:13" hidden="1" x14ac:dyDescent="0.35">
      <c r="A454">
        <v>2000113001</v>
      </c>
      <c r="B454" t="s">
        <v>94</v>
      </c>
      <c r="C454">
        <v>600022</v>
      </c>
      <c r="D454" t="s">
        <v>90</v>
      </c>
      <c r="E454" s="81">
        <v>2</v>
      </c>
      <c r="F454" t="s">
        <v>21</v>
      </c>
      <c r="G454" s="55">
        <v>91.480000000000018</v>
      </c>
      <c r="H454" s="82">
        <v>91.480000000000018</v>
      </c>
      <c r="I454" s="83" t="str">
        <f>VLOOKUP(E454,[1]Mapping!$A$3:$B$14,2,FALSE)</f>
        <v>Aug</v>
      </c>
      <c r="J454" s="84">
        <f t="shared" si="12"/>
        <v>2000113001</v>
      </c>
      <c r="K454" s="84">
        <f t="shared" si="13"/>
        <v>600022</v>
      </c>
      <c r="L454" s="61" t="str">
        <f>VLOOKUP(K454,[1]Mapping!$J$3:$Q$351,8,FALSE)</f>
        <v>Fringe Benefits</v>
      </c>
      <c r="M454" t="s">
        <v>83</v>
      </c>
    </row>
    <row r="455" spans="1:13" hidden="1" x14ac:dyDescent="0.35">
      <c r="A455">
        <v>2000113001</v>
      </c>
      <c r="B455" t="s">
        <v>94</v>
      </c>
      <c r="C455">
        <v>600017</v>
      </c>
      <c r="D455" t="s">
        <v>95</v>
      </c>
      <c r="E455" s="81">
        <v>2</v>
      </c>
      <c r="F455" t="s">
        <v>21</v>
      </c>
      <c r="G455" s="55">
        <v>4.55</v>
      </c>
      <c r="H455" s="82">
        <v>4.55</v>
      </c>
      <c r="I455" s="83" t="str">
        <f>VLOOKUP(E455,[1]Mapping!$A$3:$B$14,2,FALSE)</f>
        <v>Aug</v>
      </c>
      <c r="J455" s="84">
        <f t="shared" si="12"/>
        <v>2000113001</v>
      </c>
      <c r="K455" s="84">
        <f t="shared" si="13"/>
        <v>600017</v>
      </c>
      <c r="L455" s="61" t="str">
        <f>VLOOKUP(K455,[1]Mapping!$J$3:$Q$351,8,FALSE)</f>
        <v>Fringe Benefits</v>
      </c>
      <c r="M455" t="s">
        <v>83</v>
      </c>
    </row>
    <row r="456" spans="1:13" hidden="1" x14ac:dyDescent="0.35">
      <c r="A456">
        <v>2000113001</v>
      </c>
      <c r="B456" t="s">
        <v>94</v>
      </c>
      <c r="C456">
        <v>600026</v>
      </c>
      <c r="D456" t="s">
        <v>93</v>
      </c>
      <c r="E456" s="81">
        <v>2</v>
      </c>
      <c r="F456" t="s">
        <v>21</v>
      </c>
      <c r="G456" s="55">
        <v>-1680</v>
      </c>
      <c r="H456" s="82">
        <v>-1680</v>
      </c>
      <c r="I456" s="83" t="str">
        <f>VLOOKUP(E456,[1]Mapping!$A$3:$B$14,2,FALSE)</f>
        <v>Aug</v>
      </c>
      <c r="J456" s="84">
        <f t="shared" si="12"/>
        <v>2000113001</v>
      </c>
      <c r="K456" s="84">
        <f t="shared" si="13"/>
        <v>600026</v>
      </c>
      <c r="L456" s="61" t="str">
        <f>VLOOKUP(K456,[1]Mapping!$J$3:$Q$351,8,FALSE)</f>
        <v>Fringe Benefits</v>
      </c>
      <c r="M456" t="s">
        <v>83</v>
      </c>
    </row>
    <row r="457" spans="1:13" hidden="1" x14ac:dyDescent="0.35">
      <c r="A457">
        <v>2000113001</v>
      </c>
      <c r="B457" t="s">
        <v>94</v>
      </c>
      <c r="C457">
        <v>501223</v>
      </c>
      <c r="D457" t="s">
        <v>51</v>
      </c>
      <c r="E457" s="81">
        <v>2</v>
      </c>
      <c r="F457" t="s">
        <v>34</v>
      </c>
      <c r="G457" s="55">
        <v>-5869.18</v>
      </c>
      <c r="H457" s="82">
        <v>-5869.18</v>
      </c>
      <c r="I457" s="83" t="str">
        <f>VLOOKUP(E457,[1]Mapping!$A$3:$B$14,2,FALSE)</f>
        <v>Aug</v>
      </c>
      <c r="J457" s="84">
        <f t="shared" si="12"/>
        <v>2000113001</v>
      </c>
      <c r="K457" s="84">
        <f t="shared" si="13"/>
        <v>501223</v>
      </c>
      <c r="L457" s="61" t="str">
        <f>VLOOKUP(K457,[1]Mapping!$J$3:$Q$351,8,FALSE)</f>
        <v>Allocations</v>
      </c>
      <c r="M457" t="s">
        <v>83</v>
      </c>
    </row>
    <row r="458" spans="1:13" hidden="1" x14ac:dyDescent="0.35">
      <c r="A458">
        <v>2000113001</v>
      </c>
      <c r="B458" t="s">
        <v>94</v>
      </c>
      <c r="C458">
        <v>600016</v>
      </c>
      <c r="D458" t="s">
        <v>96</v>
      </c>
      <c r="E458" s="81">
        <v>2</v>
      </c>
      <c r="F458" t="s">
        <v>21</v>
      </c>
      <c r="G458" s="55">
        <v>18.12</v>
      </c>
      <c r="H458" s="82">
        <v>18.12</v>
      </c>
      <c r="I458" s="83" t="str">
        <f>VLOOKUP(E458,[1]Mapping!$A$3:$B$14,2,FALSE)</f>
        <v>Aug</v>
      </c>
      <c r="J458" s="84">
        <f t="shared" si="12"/>
        <v>2000113001</v>
      </c>
      <c r="K458" s="84">
        <f t="shared" si="13"/>
        <v>600016</v>
      </c>
      <c r="L458" s="61" t="str">
        <f>VLOOKUP(K458,[1]Mapping!$J$3:$Q$351,8,FALSE)</f>
        <v>Fringe Benefits</v>
      </c>
      <c r="M458" t="s">
        <v>83</v>
      </c>
    </row>
    <row r="459" spans="1:13" hidden="1" x14ac:dyDescent="0.35">
      <c r="A459">
        <v>2000123000</v>
      </c>
      <c r="B459" t="s">
        <v>98</v>
      </c>
      <c r="C459">
        <v>600019</v>
      </c>
      <c r="D459" t="s">
        <v>82</v>
      </c>
      <c r="E459" s="81">
        <v>2</v>
      </c>
      <c r="F459" t="s">
        <v>21</v>
      </c>
      <c r="G459" s="55">
        <v>418.02000000000004</v>
      </c>
      <c r="H459" s="82">
        <v>418.02000000000004</v>
      </c>
      <c r="I459" s="83" t="str">
        <f>VLOOKUP(E459,[1]Mapping!$A$3:$B$14,2,FALSE)</f>
        <v>Aug</v>
      </c>
      <c r="J459" s="84">
        <f t="shared" ref="J459:J522" si="14">VALUE(A459)</f>
        <v>2000123000</v>
      </c>
      <c r="K459" s="84">
        <f t="shared" ref="K459:K522" si="15">VALUE(C459)</f>
        <v>600019</v>
      </c>
      <c r="L459" s="61" t="str">
        <f>VLOOKUP(K459,[1]Mapping!$J$3:$Q$351,8,FALSE)</f>
        <v>Fringe Benefits</v>
      </c>
      <c r="M459" t="s">
        <v>83</v>
      </c>
    </row>
    <row r="460" spans="1:13" hidden="1" x14ac:dyDescent="0.35">
      <c r="A460">
        <v>2000123000</v>
      </c>
      <c r="B460" t="s">
        <v>98</v>
      </c>
      <c r="C460">
        <v>501710</v>
      </c>
      <c r="D460" t="s">
        <v>45</v>
      </c>
      <c r="E460" s="81">
        <v>2</v>
      </c>
      <c r="F460" t="s">
        <v>27</v>
      </c>
      <c r="G460" s="55">
        <v>2686</v>
      </c>
      <c r="H460" s="82">
        <v>2686</v>
      </c>
      <c r="I460" s="83" t="str">
        <f>VLOOKUP(E460,[1]Mapping!$A$3:$B$14,2,FALSE)</f>
        <v>Aug</v>
      </c>
      <c r="J460" s="84">
        <f t="shared" si="14"/>
        <v>2000123000</v>
      </c>
      <c r="K460" s="84">
        <f t="shared" si="15"/>
        <v>501710</v>
      </c>
      <c r="L460" s="61" t="str">
        <f>VLOOKUP(K460,[1]Mapping!$J$3:$Q$351,8,FALSE)</f>
        <v>Outside Services</v>
      </c>
      <c r="M460" t="s">
        <v>83</v>
      </c>
    </row>
    <row r="461" spans="1:13" hidden="1" x14ac:dyDescent="0.35">
      <c r="A461">
        <v>2000123000</v>
      </c>
      <c r="B461" t="s">
        <v>98</v>
      </c>
      <c r="C461">
        <v>500815</v>
      </c>
      <c r="D461" t="s">
        <v>99</v>
      </c>
      <c r="E461" s="81">
        <v>2</v>
      </c>
      <c r="F461" t="s">
        <v>28</v>
      </c>
      <c r="G461" s="55">
        <v>734.3900000000001</v>
      </c>
      <c r="H461" s="82">
        <v>734.3900000000001</v>
      </c>
      <c r="I461" s="83" t="str">
        <f>VLOOKUP(E461,[1]Mapping!$A$3:$B$14,2,FALSE)</f>
        <v>Aug</v>
      </c>
      <c r="J461" s="84">
        <f t="shared" si="14"/>
        <v>2000123000</v>
      </c>
      <c r="K461" s="84">
        <f t="shared" si="15"/>
        <v>500815</v>
      </c>
      <c r="L461" s="61" t="str">
        <f>VLOOKUP(K461,[1]Mapping!$J$3:$Q$351,8,FALSE)</f>
        <v>Inbound Freight</v>
      </c>
      <c r="M461" t="s">
        <v>83</v>
      </c>
    </row>
    <row r="462" spans="1:13" hidden="1" x14ac:dyDescent="0.35">
      <c r="A462">
        <v>2000123000</v>
      </c>
      <c r="B462" t="s">
        <v>98</v>
      </c>
      <c r="C462">
        <v>501712</v>
      </c>
      <c r="D462" t="s">
        <v>100</v>
      </c>
      <c r="E462" s="81">
        <v>2</v>
      </c>
      <c r="F462" t="s">
        <v>27</v>
      </c>
      <c r="G462" s="55">
        <v>0</v>
      </c>
      <c r="H462" s="82">
        <v>0</v>
      </c>
      <c r="I462" s="83" t="str">
        <f>VLOOKUP(E462,[1]Mapping!$A$3:$B$14,2,FALSE)</f>
        <v>Aug</v>
      </c>
      <c r="J462" s="84">
        <f t="shared" si="14"/>
        <v>2000123000</v>
      </c>
      <c r="K462" s="84">
        <f t="shared" si="15"/>
        <v>501712</v>
      </c>
      <c r="L462" s="61" t="str">
        <f>VLOOKUP(K462,[1]Mapping!$J$3:$Q$351,8,FALSE)</f>
        <v>Outside Services</v>
      </c>
      <c r="M462" t="s">
        <v>83</v>
      </c>
    </row>
    <row r="463" spans="1:13" hidden="1" x14ac:dyDescent="0.35">
      <c r="A463">
        <v>2000123000</v>
      </c>
      <c r="B463" t="s">
        <v>98</v>
      </c>
      <c r="C463">
        <v>600050</v>
      </c>
      <c r="D463" t="s">
        <v>101</v>
      </c>
      <c r="E463" s="81">
        <v>2</v>
      </c>
      <c r="F463" t="s">
        <v>23</v>
      </c>
      <c r="G463" s="55">
        <v>42</v>
      </c>
      <c r="H463" s="82">
        <v>42</v>
      </c>
      <c r="I463" s="83" t="str">
        <f>VLOOKUP(E463,[1]Mapping!$A$3:$B$14,2,FALSE)</f>
        <v>Aug</v>
      </c>
      <c r="J463" s="84">
        <f t="shared" si="14"/>
        <v>2000123000</v>
      </c>
      <c r="K463" s="84">
        <f t="shared" si="15"/>
        <v>600050</v>
      </c>
      <c r="L463" s="61" t="str">
        <f>VLOOKUP(K463,[1]Mapping!$J$3:$Q$351,8,FALSE)</f>
        <v>Travel &amp; Entertainment</v>
      </c>
      <c r="M463" t="s">
        <v>83</v>
      </c>
    </row>
    <row r="464" spans="1:13" hidden="1" x14ac:dyDescent="0.35">
      <c r="A464">
        <v>2000123000</v>
      </c>
      <c r="B464" t="s">
        <v>98</v>
      </c>
      <c r="C464">
        <v>600043</v>
      </c>
      <c r="D464" t="s">
        <v>102</v>
      </c>
      <c r="E464" s="81">
        <v>2</v>
      </c>
      <c r="F464" t="s">
        <v>23</v>
      </c>
      <c r="G464" s="55">
        <v>0</v>
      </c>
      <c r="H464" s="82">
        <v>0</v>
      </c>
      <c r="I464" s="83" t="str">
        <f>VLOOKUP(E464,[1]Mapping!$A$3:$B$14,2,FALSE)</f>
        <v>Aug</v>
      </c>
      <c r="J464" s="84">
        <f t="shared" si="14"/>
        <v>2000123000</v>
      </c>
      <c r="K464" s="84">
        <f t="shared" si="15"/>
        <v>600043</v>
      </c>
      <c r="L464" s="61" t="str">
        <f>VLOOKUP(K464,[1]Mapping!$J$3:$Q$351,8,FALSE)</f>
        <v>Travel &amp; Entertainment</v>
      </c>
      <c r="M464" t="s">
        <v>83</v>
      </c>
    </row>
    <row r="465" spans="1:13" hidden="1" x14ac:dyDescent="0.35">
      <c r="A465">
        <v>2000123000</v>
      </c>
      <c r="B465" t="s">
        <v>98</v>
      </c>
      <c r="C465">
        <v>600042</v>
      </c>
      <c r="D465" t="s">
        <v>43</v>
      </c>
      <c r="E465" s="81">
        <v>2</v>
      </c>
      <c r="F465" t="s">
        <v>22</v>
      </c>
      <c r="G465" s="55">
        <v>0</v>
      </c>
      <c r="H465" s="82">
        <v>0</v>
      </c>
      <c r="I465" s="83" t="str">
        <f>VLOOKUP(E465,[1]Mapping!$A$3:$B$14,2,FALSE)</f>
        <v>Aug</v>
      </c>
      <c r="J465" s="84">
        <f t="shared" si="14"/>
        <v>2000123000</v>
      </c>
      <c r="K465" s="84">
        <f t="shared" si="15"/>
        <v>600042</v>
      </c>
      <c r="L465" s="61" t="str">
        <f>VLOOKUP(K465,[1]Mapping!$J$3:$Q$351,8,FALSE)</f>
        <v>Employee Related Expenses</v>
      </c>
      <c r="M465" t="s">
        <v>83</v>
      </c>
    </row>
    <row r="466" spans="1:13" hidden="1" x14ac:dyDescent="0.35">
      <c r="A466">
        <v>2000123000</v>
      </c>
      <c r="B466" t="s">
        <v>98</v>
      </c>
      <c r="C466">
        <v>600001</v>
      </c>
      <c r="D466" t="s">
        <v>86</v>
      </c>
      <c r="E466" s="81">
        <v>2</v>
      </c>
      <c r="F466" t="s">
        <v>19</v>
      </c>
      <c r="G466" s="55">
        <v>242335.06</v>
      </c>
      <c r="H466" s="82">
        <v>242335.06</v>
      </c>
      <c r="I466" s="83" t="str">
        <f>VLOOKUP(E466,[1]Mapping!$A$3:$B$14,2,FALSE)</f>
        <v>Aug</v>
      </c>
      <c r="J466" s="84">
        <f t="shared" si="14"/>
        <v>2000123000</v>
      </c>
      <c r="K466" s="84">
        <f t="shared" si="15"/>
        <v>600001</v>
      </c>
      <c r="L466" s="61" t="str">
        <f>VLOOKUP(K466,[1]Mapping!$J$3:$Q$351,8,FALSE)</f>
        <v>Wages &amp; Salaries</v>
      </c>
      <c r="M466" t="s">
        <v>83</v>
      </c>
    </row>
    <row r="467" spans="1:13" hidden="1" x14ac:dyDescent="0.35">
      <c r="A467">
        <v>2000123000</v>
      </c>
      <c r="B467" t="s">
        <v>98</v>
      </c>
      <c r="C467">
        <v>600011</v>
      </c>
      <c r="D467" t="s">
        <v>87</v>
      </c>
      <c r="E467" s="81">
        <v>2</v>
      </c>
      <c r="F467" t="s">
        <v>21</v>
      </c>
      <c r="G467" s="55">
        <v>9474.64</v>
      </c>
      <c r="H467" s="82">
        <v>9474.64</v>
      </c>
      <c r="I467" s="83" t="str">
        <f>VLOOKUP(E467,[1]Mapping!$A$3:$B$14,2,FALSE)</f>
        <v>Aug</v>
      </c>
      <c r="J467" s="84">
        <f t="shared" si="14"/>
        <v>2000123000</v>
      </c>
      <c r="K467" s="84">
        <f t="shared" si="15"/>
        <v>600011</v>
      </c>
      <c r="L467" s="61" t="str">
        <f>VLOOKUP(K467,[1]Mapping!$J$3:$Q$351,8,FALSE)</f>
        <v>Fringe Benefits</v>
      </c>
      <c r="M467" t="s">
        <v>83</v>
      </c>
    </row>
    <row r="468" spans="1:13" hidden="1" x14ac:dyDescent="0.35">
      <c r="A468">
        <v>2000123000</v>
      </c>
      <c r="B468" t="s">
        <v>98</v>
      </c>
      <c r="C468">
        <v>600013</v>
      </c>
      <c r="D468" t="s">
        <v>88</v>
      </c>
      <c r="E468" s="81">
        <v>2</v>
      </c>
      <c r="F468" t="s">
        <v>21</v>
      </c>
      <c r="G468" s="55">
        <v>21100.379999999997</v>
      </c>
      <c r="H468" s="82">
        <v>21100.379999999997</v>
      </c>
      <c r="I468" s="83" t="str">
        <f>VLOOKUP(E468,[1]Mapping!$A$3:$B$14,2,FALSE)</f>
        <v>Aug</v>
      </c>
      <c r="J468" s="84">
        <f t="shared" si="14"/>
        <v>2000123000</v>
      </c>
      <c r="K468" s="84">
        <f t="shared" si="15"/>
        <v>600013</v>
      </c>
      <c r="L468" s="61" t="str">
        <f>VLOOKUP(K468,[1]Mapping!$J$3:$Q$351,8,FALSE)</f>
        <v>Fringe Benefits</v>
      </c>
      <c r="M468" t="s">
        <v>83</v>
      </c>
    </row>
    <row r="469" spans="1:13" hidden="1" x14ac:dyDescent="0.35">
      <c r="A469">
        <v>2000123000</v>
      </c>
      <c r="B469" t="s">
        <v>98</v>
      </c>
      <c r="C469">
        <v>600018</v>
      </c>
      <c r="D469" t="s">
        <v>89</v>
      </c>
      <c r="E469" s="81">
        <v>2</v>
      </c>
      <c r="F469" t="s">
        <v>21</v>
      </c>
      <c r="G469" s="55">
        <v>17026.189999999999</v>
      </c>
      <c r="H469" s="82">
        <v>17026.189999999999</v>
      </c>
      <c r="I469" s="83" t="str">
        <f>VLOOKUP(E469,[1]Mapping!$A$3:$B$14,2,FALSE)</f>
        <v>Aug</v>
      </c>
      <c r="J469" s="84">
        <f t="shared" si="14"/>
        <v>2000123000</v>
      </c>
      <c r="K469" s="84">
        <f t="shared" si="15"/>
        <v>600018</v>
      </c>
      <c r="L469" s="61" t="str">
        <f>VLOOKUP(K469,[1]Mapping!$J$3:$Q$351,8,FALSE)</f>
        <v>Fringe Benefits</v>
      </c>
      <c r="M469" t="s">
        <v>83</v>
      </c>
    </row>
    <row r="470" spans="1:13" hidden="1" x14ac:dyDescent="0.35">
      <c r="A470">
        <v>2000123000</v>
      </c>
      <c r="B470" t="s">
        <v>98</v>
      </c>
      <c r="C470">
        <v>600022</v>
      </c>
      <c r="D470" t="s">
        <v>90</v>
      </c>
      <c r="E470" s="81">
        <v>2</v>
      </c>
      <c r="F470" t="s">
        <v>21</v>
      </c>
      <c r="G470" s="55">
        <v>548.68999999999983</v>
      </c>
      <c r="H470" s="82">
        <v>548.68999999999983</v>
      </c>
      <c r="I470" s="83" t="str">
        <f>VLOOKUP(E470,[1]Mapping!$A$3:$B$14,2,FALSE)</f>
        <v>Aug</v>
      </c>
      <c r="J470" s="84">
        <f t="shared" si="14"/>
        <v>2000123000</v>
      </c>
      <c r="K470" s="84">
        <f t="shared" si="15"/>
        <v>600022</v>
      </c>
      <c r="L470" s="61" t="str">
        <f>VLOOKUP(K470,[1]Mapping!$J$3:$Q$351,8,FALSE)</f>
        <v>Fringe Benefits</v>
      </c>
      <c r="M470" t="s">
        <v>83</v>
      </c>
    </row>
    <row r="471" spans="1:13" hidden="1" x14ac:dyDescent="0.35">
      <c r="A471">
        <v>2000123000</v>
      </c>
      <c r="B471" t="s">
        <v>98</v>
      </c>
      <c r="C471">
        <v>600025</v>
      </c>
      <c r="D471" t="s">
        <v>103</v>
      </c>
      <c r="E471" s="81">
        <v>2</v>
      </c>
      <c r="F471" t="s">
        <v>21</v>
      </c>
      <c r="G471" s="55">
        <v>92.269999999999982</v>
      </c>
      <c r="H471" s="82">
        <v>92.269999999999982</v>
      </c>
      <c r="I471" s="83" t="str">
        <f>VLOOKUP(E471,[1]Mapping!$A$3:$B$14,2,FALSE)</f>
        <v>Aug</v>
      </c>
      <c r="J471" s="84">
        <f t="shared" si="14"/>
        <v>2000123000</v>
      </c>
      <c r="K471" s="84">
        <f t="shared" si="15"/>
        <v>600025</v>
      </c>
      <c r="L471" s="61" t="str">
        <f>VLOOKUP(K471,[1]Mapping!$J$3:$Q$351,8,FALSE)</f>
        <v>Fringe Benefits</v>
      </c>
      <c r="M471" t="s">
        <v>83</v>
      </c>
    </row>
    <row r="472" spans="1:13" hidden="1" x14ac:dyDescent="0.35">
      <c r="A472">
        <v>2000123000</v>
      </c>
      <c r="B472" t="s">
        <v>98</v>
      </c>
      <c r="C472">
        <v>607038</v>
      </c>
      <c r="D472" t="s">
        <v>100</v>
      </c>
      <c r="E472" s="81">
        <v>2</v>
      </c>
      <c r="F472" t="s">
        <v>27</v>
      </c>
      <c r="G472" s="55">
        <v>18927</v>
      </c>
      <c r="H472" s="82">
        <v>18927</v>
      </c>
      <c r="I472" s="83" t="str">
        <f>VLOOKUP(E472,[1]Mapping!$A$3:$B$14,2,FALSE)</f>
        <v>Aug</v>
      </c>
      <c r="J472" s="84">
        <f t="shared" si="14"/>
        <v>2000123000</v>
      </c>
      <c r="K472" s="84">
        <f t="shared" si="15"/>
        <v>607038</v>
      </c>
      <c r="L472" s="61" t="str">
        <f>VLOOKUP(K472,[1]Mapping!$J$3:$Q$351,8,FALSE)</f>
        <v>Outside Services</v>
      </c>
      <c r="M472" t="s">
        <v>83</v>
      </c>
    </row>
    <row r="473" spans="1:13" hidden="1" x14ac:dyDescent="0.35">
      <c r="A473">
        <v>2000123000</v>
      </c>
      <c r="B473" t="s">
        <v>98</v>
      </c>
      <c r="C473">
        <v>600020</v>
      </c>
      <c r="D473" t="s">
        <v>91</v>
      </c>
      <c r="E473" s="81">
        <v>2</v>
      </c>
      <c r="F473" t="s">
        <v>21</v>
      </c>
      <c r="G473" s="55">
        <v>34892.949999999997</v>
      </c>
      <c r="H473" s="82">
        <v>34892.949999999997</v>
      </c>
      <c r="I473" s="83" t="str">
        <f>VLOOKUP(E473,[1]Mapping!$A$3:$B$14,2,FALSE)</f>
        <v>Aug</v>
      </c>
      <c r="J473" s="84">
        <f t="shared" si="14"/>
        <v>2000123000</v>
      </c>
      <c r="K473" s="84">
        <f t="shared" si="15"/>
        <v>600020</v>
      </c>
      <c r="L473" s="61" t="str">
        <f>VLOOKUP(K473,[1]Mapping!$J$3:$Q$351,8,FALSE)</f>
        <v>Fringe Benefits</v>
      </c>
      <c r="M473" t="s">
        <v>83</v>
      </c>
    </row>
    <row r="474" spans="1:13" hidden="1" x14ac:dyDescent="0.35">
      <c r="A474">
        <v>2000123000</v>
      </c>
      <c r="B474" t="s">
        <v>98</v>
      </c>
      <c r="C474">
        <v>600055</v>
      </c>
      <c r="D474" t="s">
        <v>92</v>
      </c>
      <c r="E474" s="81">
        <v>2</v>
      </c>
      <c r="F474" t="s">
        <v>21</v>
      </c>
      <c r="G474" s="55">
        <v>2791.43</v>
      </c>
      <c r="H474" s="82">
        <v>2791.43</v>
      </c>
      <c r="I474" s="83" t="str">
        <f>VLOOKUP(E474,[1]Mapping!$A$3:$B$14,2,FALSE)</f>
        <v>Aug</v>
      </c>
      <c r="J474" s="84">
        <f t="shared" si="14"/>
        <v>2000123000</v>
      </c>
      <c r="K474" s="84">
        <f t="shared" si="15"/>
        <v>600055</v>
      </c>
      <c r="L474" s="61" t="str">
        <f>VLOOKUP(K474,[1]Mapping!$J$3:$Q$351,8,FALSE)</f>
        <v>Fringe Benefits</v>
      </c>
      <c r="M474" t="s">
        <v>83</v>
      </c>
    </row>
    <row r="475" spans="1:13" hidden="1" x14ac:dyDescent="0.35">
      <c r="A475">
        <v>2000123000</v>
      </c>
      <c r="B475" t="s">
        <v>98</v>
      </c>
      <c r="C475">
        <v>607036</v>
      </c>
      <c r="D475" t="s">
        <v>45</v>
      </c>
      <c r="E475" s="81">
        <v>2</v>
      </c>
      <c r="F475" t="s">
        <v>27</v>
      </c>
      <c r="G475" s="55">
        <v>26082.36</v>
      </c>
      <c r="H475" s="82">
        <v>26082.36</v>
      </c>
      <c r="I475" s="83" t="str">
        <f>VLOOKUP(E475,[1]Mapping!$A$3:$B$14,2,FALSE)</f>
        <v>Aug</v>
      </c>
      <c r="J475" s="84">
        <f t="shared" si="14"/>
        <v>2000123000</v>
      </c>
      <c r="K475" s="84">
        <f t="shared" si="15"/>
        <v>607036</v>
      </c>
      <c r="L475" s="61" t="str">
        <f>VLOOKUP(K475,[1]Mapping!$J$3:$Q$351,8,FALSE)</f>
        <v>Outside Services</v>
      </c>
      <c r="M475" t="s">
        <v>83</v>
      </c>
    </row>
    <row r="476" spans="1:13" hidden="1" x14ac:dyDescent="0.35">
      <c r="A476">
        <v>2000123000</v>
      </c>
      <c r="B476" t="s">
        <v>98</v>
      </c>
      <c r="C476">
        <v>600026</v>
      </c>
      <c r="D476" t="s">
        <v>93</v>
      </c>
      <c r="E476" s="81">
        <v>2</v>
      </c>
      <c r="F476" t="s">
        <v>21</v>
      </c>
      <c r="G476" s="55">
        <v>-7980</v>
      </c>
      <c r="H476" s="82">
        <v>-7980</v>
      </c>
      <c r="I476" s="83" t="str">
        <f>VLOOKUP(E476,[1]Mapping!$A$3:$B$14,2,FALSE)</f>
        <v>Aug</v>
      </c>
      <c r="J476" s="84">
        <f t="shared" si="14"/>
        <v>2000123000</v>
      </c>
      <c r="K476" s="84">
        <f t="shared" si="15"/>
        <v>600026</v>
      </c>
      <c r="L476" s="61" t="str">
        <f>VLOOKUP(K476,[1]Mapping!$J$3:$Q$351,8,FALSE)</f>
        <v>Fringe Benefits</v>
      </c>
      <c r="M476" t="s">
        <v>83</v>
      </c>
    </row>
    <row r="477" spans="1:13" hidden="1" x14ac:dyDescent="0.35">
      <c r="A477">
        <v>2000123000</v>
      </c>
      <c r="B477" t="s">
        <v>98</v>
      </c>
      <c r="C477">
        <v>600008</v>
      </c>
      <c r="D477" t="s">
        <v>105</v>
      </c>
      <c r="E477" s="81">
        <v>2</v>
      </c>
      <c r="F477" t="s">
        <v>19</v>
      </c>
      <c r="G477" s="55">
        <v>100</v>
      </c>
      <c r="H477" s="82">
        <v>100</v>
      </c>
      <c r="I477" s="83" t="str">
        <f>VLOOKUP(E477,[1]Mapping!$A$3:$B$14,2,FALSE)</f>
        <v>Aug</v>
      </c>
      <c r="J477" s="84">
        <f t="shared" si="14"/>
        <v>2000123000</v>
      </c>
      <c r="K477" s="84">
        <f t="shared" si="15"/>
        <v>600008</v>
      </c>
      <c r="L477" s="61" t="str">
        <f>VLOOKUP(K477,[1]Mapping!$J$3:$Q$351,8,FALSE)</f>
        <v>Wages &amp; Salaries</v>
      </c>
      <c r="M477" t="s">
        <v>83</v>
      </c>
    </row>
    <row r="478" spans="1:13" hidden="1" x14ac:dyDescent="0.35">
      <c r="A478">
        <v>2000123000</v>
      </c>
      <c r="B478" t="s">
        <v>98</v>
      </c>
      <c r="C478">
        <v>608531</v>
      </c>
      <c r="D478" t="s">
        <v>190</v>
      </c>
      <c r="E478" s="81">
        <v>2</v>
      </c>
      <c r="F478" t="s">
        <v>24</v>
      </c>
      <c r="G478" s="55">
        <v>24792</v>
      </c>
      <c r="H478" s="82">
        <v>24792</v>
      </c>
      <c r="I478" s="83" t="str">
        <f>VLOOKUP(E478,[1]Mapping!$A$3:$B$14,2,FALSE)</f>
        <v>Aug</v>
      </c>
      <c r="J478" s="84">
        <f t="shared" si="14"/>
        <v>2000123000</v>
      </c>
      <c r="K478" s="84">
        <f t="shared" si="15"/>
        <v>608531</v>
      </c>
      <c r="L478" s="61" t="str">
        <f>VLOOKUP(K478,[1]Mapping!$J$3:$Q$351,8,FALSE)</f>
        <v>Supplies Expenses</v>
      </c>
      <c r="M478" t="s">
        <v>83</v>
      </c>
    </row>
    <row r="479" spans="1:13" hidden="1" x14ac:dyDescent="0.35">
      <c r="A479">
        <v>2000123000</v>
      </c>
      <c r="B479" t="s">
        <v>98</v>
      </c>
      <c r="C479">
        <v>607064</v>
      </c>
      <c r="D479" t="s">
        <v>174</v>
      </c>
      <c r="E479" s="81">
        <v>2</v>
      </c>
      <c r="F479" t="s">
        <v>24</v>
      </c>
      <c r="G479" s="55">
        <v>121.93</v>
      </c>
      <c r="H479" s="82">
        <v>121.93</v>
      </c>
      <c r="I479" s="83" t="str">
        <f>VLOOKUP(E479,[1]Mapping!$A$3:$B$14,2,FALSE)</f>
        <v>Aug</v>
      </c>
      <c r="J479" s="84">
        <f t="shared" si="14"/>
        <v>2000123000</v>
      </c>
      <c r="K479" s="84">
        <f t="shared" si="15"/>
        <v>607064</v>
      </c>
      <c r="L479" s="61" t="str">
        <f>VLOOKUP(K479,[1]Mapping!$J$3:$Q$351,8,FALSE)</f>
        <v>Supplies Expenses</v>
      </c>
      <c r="M479" t="s">
        <v>83</v>
      </c>
    </row>
    <row r="480" spans="1:13" hidden="1" x14ac:dyDescent="0.35">
      <c r="A480">
        <v>2000121000</v>
      </c>
      <c r="B480" t="s">
        <v>107</v>
      </c>
      <c r="C480">
        <v>600019</v>
      </c>
      <c r="D480" t="s">
        <v>82</v>
      </c>
      <c r="E480" s="81">
        <v>2</v>
      </c>
      <c r="F480" t="s">
        <v>21</v>
      </c>
      <c r="G480" s="55">
        <v>13565.369999999999</v>
      </c>
      <c r="H480" s="82">
        <v>13565.369999999999</v>
      </c>
      <c r="I480" s="83" t="str">
        <f>VLOOKUP(E480,[1]Mapping!$A$3:$B$14,2,FALSE)</f>
        <v>Aug</v>
      </c>
      <c r="J480" s="84">
        <f t="shared" si="14"/>
        <v>2000121000</v>
      </c>
      <c r="K480" s="84">
        <f t="shared" si="15"/>
        <v>600019</v>
      </c>
      <c r="L480" s="61" t="str">
        <f>VLOOKUP(K480,[1]Mapping!$J$3:$Q$351,8,FALSE)</f>
        <v>Fringe Benefits</v>
      </c>
      <c r="M480" t="s">
        <v>83</v>
      </c>
    </row>
    <row r="481" spans="1:13" hidden="1" x14ac:dyDescent="0.35">
      <c r="A481">
        <v>2000121000</v>
      </c>
      <c r="B481" t="s">
        <v>107</v>
      </c>
      <c r="C481">
        <v>600043</v>
      </c>
      <c r="D481" t="s">
        <v>102</v>
      </c>
      <c r="E481" s="81">
        <v>2</v>
      </c>
      <c r="F481" t="s">
        <v>23</v>
      </c>
      <c r="G481" s="55">
        <v>653.20000000000005</v>
      </c>
      <c r="H481" s="82">
        <v>653.20000000000005</v>
      </c>
      <c r="I481" s="83" t="str">
        <f>VLOOKUP(E481,[1]Mapping!$A$3:$B$14,2,FALSE)</f>
        <v>Aug</v>
      </c>
      <c r="J481" s="84">
        <f t="shared" si="14"/>
        <v>2000121000</v>
      </c>
      <c r="K481" s="84">
        <f t="shared" si="15"/>
        <v>600043</v>
      </c>
      <c r="L481" s="61" t="str">
        <f>VLOOKUP(K481,[1]Mapping!$J$3:$Q$351,8,FALSE)</f>
        <v>Travel &amp; Entertainment</v>
      </c>
      <c r="M481" t="s">
        <v>83</v>
      </c>
    </row>
    <row r="482" spans="1:13" hidden="1" x14ac:dyDescent="0.35">
      <c r="A482">
        <v>2000121000</v>
      </c>
      <c r="B482" t="s">
        <v>107</v>
      </c>
      <c r="C482">
        <v>607035</v>
      </c>
      <c r="D482" t="s">
        <v>108</v>
      </c>
      <c r="E482" s="81">
        <v>2</v>
      </c>
      <c r="F482" t="s">
        <v>27</v>
      </c>
      <c r="G482" s="55">
        <v>-38043.08</v>
      </c>
      <c r="H482" s="82">
        <v>-38043.08</v>
      </c>
      <c r="I482" s="83" t="str">
        <f>VLOOKUP(E482,[1]Mapping!$A$3:$B$14,2,FALSE)</f>
        <v>Aug</v>
      </c>
      <c r="J482" s="84">
        <f t="shared" si="14"/>
        <v>2000121000</v>
      </c>
      <c r="K482" s="84">
        <f t="shared" si="15"/>
        <v>607035</v>
      </c>
      <c r="L482" s="61" t="str">
        <f>VLOOKUP(K482,[1]Mapping!$J$3:$Q$351,8,FALSE)</f>
        <v>Outside Services</v>
      </c>
      <c r="M482" t="s">
        <v>83</v>
      </c>
    </row>
    <row r="483" spans="1:13" hidden="1" x14ac:dyDescent="0.35">
      <c r="A483">
        <v>2000121000</v>
      </c>
      <c r="B483" t="s">
        <v>107</v>
      </c>
      <c r="C483">
        <v>607035</v>
      </c>
      <c r="D483" t="s">
        <v>108</v>
      </c>
      <c r="E483" s="81">
        <v>2</v>
      </c>
      <c r="F483" t="s">
        <v>27</v>
      </c>
      <c r="G483" s="55">
        <v>45138.17</v>
      </c>
      <c r="H483" s="82">
        <v>45138.17</v>
      </c>
      <c r="I483" s="83" t="str">
        <f>VLOOKUP(E483,[1]Mapping!$A$3:$B$14,2,FALSE)</f>
        <v>Aug</v>
      </c>
      <c r="J483" s="84">
        <f t="shared" si="14"/>
        <v>2000121000</v>
      </c>
      <c r="K483" s="84">
        <f t="shared" si="15"/>
        <v>607035</v>
      </c>
      <c r="L483" s="61" t="str">
        <f>VLOOKUP(K483,[1]Mapping!$J$3:$Q$351,8,FALSE)</f>
        <v>Outside Services</v>
      </c>
      <c r="M483" t="s">
        <v>83</v>
      </c>
    </row>
    <row r="484" spans="1:13" hidden="1" x14ac:dyDescent="0.35">
      <c r="A484">
        <v>2000121000</v>
      </c>
      <c r="B484" t="s">
        <v>107</v>
      </c>
      <c r="C484">
        <v>600001</v>
      </c>
      <c r="D484" t="s">
        <v>86</v>
      </c>
      <c r="E484" s="81">
        <v>2</v>
      </c>
      <c r="F484" t="s">
        <v>19</v>
      </c>
      <c r="G484" s="55">
        <v>47984.15</v>
      </c>
      <c r="H484" s="82">
        <v>47984.15</v>
      </c>
      <c r="I484" s="83" t="str">
        <f>VLOOKUP(E484,[1]Mapping!$A$3:$B$14,2,FALSE)</f>
        <v>Aug</v>
      </c>
      <c r="J484" s="84">
        <f t="shared" si="14"/>
        <v>2000121000</v>
      </c>
      <c r="K484" s="84">
        <f t="shared" si="15"/>
        <v>600001</v>
      </c>
      <c r="L484" s="61" t="str">
        <f>VLOOKUP(K484,[1]Mapping!$J$3:$Q$351,8,FALSE)</f>
        <v>Wages &amp; Salaries</v>
      </c>
      <c r="M484" t="s">
        <v>83</v>
      </c>
    </row>
    <row r="485" spans="1:13" hidden="1" x14ac:dyDescent="0.35">
      <c r="A485">
        <v>2000121000</v>
      </c>
      <c r="B485" t="s">
        <v>107</v>
      </c>
      <c r="C485">
        <v>600011</v>
      </c>
      <c r="D485" t="s">
        <v>87</v>
      </c>
      <c r="E485" s="81">
        <v>2</v>
      </c>
      <c r="F485" t="s">
        <v>21</v>
      </c>
      <c r="G485" s="55">
        <v>2866.37</v>
      </c>
      <c r="H485" s="82">
        <v>2866.37</v>
      </c>
      <c r="I485" s="83" t="str">
        <f>VLOOKUP(E485,[1]Mapping!$A$3:$B$14,2,FALSE)</f>
        <v>Aug</v>
      </c>
      <c r="J485" s="84">
        <f t="shared" si="14"/>
        <v>2000121000</v>
      </c>
      <c r="K485" s="84">
        <f t="shared" si="15"/>
        <v>600011</v>
      </c>
      <c r="L485" s="61" t="str">
        <f>VLOOKUP(K485,[1]Mapping!$J$3:$Q$351,8,FALSE)</f>
        <v>Fringe Benefits</v>
      </c>
      <c r="M485" t="s">
        <v>83</v>
      </c>
    </row>
    <row r="486" spans="1:13" hidden="1" x14ac:dyDescent="0.35">
      <c r="A486">
        <v>2000121000</v>
      </c>
      <c r="B486" t="s">
        <v>107</v>
      </c>
      <c r="C486">
        <v>600013</v>
      </c>
      <c r="D486" t="s">
        <v>88</v>
      </c>
      <c r="E486" s="81">
        <v>2</v>
      </c>
      <c r="F486" t="s">
        <v>21</v>
      </c>
      <c r="G486" s="55">
        <v>5514.33</v>
      </c>
      <c r="H486" s="82">
        <v>5514.33</v>
      </c>
      <c r="I486" s="83" t="str">
        <f>VLOOKUP(E486,[1]Mapping!$A$3:$B$14,2,FALSE)</f>
        <v>Aug</v>
      </c>
      <c r="J486" s="84">
        <f t="shared" si="14"/>
        <v>2000121000</v>
      </c>
      <c r="K486" s="84">
        <f t="shared" si="15"/>
        <v>600013</v>
      </c>
      <c r="L486" s="61" t="str">
        <f>VLOOKUP(K486,[1]Mapping!$J$3:$Q$351,8,FALSE)</f>
        <v>Fringe Benefits</v>
      </c>
      <c r="M486" t="s">
        <v>83</v>
      </c>
    </row>
    <row r="487" spans="1:13" hidden="1" x14ac:dyDescent="0.35">
      <c r="A487">
        <v>2000121000</v>
      </c>
      <c r="B487" t="s">
        <v>107</v>
      </c>
      <c r="C487">
        <v>600018</v>
      </c>
      <c r="D487" t="s">
        <v>89</v>
      </c>
      <c r="E487" s="81">
        <v>2</v>
      </c>
      <c r="F487" t="s">
        <v>21</v>
      </c>
      <c r="G487" s="55">
        <v>4396.54</v>
      </c>
      <c r="H487" s="82">
        <v>4396.54</v>
      </c>
      <c r="I487" s="83" t="str">
        <f>VLOOKUP(E487,[1]Mapping!$A$3:$B$14,2,FALSE)</f>
        <v>Aug</v>
      </c>
      <c r="J487" s="84">
        <f t="shared" si="14"/>
        <v>2000121000</v>
      </c>
      <c r="K487" s="84">
        <f t="shared" si="15"/>
        <v>600018</v>
      </c>
      <c r="L487" s="61" t="str">
        <f>VLOOKUP(K487,[1]Mapping!$J$3:$Q$351,8,FALSE)</f>
        <v>Fringe Benefits</v>
      </c>
      <c r="M487" t="s">
        <v>83</v>
      </c>
    </row>
    <row r="488" spans="1:13" hidden="1" x14ac:dyDescent="0.35">
      <c r="A488">
        <v>2000121000</v>
      </c>
      <c r="B488" t="s">
        <v>107</v>
      </c>
      <c r="C488">
        <v>600022</v>
      </c>
      <c r="D488" t="s">
        <v>90</v>
      </c>
      <c r="E488" s="81">
        <v>2</v>
      </c>
      <c r="F488" t="s">
        <v>21</v>
      </c>
      <c r="G488" s="55">
        <v>140.36000000000001</v>
      </c>
      <c r="H488" s="82">
        <v>140.36000000000001</v>
      </c>
      <c r="I488" s="83" t="str">
        <f>VLOOKUP(E488,[1]Mapping!$A$3:$B$14,2,FALSE)</f>
        <v>Aug</v>
      </c>
      <c r="J488" s="84">
        <f t="shared" si="14"/>
        <v>2000121000</v>
      </c>
      <c r="K488" s="84">
        <f t="shared" si="15"/>
        <v>600022</v>
      </c>
      <c r="L488" s="61" t="str">
        <f>VLOOKUP(K488,[1]Mapping!$J$3:$Q$351,8,FALSE)</f>
        <v>Fringe Benefits</v>
      </c>
      <c r="M488" t="s">
        <v>83</v>
      </c>
    </row>
    <row r="489" spans="1:13" hidden="1" x14ac:dyDescent="0.35">
      <c r="A489">
        <v>2000121000</v>
      </c>
      <c r="B489" t="s">
        <v>107</v>
      </c>
      <c r="C489">
        <v>600020</v>
      </c>
      <c r="D489" t="s">
        <v>91</v>
      </c>
      <c r="E489" s="81">
        <v>2</v>
      </c>
      <c r="F489" t="s">
        <v>21</v>
      </c>
      <c r="G489" s="55">
        <v>8663.7599999999984</v>
      </c>
      <c r="H489" s="82">
        <v>8663.7599999999984</v>
      </c>
      <c r="I489" s="83" t="str">
        <f>VLOOKUP(E489,[1]Mapping!$A$3:$B$14,2,FALSE)</f>
        <v>Aug</v>
      </c>
      <c r="J489" s="84">
        <f t="shared" si="14"/>
        <v>2000121000</v>
      </c>
      <c r="K489" s="84">
        <f t="shared" si="15"/>
        <v>600020</v>
      </c>
      <c r="L489" s="61" t="str">
        <f>VLOOKUP(K489,[1]Mapping!$J$3:$Q$351,8,FALSE)</f>
        <v>Fringe Benefits</v>
      </c>
      <c r="M489" t="s">
        <v>83</v>
      </c>
    </row>
    <row r="490" spans="1:13" hidden="1" x14ac:dyDescent="0.35">
      <c r="A490">
        <v>2000121000</v>
      </c>
      <c r="B490" t="s">
        <v>107</v>
      </c>
      <c r="C490">
        <v>600055</v>
      </c>
      <c r="D490" t="s">
        <v>92</v>
      </c>
      <c r="E490" s="81">
        <v>2</v>
      </c>
      <c r="F490" t="s">
        <v>21</v>
      </c>
      <c r="G490" s="55">
        <v>693.1</v>
      </c>
      <c r="H490" s="82">
        <v>693.1</v>
      </c>
      <c r="I490" s="83" t="str">
        <f>VLOOKUP(E490,[1]Mapping!$A$3:$B$14,2,FALSE)</f>
        <v>Aug</v>
      </c>
      <c r="J490" s="84">
        <f t="shared" si="14"/>
        <v>2000121000</v>
      </c>
      <c r="K490" s="84">
        <f t="shared" si="15"/>
        <v>600055</v>
      </c>
      <c r="L490" s="61" t="str">
        <f>VLOOKUP(K490,[1]Mapping!$J$3:$Q$351,8,FALSE)</f>
        <v>Fringe Benefits</v>
      </c>
      <c r="M490" t="s">
        <v>83</v>
      </c>
    </row>
    <row r="491" spans="1:13" hidden="1" x14ac:dyDescent="0.35">
      <c r="A491">
        <v>2000121000</v>
      </c>
      <c r="B491" t="s">
        <v>107</v>
      </c>
      <c r="C491">
        <v>600026</v>
      </c>
      <c r="D491" t="s">
        <v>93</v>
      </c>
      <c r="E491" s="81">
        <v>2</v>
      </c>
      <c r="F491" t="s">
        <v>21</v>
      </c>
      <c r="G491" s="55">
        <v>-840</v>
      </c>
      <c r="H491" s="82">
        <v>-840</v>
      </c>
      <c r="I491" s="83" t="str">
        <f>VLOOKUP(E491,[1]Mapping!$A$3:$B$14,2,FALSE)</f>
        <v>Aug</v>
      </c>
      <c r="J491" s="84">
        <f t="shared" si="14"/>
        <v>2000121000</v>
      </c>
      <c r="K491" s="84">
        <f t="shared" si="15"/>
        <v>600026</v>
      </c>
      <c r="L491" s="61" t="str">
        <f>VLOOKUP(K491,[1]Mapping!$J$3:$Q$351,8,FALSE)</f>
        <v>Fringe Benefits</v>
      </c>
      <c r="M491" t="s">
        <v>83</v>
      </c>
    </row>
    <row r="492" spans="1:13" hidden="1" x14ac:dyDescent="0.35">
      <c r="A492">
        <v>2000121000</v>
      </c>
      <c r="B492" t="s">
        <v>107</v>
      </c>
      <c r="C492">
        <v>600048</v>
      </c>
      <c r="D492" t="s">
        <v>104</v>
      </c>
      <c r="E492" s="81">
        <v>2</v>
      </c>
      <c r="F492" t="s">
        <v>22</v>
      </c>
      <c r="G492" s="55">
        <v>128.63999999999999</v>
      </c>
      <c r="H492" s="82">
        <v>128.63999999999999</v>
      </c>
      <c r="I492" s="83" t="str">
        <f>VLOOKUP(E492,[1]Mapping!$A$3:$B$14,2,FALSE)</f>
        <v>Aug</v>
      </c>
      <c r="J492" s="84">
        <f t="shared" si="14"/>
        <v>2000121000</v>
      </c>
      <c r="K492" s="84">
        <f t="shared" si="15"/>
        <v>600048</v>
      </c>
      <c r="L492" s="61" t="str">
        <f>VLOOKUP(K492,[1]Mapping!$J$3:$Q$351,8,FALSE)</f>
        <v>Employee Related Expenses</v>
      </c>
      <c r="M492" t="s">
        <v>83</v>
      </c>
    </row>
    <row r="493" spans="1:13" hidden="1" x14ac:dyDescent="0.35">
      <c r="A493">
        <v>2000121000</v>
      </c>
      <c r="B493" t="s">
        <v>107</v>
      </c>
      <c r="C493">
        <v>607151</v>
      </c>
      <c r="D493" t="s">
        <v>191</v>
      </c>
      <c r="E493" s="81">
        <v>2</v>
      </c>
      <c r="F493" t="s">
        <v>29</v>
      </c>
      <c r="G493" s="55">
        <v>3952.77</v>
      </c>
      <c r="H493" s="82">
        <v>3952.77</v>
      </c>
      <c r="I493" s="83" t="str">
        <f>VLOOKUP(E493,[1]Mapping!$A$3:$B$14,2,FALSE)</f>
        <v>Aug</v>
      </c>
      <c r="J493" s="84">
        <f t="shared" si="14"/>
        <v>2000121000</v>
      </c>
      <c r="K493" s="84">
        <f t="shared" si="15"/>
        <v>607151</v>
      </c>
      <c r="L493" s="61" t="str">
        <f>VLOOKUP(K493,[1]Mapping!$J$3:$Q$351,8,FALSE)</f>
        <v>Other</v>
      </c>
      <c r="M493" t="s">
        <v>83</v>
      </c>
    </row>
    <row r="494" spans="1:13" hidden="1" x14ac:dyDescent="0.35">
      <c r="A494">
        <v>2000122000</v>
      </c>
      <c r="B494" t="s">
        <v>109</v>
      </c>
      <c r="C494">
        <v>600019</v>
      </c>
      <c r="D494" t="s">
        <v>82</v>
      </c>
      <c r="E494" s="81">
        <v>2</v>
      </c>
      <c r="F494" t="s">
        <v>21</v>
      </c>
      <c r="G494" s="55">
        <v>246.48000000000002</v>
      </c>
      <c r="H494" s="82">
        <v>246.48000000000002</v>
      </c>
      <c r="I494" s="83" t="str">
        <f>VLOOKUP(E494,[1]Mapping!$A$3:$B$14,2,FALSE)</f>
        <v>Aug</v>
      </c>
      <c r="J494" s="84">
        <f t="shared" si="14"/>
        <v>2000122000</v>
      </c>
      <c r="K494" s="84">
        <f t="shared" si="15"/>
        <v>600019</v>
      </c>
      <c r="L494" s="61" t="str">
        <f>VLOOKUP(K494,[1]Mapping!$J$3:$Q$351,8,FALSE)</f>
        <v>Fringe Benefits</v>
      </c>
      <c r="M494" t="s">
        <v>83</v>
      </c>
    </row>
    <row r="495" spans="1:13" hidden="1" x14ac:dyDescent="0.35">
      <c r="A495">
        <v>2000122000</v>
      </c>
      <c r="B495" t="s">
        <v>109</v>
      </c>
      <c r="C495">
        <v>607082</v>
      </c>
      <c r="D495" t="s">
        <v>126</v>
      </c>
      <c r="E495" s="81">
        <v>2</v>
      </c>
      <c r="F495" t="s">
        <v>24</v>
      </c>
      <c r="G495" s="55">
        <v>40.78</v>
      </c>
      <c r="H495" s="82">
        <v>40.78</v>
      </c>
      <c r="I495" s="83" t="str">
        <f>VLOOKUP(E495,[1]Mapping!$A$3:$B$14,2,FALSE)</f>
        <v>Aug</v>
      </c>
      <c r="J495" s="84">
        <f t="shared" si="14"/>
        <v>2000122000</v>
      </c>
      <c r="K495" s="84">
        <f t="shared" si="15"/>
        <v>607082</v>
      </c>
      <c r="L495" s="61" t="str">
        <f>VLOOKUP(K495,[1]Mapping!$J$3:$Q$351,8,FALSE)</f>
        <v>Supplies Expenses</v>
      </c>
      <c r="M495" t="s">
        <v>83</v>
      </c>
    </row>
    <row r="496" spans="1:13" hidden="1" x14ac:dyDescent="0.35">
      <c r="A496">
        <v>2000122000</v>
      </c>
      <c r="B496" t="s">
        <v>109</v>
      </c>
      <c r="C496">
        <v>608533</v>
      </c>
      <c r="D496" t="s">
        <v>167</v>
      </c>
      <c r="E496" s="81">
        <v>2</v>
      </c>
      <c r="F496" t="s">
        <v>29</v>
      </c>
      <c r="G496" s="55">
        <v>128.22999999999999</v>
      </c>
      <c r="H496" s="82">
        <v>128.22999999999999</v>
      </c>
      <c r="I496" s="83" t="str">
        <f>VLOOKUP(E496,[1]Mapping!$A$3:$B$14,2,FALSE)</f>
        <v>Aug</v>
      </c>
      <c r="J496" s="84">
        <f t="shared" si="14"/>
        <v>2000122000</v>
      </c>
      <c r="K496" s="84">
        <f t="shared" si="15"/>
        <v>608533</v>
      </c>
      <c r="L496" s="61" t="str">
        <f>VLOOKUP(K496,[1]Mapping!$J$3:$Q$351,8,FALSE)</f>
        <v>Other</v>
      </c>
      <c r="M496" t="s">
        <v>83</v>
      </c>
    </row>
    <row r="497" spans="1:13" hidden="1" x14ac:dyDescent="0.35">
      <c r="A497">
        <v>2000122000</v>
      </c>
      <c r="B497" t="s">
        <v>109</v>
      </c>
      <c r="C497">
        <v>600030</v>
      </c>
      <c r="D497" t="s">
        <v>110</v>
      </c>
      <c r="E497" s="81">
        <v>2</v>
      </c>
      <c r="F497" t="s">
        <v>23</v>
      </c>
      <c r="G497" s="55">
        <v>1099.48</v>
      </c>
      <c r="H497" s="82">
        <v>1099.48</v>
      </c>
      <c r="I497" s="83" t="str">
        <f>VLOOKUP(E497,[1]Mapping!$A$3:$B$14,2,FALSE)</f>
        <v>Aug</v>
      </c>
      <c r="J497" s="84">
        <f t="shared" si="14"/>
        <v>2000122000</v>
      </c>
      <c r="K497" s="84">
        <f t="shared" si="15"/>
        <v>600030</v>
      </c>
      <c r="L497" s="61" t="str">
        <f>VLOOKUP(K497,[1]Mapping!$J$3:$Q$351,8,FALSE)</f>
        <v>Travel &amp; Entertainment</v>
      </c>
      <c r="M497" t="s">
        <v>83</v>
      </c>
    </row>
    <row r="498" spans="1:13" hidden="1" x14ac:dyDescent="0.35">
      <c r="A498">
        <v>2000122000</v>
      </c>
      <c r="B498" t="s">
        <v>109</v>
      </c>
      <c r="C498">
        <v>600044</v>
      </c>
      <c r="D498" t="s">
        <v>111</v>
      </c>
      <c r="E498" s="81">
        <v>2</v>
      </c>
      <c r="F498" t="s">
        <v>23</v>
      </c>
      <c r="G498" s="55">
        <v>572.4</v>
      </c>
      <c r="H498" s="82">
        <v>572.4</v>
      </c>
      <c r="I498" s="83" t="str">
        <f>VLOOKUP(E498,[1]Mapping!$A$3:$B$14,2,FALSE)</f>
        <v>Aug</v>
      </c>
      <c r="J498" s="84">
        <f t="shared" si="14"/>
        <v>2000122000</v>
      </c>
      <c r="K498" s="84">
        <f t="shared" si="15"/>
        <v>600044</v>
      </c>
      <c r="L498" s="61" t="str">
        <f>VLOOKUP(K498,[1]Mapping!$J$3:$Q$351,8,FALSE)</f>
        <v>Travel &amp; Entertainment</v>
      </c>
      <c r="M498" t="s">
        <v>83</v>
      </c>
    </row>
    <row r="499" spans="1:13" hidden="1" x14ac:dyDescent="0.35">
      <c r="A499">
        <v>2000122000</v>
      </c>
      <c r="B499" t="s">
        <v>109</v>
      </c>
      <c r="C499">
        <v>600043</v>
      </c>
      <c r="D499" t="s">
        <v>102</v>
      </c>
      <c r="E499" s="81">
        <v>2</v>
      </c>
      <c r="F499" t="s">
        <v>23</v>
      </c>
      <c r="G499" s="55">
        <v>26029.01</v>
      </c>
      <c r="H499" s="82">
        <v>26029.01</v>
      </c>
      <c r="I499" s="83" t="str">
        <f>VLOOKUP(E499,[1]Mapping!$A$3:$B$14,2,FALSE)</f>
        <v>Aug</v>
      </c>
      <c r="J499" s="84">
        <f t="shared" si="14"/>
        <v>2000122000</v>
      </c>
      <c r="K499" s="84">
        <f t="shared" si="15"/>
        <v>600043</v>
      </c>
      <c r="L499" s="61" t="str">
        <f>VLOOKUP(K499,[1]Mapping!$J$3:$Q$351,8,FALSE)</f>
        <v>Travel &amp; Entertainment</v>
      </c>
      <c r="M499" t="s">
        <v>83</v>
      </c>
    </row>
    <row r="500" spans="1:13" hidden="1" x14ac:dyDescent="0.35">
      <c r="A500">
        <v>2000122000</v>
      </c>
      <c r="B500" t="s">
        <v>109</v>
      </c>
      <c r="C500">
        <v>600027</v>
      </c>
      <c r="D500" t="s">
        <v>112</v>
      </c>
      <c r="E500" s="81">
        <v>2</v>
      </c>
      <c r="F500" t="s">
        <v>23</v>
      </c>
      <c r="G500" s="55">
        <v>1032.9300000000003</v>
      </c>
      <c r="H500" s="82">
        <v>1032.9300000000003</v>
      </c>
      <c r="I500" s="83" t="str">
        <f>VLOOKUP(E500,[1]Mapping!$A$3:$B$14,2,FALSE)</f>
        <v>Aug</v>
      </c>
      <c r="J500" s="84">
        <f t="shared" si="14"/>
        <v>2000122000</v>
      </c>
      <c r="K500" s="84">
        <f t="shared" si="15"/>
        <v>600027</v>
      </c>
      <c r="L500" s="61" t="str">
        <f>VLOOKUP(K500,[1]Mapping!$J$3:$Q$351,8,FALSE)</f>
        <v>Travel &amp; Entertainment</v>
      </c>
      <c r="M500" t="s">
        <v>83</v>
      </c>
    </row>
    <row r="501" spans="1:13" hidden="1" x14ac:dyDescent="0.35">
      <c r="A501">
        <v>2000122000</v>
      </c>
      <c r="B501" t="s">
        <v>109</v>
      </c>
      <c r="C501">
        <v>600029</v>
      </c>
      <c r="D501" t="s">
        <v>113</v>
      </c>
      <c r="E501" s="81">
        <v>2</v>
      </c>
      <c r="F501" t="s">
        <v>23</v>
      </c>
      <c r="G501" s="55">
        <v>3537.25</v>
      </c>
      <c r="H501" s="82">
        <v>3537.25</v>
      </c>
      <c r="I501" s="83" t="str">
        <f>VLOOKUP(E501,[1]Mapping!$A$3:$B$14,2,FALSE)</f>
        <v>Aug</v>
      </c>
      <c r="J501" s="84">
        <f t="shared" si="14"/>
        <v>2000122000</v>
      </c>
      <c r="K501" s="84">
        <f t="shared" si="15"/>
        <v>600029</v>
      </c>
      <c r="L501" s="61" t="str">
        <f>VLOOKUP(K501,[1]Mapping!$J$3:$Q$351,8,FALSE)</f>
        <v>Travel &amp; Entertainment</v>
      </c>
      <c r="M501" t="s">
        <v>83</v>
      </c>
    </row>
    <row r="502" spans="1:13" hidden="1" x14ac:dyDescent="0.35">
      <c r="A502">
        <v>2000122000</v>
      </c>
      <c r="B502" t="s">
        <v>109</v>
      </c>
      <c r="C502">
        <v>600042</v>
      </c>
      <c r="D502" t="s">
        <v>43</v>
      </c>
      <c r="E502" s="81">
        <v>2</v>
      </c>
      <c r="F502" t="s">
        <v>22</v>
      </c>
      <c r="G502" s="55">
        <v>26.930000000000007</v>
      </c>
      <c r="H502" s="82">
        <v>26.930000000000007</v>
      </c>
      <c r="I502" s="83" t="str">
        <f>VLOOKUP(E502,[1]Mapping!$A$3:$B$14,2,FALSE)</f>
        <v>Aug</v>
      </c>
      <c r="J502" s="84">
        <f t="shared" si="14"/>
        <v>2000122000</v>
      </c>
      <c r="K502" s="84">
        <f t="shared" si="15"/>
        <v>600042</v>
      </c>
      <c r="L502" s="61" t="str">
        <f>VLOOKUP(K502,[1]Mapping!$J$3:$Q$351,8,FALSE)</f>
        <v>Employee Related Expenses</v>
      </c>
      <c r="M502" t="s">
        <v>83</v>
      </c>
    </row>
    <row r="503" spans="1:13" hidden="1" x14ac:dyDescent="0.35">
      <c r="A503">
        <v>2000122000</v>
      </c>
      <c r="B503" t="s">
        <v>109</v>
      </c>
      <c r="C503">
        <v>607035</v>
      </c>
      <c r="D503" t="s">
        <v>108</v>
      </c>
      <c r="E503" s="81">
        <v>2</v>
      </c>
      <c r="F503" t="s">
        <v>27</v>
      </c>
      <c r="G503" s="55">
        <v>41476.800000000003</v>
      </c>
      <c r="H503" s="82">
        <v>41476.800000000003</v>
      </c>
      <c r="I503" s="83" t="str">
        <f>VLOOKUP(E503,[1]Mapping!$A$3:$B$14,2,FALSE)</f>
        <v>Aug</v>
      </c>
      <c r="J503" s="84">
        <f t="shared" si="14"/>
        <v>2000122000</v>
      </c>
      <c r="K503" s="84">
        <f t="shared" si="15"/>
        <v>607035</v>
      </c>
      <c r="L503" s="61" t="str">
        <f>VLOOKUP(K503,[1]Mapping!$J$3:$Q$351,8,FALSE)</f>
        <v>Outside Services</v>
      </c>
      <c r="M503" t="s">
        <v>83</v>
      </c>
    </row>
    <row r="504" spans="1:13" hidden="1" x14ac:dyDescent="0.35">
      <c r="A504">
        <v>2000122000</v>
      </c>
      <c r="B504" t="s">
        <v>109</v>
      </c>
      <c r="C504">
        <v>600001</v>
      </c>
      <c r="D504" t="s">
        <v>86</v>
      </c>
      <c r="E504" s="81">
        <v>2</v>
      </c>
      <c r="F504" t="s">
        <v>19</v>
      </c>
      <c r="G504" s="55">
        <v>145403.14000000001</v>
      </c>
      <c r="H504" s="82">
        <v>145403.14000000001</v>
      </c>
      <c r="I504" s="83" t="str">
        <f>VLOOKUP(E504,[1]Mapping!$A$3:$B$14,2,FALSE)</f>
        <v>Aug</v>
      </c>
      <c r="J504" s="84">
        <f t="shared" si="14"/>
        <v>2000122000</v>
      </c>
      <c r="K504" s="84">
        <f t="shared" si="15"/>
        <v>600001</v>
      </c>
      <c r="L504" s="61" t="str">
        <f>VLOOKUP(K504,[1]Mapping!$J$3:$Q$351,8,FALSE)</f>
        <v>Wages &amp; Salaries</v>
      </c>
      <c r="M504" t="s">
        <v>83</v>
      </c>
    </row>
    <row r="505" spans="1:13" hidden="1" x14ac:dyDescent="0.35">
      <c r="A505">
        <v>2000122000</v>
      </c>
      <c r="B505" t="s">
        <v>109</v>
      </c>
      <c r="C505">
        <v>600011</v>
      </c>
      <c r="D505" t="s">
        <v>87</v>
      </c>
      <c r="E505" s="81">
        <v>2</v>
      </c>
      <c r="F505" t="s">
        <v>21</v>
      </c>
      <c r="G505" s="55">
        <v>6886.24</v>
      </c>
      <c r="H505" s="82">
        <v>6886.24</v>
      </c>
      <c r="I505" s="83" t="str">
        <f>VLOOKUP(E505,[1]Mapping!$A$3:$B$14,2,FALSE)</f>
        <v>Aug</v>
      </c>
      <c r="J505" s="84">
        <f t="shared" si="14"/>
        <v>2000122000</v>
      </c>
      <c r="K505" s="84">
        <f t="shared" si="15"/>
        <v>600011</v>
      </c>
      <c r="L505" s="61" t="str">
        <f>VLOOKUP(K505,[1]Mapping!$J$3:$Q$351,8,FALSE)</f>
        <v>Fringe Benefits</v>
      </c>
      <c r="M505" t="s">
        <v>83</v>
      </c>
    </row>
    <row r="506" spans="1:13" hidden="1" x14ac:dyDescent="0.35">
      <c r="A506">
        <v>2000122000</v>
      </c>
      <c r="B506" t="s">
        <v>109</v>
      </c>
      <c r="C506">
        <v>600013</v>
      </c>
      <c r="D506" t="s">
        <v>88</v>
      </c>
      <c r="E506" s="81">
        <v>2</v>
      </c>
      <c r="F506" t="s">
        <v>21</v>
      </c>
      <c r="G506" s="55">
        <v>7869.079999999999</v>
      </c>
      <c r="H506" s="82">
        <v>7869.079999999999</v>
      </c>
      <c r="I506" s="83" t="str">
        <f>VLOOKUP(E506,[1]Mapping!$A$3:$B$14,2,FALSE)</f>
        <v>Aug</v>
      </c>
      <c r="J506" s="84">
        <f t="shared" si="14"/>
        <v>2000122000</v>
      </c>
      <c r="K506" s="84">
        <f t="shared" si="15"/>
        <v>600013</v>
      </c>
      <c r="L506" s="61" t="str">
        <f>VLOOKUP(K506,[1]Mapping!$J$3:$Q$351,8,FALSE)</f>
        <v>Fringe Benefits</v>
      </c>
      <c r="M506" t="s">
        <v>83</v>
      </c>
    </row>
    <row r="507" spans="1:13" hidden="1" x14ac:dyDescent="0.35">
      <c r="A507">
        <v>2000122000</v>
      </c>
      <c r="B507" t="s">
        <v>109</v>
      </c>
      <c r="C507">
        <v>600018</v>
      </c>
      <c r="D507" t="s">
        <v>89</v>
      </c>
      <c r="E507" s="81">
        <v>2</v>
      </c>
      <c r="F507" t="s">
        <v>21</v>
      </c>
      <c r="G507" s="55">
        <v>8884.6999999999989</v>
      </c>
      <c r="H507" s="82">
        <v>8884.6999999999989</v>
      </c>
      <c r="I507" s="83" t="str">
        <f>VLOOKUP(E507,[1]Mapping!$A$3:$B$14,2,FALSE)</f>
        <v>Aug</v>
      </c>
      <c r="J507" s="84">
        <f t="shared" si="14"/>
        <v>2000122000</v>
      </c>
      <c r="K507" s="84">
        <f t="shared" si="15"/>
        <v>600018</v>
      </c>
      <c r="L507" s="61" t="str">
        <f>VLOOKUP(K507,[1]Mapping!$J$3:$Q$351,8,FALSE)</f>
        <v>Fringe Benefits</v>
      </c>
      <c r="M507" t="s">
        <v>83</v>
      </c>
    </row>
    <row r="508" spans="1:13" hidden="1" x14ac:dyDescent="0.35">
      <c r="A508">
        <v>2000122000</v>
      </c>
      <c r="B508" t="s">
        <v>109</v>
      </c>
      <c r="C508">
        <v>600022</v>
      </c>
      <c r="D508" t="s">
        <v>90</v>
      </c>
      <c r="E508" s="81">
        <v>2</v>
      </c>
      <c r="F508" t="s">
        <v>21</v>
      </c>
      <c r="G508" s="55">
        <v>315.04000000000008</v>
      </c>
      <c r="H508" s="82">
        <v>315.04000000000008</v>
      </c>
      <c r="I508" s="83" t="str">
        <f>VLOOKUP(E508,[1]Mapping!$A$3:$B$14,2,FALSE)</f>
        <v>Aug</v>
      </c>
      <c r="J508" s="84">
        <f t="shared" si="14"/>
        <v>2000122000</v>
      </c>
      <c r="K508" s="84">
        <f t="shared" si="15"/>
        <v>600022</v>
      </c>
      <c r="L508" s="61" t="str">
        <f>VLOOKUP(K508,[1]Mapping!$J$3:$Q$351,8,FALSE)</f>
        <v>Fringe Benefits</v>
      </c>
      <c r="M508" t="s">
        <v>83</v>
      </c>
    </row>
    <row r="509" spans="1:13" hidden="1" x14ac:dyDescent="0.35">
      <c r="A509">
        <v>2000122000</v>
      </c>
      <c r="B509" t="s">
        <v>109</v>
      </c>
      <c r="C509">
        <v>600024</v>
      </c>
      <c r="D509" t="s">
        <v>114</v>
      </c>
      <c r="E509" s="81">
        <v>2</v>
      </c>
      <c r="F509" t="s">
        <v>21</v>
      </c>
      <c r="G509" s="55">
        <v>95.529999999999987</v>
      </c>
      <c r="H509" s="82">
        <v>95.529999999999987</v>
      </c>
      <c r="I509" s="83" t="str">
        <f>VLOOKUP(E509,[1]Mapping!$A$3:$B$14,2,FALSE)</f>
        <v>Aug</v>
      </c>
      <c r="J509" s="84">
        <f t="shared" si="14"/>
        <v>2000122000</v>
      </c>
      <c r="K509" s="84">
        <f t="shared" si="15"/>
        <v>600024</v>
      </c>
      <c r="L509" s="61" t="str">
        <f>VLOOKUP(K509,[1]Mapping!$J$3:$Q$351,8,FALSE)</f>
        <v>Fringe Benefits</v>
      </c>
      <c r="M509" t="s">
        <v>83</v>
      </c>
    </row>
    <row r="510" spans="1:13" hidden="1" x14ac:dyDescent="0.35">
      <c r="A510">
        <v>2000122000</v>
      </c>
      <c r="B510" t="s">
        <v>109</v>
      </c>
      <c r="C510">
        <v>600045</v>
      </c>
      <c r="D510" t="s">
        <v>127</v>
      </c>
      <c r="E510" s="81">
        <v>2</v>
      </c>
      <c r="F510" t="s">
        <v>23</v>
      </c>
      <c r="G510" s="55">
        <v>73.45</v>
      </c>
      <c r="H510" s="82">
        <v>73.45</v>
      </c>
      <c r="I510" s="83" t="str">
        <f>VLOOKUP(E510,[1]Mapping!$A$3:$B$14,2,FALSE)</f>
        <v>Aug</v>
      </c>
      <c r="J510" s="84">
        <f t="shared" si="14"/>
        <v>2000122000</v>
      </c>
      <c r="K510" s="84">
        <f t="shared" si="15"/>
        <v>600045</v>
      </c>
      <c r="L510" s="61" t="str">
        <f>VLOOKUP(K510,[1]Mapping!$J$3:$Q$351,8,FALSE)</f>
        <v>Travel &amp; Entertainment</v>
      </c>
      <c r="M510" t="s">
        <v>83</v>
      </c>
    </row>
    <row r="511" spans="1:13" hidden="1" x14ac:dyDescent="0.35">
      <c r="A511">
        <v>2000122000</v>
      </c>
      <c r="B511" t="s">
        <v>109</v>
      </c>
      <c r="C511">
        <v>600020</v>
      </c>
      <c r="D511" t="s">
        <v>91</v>
      </c>
      <c r="E511" s="81">
        <v>2</v>
      </c>
      <c r="F511" t="s">
        <v>21</v>
      </c>
      <c r="G511" s="55">
        <v>25224.589999999997</v>
      </c>
      <c r="H511" s="82">
        <v>25224.589999999997</v>
      </c>
      <c r="I511" s="83" t="str">
        <f>VLOOKUP(E511,[1]Mapping!$A$3:$B$14,2,FALSE)</f>
        <v>Aug</v>
      </c>
      <c r="J511" s="84">
        <f t="shared" si="14"/>
        <v>2000122000</v>
      </c>
      <c r="K511" s="84">
        <f t="shared" si="15"/>
        <v>600020</v>
      </c>
      <c r="L511" s="61" t="str">
        <f>VLOOKUP(K511,[1]Mapping!$J$3:$Q$351,8,FALSE)</f>
        <v>Fringe Benefits</v>
      </c>
      <c r="M511" t="s">
        <v>83</v>
      </c>
    </row>
    <row r="512" spans="1:13" hidden="1" x14ac:dyDescent="0.35">
      <c r="A512">
        <v>2000122000</v>
      </c>
      <c r="B512" t="s">
        <v>109</v>
      </c>
      <c r="C512">
        <v>600055</v>
      </c>
      <c r="D512" t="s">
        <v>92</v>
      </c>
      <c r="E512" s="81">
        <v>2</v>
      </c>
      <c r="F512" t="s">
        <v>21</v>
      </c>
      <c r="G512" s="55">
        <v>2017.9599999999998</v>
      </c>
      <c r="H512" s="82">
        <v>2017.9599999999998</v>
      </c>
      <c r="I512" s="83" t="str">
        <f>VLOOKUP(E512,[1]Mapping!$A$3:$B$14,2,FALSE)</f>
        <v>Aug</v>
      </c>
      <c r="J512" s="84">
        <f t="shared" si="14"/>
        <v>2000122000</v>
      </c>
      <c r="K512" s="84">
        <f t="shared" si="15"/>
        <v>600055</v>
      </c>
      <c r="L512" s="61" t="str">
        <f>VLOOKUP(K512,[1]Mapping!$J$3:$Q$351,8,FALSE)</f>
        <v>Fringe Benefits</v>
      </c>
      <c r="M512" t="s">
        <v>83</v>
      </c>
    </row>
    <row r="513" spans="1:13" hidden="1" x14ac:dyDescent="0.35">
      <c r="A513">
        <v>2000122000</v>
      </c>
      <c r="B513" t="s">
        <v>109</v>
      </c>
      <c r="C513">
        <v>607036</v>
      </c>
      <c r="D513" t="s">
        <v>45</v>
      </c>
      <c r="E513" s="81">
        <v>2</v>
      </c>
      <c r="F513" t="s">
        <v>27</v>
      </c>
      <c r="G513" s="55">
        <v>30436</v>
      </c>
      <c r="H513" s="82">
        <v>30436</v>
      </c>
      <c r="I513" s="83" t="str">
        <f>VLOOKUP(E513,[1]Mapping!$A$3:$B$14,2,FALSE)</f>
        <v>Aug</v>
      </c>
      <c r="J513" s="84">
        <f t="shared" si="14"/>
        <v>2000122000</v>
      </c>
      <c r="K513" s="84">
        <f t="shared" si="15"/>
        <v>607036</v>
      </c>
      <c r="L513" s="61" t="str">
        <f>VLOOKUP(K513,[1]Mapping!$J$3:$Q$351,8,FALSE)</f>
        <v>Outside Services</v>
      </c>
      <c r="M513" t="s">
        <v>83</v>
      </c>
    </row>
    <row r="514" spans="1:13" hidden="1" x14ac:dyDescent="0.35">
      <c r="A514">
        <v>2000122000</v>
      </c>
      <c r="B514" t="s">
        <v>109</v>
      </c>
      <c r="C514">
        <v>600017</v>
      </c>
      <c r="D514" t="s">
        <v>95</v>
      </c>
      <c r="E514" s="81">
        <v>2</v>
      </c>
      <c r="F514" t="s">
        <v>21</v>
      </c>
      <c r="G514" s="55">
        <v>53.35</v>
      </c>
      <c r="H514" s="82">
        <v>53.35</v>
      </c>
      <c r="I514" s="83" t="str">
        <f>VLOOKUP(E514,[1]Mapping!$A$3:$B$14,2,FALSE)</f>
        <v>Aug</v>
      </c>
      <c r="J514" s="84">
        <f t="shared" si="14"/>
        <v>2000122000</v>
      </c>
      <c r="K514" s="84">
        <f t="shared" si="15"/>
        <v>600017</v>
      </c>
      <c r="L514" s="61" t="str">
        <f>VLOOKUP(K514,[1]Mapping!$J$3:$Q$351,8,FALSE)</f>
        <v>Fringe Benefits</v>
      </c>
      <c r="M514" t="s">
        <v>83</v>
      </c>
    </row>
    <row r="515" spans="1:13" hidden="1" x14ac:dyDescent="0.35">
      <c r="A515">
        <v>2000122000</v>
      </c>
      <c r="B515" t="s">
        <v>109</v>
      </c>
      <c r="C515">
        <v>600026</v>
      </c>
      <c r="D515" t="s">
        <v>93</v>
      </c>
      <c r="E515" s="81">
        <v>2</v>
      </c>
      <c r="F515" t="s">
        <v>21</v>
      </c>
      <c r="G515" s="55">
        <v>-1890</v>
      </c>
      <c r="H515" s="82">
        <v>-1890</v>
      </c>
      <c r="I515" s="83" t="str">
        <f>VLOOKUP(E515,[1]Mapping!$A$3:$B$14,2,FALSE)</f>
        <v>Aug</v>
      </c>
      <c r="J515" s="84">
        <f t="shared" si="14"/>
        <v>2000122000</v>
      </c>
      <c r="K515" s="84">
        <f t="shared" si="15"/>
        <v>600026</v>
      </c>
      <c r="L515" s="61" t="str">
        <f>VLOOKUP(K515,[1]Mapping!$J$3:$Q$351,8,FALSE)</f>
        <v>Fringe Benefits</v>
      </c>
      <c r="M515" t="s">
        <v>83</v>
      </c>
    </row>
    <row r="516" spans="1:13" hidden="1" x14ac:dyDescent="0.35">
      <c r="A516">
        <v>2000122000</v>
      </c>
      <c r="B516" t="s">
        <v>109</v>
      </c>
      <c r="C516">
        <v>600051</v>
      </c>
      <c r="D516" t="s">
        <v>157</v>
      </c>
      <c r="E516" s="81">
        <v>2</v>
      </c>
      <c r="F516" t="s">
        <v>23</v>
      </c>
      <c r="G516" s="55">
        <v>819.55</v>
      </c>
      <c r="H516" s="82">
        <v>819.55</v>
      </c>
      <c r="I516" s="83" t="str">
        <f>VLOOKUP(E516,[1]Mapping!$A$3:$B$14,2,FALSE)</f>
        <v>Aug</v>
      </c>
      <c r="J516" s="84">
        <f t="shared" si="14"/>
        <v>2000122000</v>
      </c>
      <c r="K516" s="84">
        <f t="shared" si="15"/>
        <v>600051</v>
      </c>
      <c r="L516" s="61" t="str">
        <f>VLOOKUP(K516,[1]Mapping!$J$3:$Q$351,8,FALSE)</f>
        <v>Travel &amp; Entertainment</v>
      </c>
      <c r="M516" t="s">
        <v>83</v>
      </c>
    </row>
    <row r="517" spans="1:13" hidden="1" x14ac:dyDescent="0.35">
      <c r="A517">
        <v>2000122000</v>
      </c>
      <c r="B517" t="s">
        <v>109</v>
      </c>
      <c r="C517">
        <v>600028</v>
      </c>
      <c r="D517" t="s">
        <v>115</v>
      </c>
      <c r="E517" s="81">
        <v>2</v>
      </c>
      <c r="F517" t="s">
        <v>23</v>
      </c>
      <c r="G517" s="55">
        <v>576.09999999999991</v>
      </c>
      <c r="H517" s="82">
        <v>576.09999999999991</v>
      </c>
      <c r="I517" s="83" t="str">
        <f>VLOOKUP(E517,[1]Mapping!$A$3:$B$14,2,FALSE)</f>
        <v>Aug</v>
      </c>
      <c r="J517" s="84">
        <f t="shared" si="14"/>
        <v>2000122000</v>
      </c>
      <c r="K517" s="84">
        <f t="shared" si="15"/>
        <v>600028</v>
      </c>
      <c r="L517" s="61" t="str">
        <f>VLOOKUP(K517,[1]Mapping!$J$3:$Q$351,8,FALSE)</f>
        <v>Travel &amp; Entertainment</v>
      </c>
      <c r="M517" t="s">
        <v>83</v>
      </c>
    </row>
    <row r="518" spans="1:13" hidden="1" x14ac:dyDescent="0.35">
      <c r="A518">
        <v>2000122000</v>
      </c>
      <c r="B518" t="s">
        <v>109</v>
      </c>
      <c r="C518">
        <v>607059</v>
      </c>
      <c r="D518" t="s">
        <v>116</v>
      </c>
      <c r="E518" s="81">
        <v>2</v>
      </c>
      <c r="F518" t="s">
        <v>117</v>
      </c>
      <c r="G518" s="55">
        <v>1653.67</v>
      </c>
      <c r="H518" s="82">
        <v>1653.67</v>
      </c>
      <c r="I518" s="83" t="str">
        <f>VLOOKUP(E518,[1]Mapping!$A$3:$B$14,2,FALSE)</f>
        <v>Aug</v>
      </c>
      <c r="J518" s="84">
        <f t="shared" si="14"/>
        <v>2000122000</v>
      </c>
      <c r="K518" s="84">
        <f t="shared" si="15"/>
        <v>607059</v>
      </c>
      <c r="L518" s="61" t="e">
        <f>VLOOKUP(K518,[1]Mapping!$J$3:$Q$351,8,FALSE)</f>
        <v>#N/A</v>
      </c>
      <c r="M518" t="s">
        <v>83</v>
      </c>
    </row>
    <row r="519" spans="1:13" hidden="1" x14ac:dyDescent="0.35">
      <c r="A519">
        <v>2000122000</v>
      </c>
      <c r="B519" t="s">
        <v>109</v>
      </c>
      <c r="C519">
        <v>600035</v>
      </c>
      <c r="D519" t="s">
        <v>118</v>
      </c>
      <c r="E519" s="81">
        <v>2</v>
      </c>
      <c r="F519" t="s">
        <v>29</v>
      </c>
      <c r="G519" s="55">
        <v>500</v>
      </c>
      <c r="H519" s="82">
        <v>500</v>
      </c>
      <c r="I519" s="83" t="str">
        <f>VLOOKUP(E519,[1]Mapping!$A$3:$B$14,2,FALSE)</f>
        <v>Aug</v>
      </c>
      <c r="J519" s="84">
        <f t="shared" si="14"/>
        <v>2000122000</v>
      </c>
      <c r="K519" s="84">
        <f t="shared" si="15"/>
        <v>600035</v>
      </c>
      <c r="L519" s="61" t="str">
        <f>VLOOKUP(K519,[1]Mapping!$J$3:$Q$351,8,FALSE)</f>
        <v>Other</v>
      </c>
      <c r="M519" t="s">
        <v>83</v>
      </c>
    </row>
    <row r="520" spans="1:13" hidden="1" x14ac:dyDescent="0.35">
      <c r="A520">
        <v>2000122000</v>
      </c>
      <c r="B520" t="s">
        <v>109</v>
      </c>
      <c r="C520">
        <v>501611</v>
      </c>
      <c r="D520" t="s">
        <v>192</v>
      </c>
      <c r="E520" s="81">
        <v>2</v>
      </c>
      <c r="F520" t="s">
        <v>24</v>
      </c>
      <c r="G520" s="55">
        <v>45.9</v>
      </c>
      <c r="H520" s="82">
        <v>45.9</v>
      </c>
      <c r="I520" s="83" t="str">
        <f>VLOOKUP(E520,[1]Mapping!$A$3:$B$14,2,FALSE)</f>
        <v>Aug</v>
      </c>
      <c r="J520" s="84">
        <f t="shared" si="14"/>
        <v>2000122000</v>
      </c>
      <c r="K520" s="84">
        <f t="shared" si="15"/>
        <v>501611</v>
      </c>
      <c r="L520" s="61" t="str">
        <f>VLOOKUP(K520,[1]Mapping!$J$3:$Q$351,8,FALSE)</f>
        <v>Supplies Expenses</v>
      </c>
      <c r="M520" t="s">
        <v>83</v>
      </c>
    </row>
    <row r="521" spans="1:13" hidden="1" x14ac:dyDescent="0.35">
      <c r="A521">
        <v>2000122000</v>
      </c>
      <c r="B521" t="s">
        <v>109</v>
      </c>
      <c r="C521">
        <v>607002</v>
      </c>
      <c r="D521" t="s">
        <v>193</v>
      </c>
      <c r="E521" s="81">
        <v>2</v>
      </c>
      <c r="F521" t="s">
        <v>29</v>
      </c>
      <c r="G521" s="55">
        <v>5000</v>
      </c>
      <c r="H521" s="82">
        <v>5000</v>
      </c>
      <c r="I521" s="83" t="str">
        <f>VLOOKUP(E521,[1]Mapping!$A$3:$B$14,2,FALSE)</f>
        <v>Aug</v>
      </c>
      <c r="J521" s="84">
        <f t="shared" si="14"/>
        <v>2000122000</v>
      </c>
      <c r="K521" s="84">
        <f t="shared" si="15"/>
        <v>607002</v>
      </c>
      <c r="L521" s="61" t="str">
        <f>VLOOKUP(K521,[1]Mapping!$J$3:$Q$351,8,FALSE)</f>
        <v>Other</v>
      </c>
      <c r="M521" t="s">
        <v>83</v>
      </c>
    </row>
    <row r="522" spans="1:13" hidden="1" x14ac:dyDescent="0.35">
      <c r="A522">
        <v>2000134001</v>
      </c>
      <c r="B522" t="s">
        <v>119</v>
      </c>
      <c r="C522">
        <v>607036</v>
      </c>
      <c r="D522" t="s">
        <v>45</v>
      </c>
      <c r="E522" s="81">
        <v>2</v>
      </c>
      <c r="F522" t="s">
        <v>27</v>
      </c>
      <c r="G522" s="55">
        <v>-10000</v>
      </c>
      <c r="H522" s="82">
        <v>-10000</v>
      </c>
      <c r="I522" s="83" t="str">
        <f>VLOOKUP(E522,[1]Mapping!$A$3:$B$14,2,FALSE)</f>
        <v>Aug</v>
      </c>
      <c r="J522" s="84">
        <f t="shared" si="14"/>
        <v>2000134001</v>
      </c>
      <c r="K522" s="84">
        <f t="shared" si="15"/>
        <v>607036</v>
      </c>
      <c r="L522" s="61" t="str">
        <f>VLOOKUP(K522,[1]Mapping!$J$3:$Q$351,8,FALSE)</f>
        <v>Outside Services</v>
      </c>
      <c r="M522" t="s">
        <v>83</v>
      </c>
    </row>
    <row r="523" spans="1:13" hidden="1" x14ac:dyDescent="0.35">
      <c r="A523">
        <v>1000110074</v>
      </c>
      <c r="B523" t="s">
        <v>120</v>
      </c>
      <c r="C523">
        <v>501050</v>
      </c>
      <c r="D523" t="s">
        <v>39</v>
      </c>
      <c r="E523" s="81">
        <v>2</v>
      </c>
      <c r="F523" t="s">
        <v>19</v>
      </c>
      <c r="G523" s="55">
        <v>86997.99</v>
      </c>
      <c r="H523" s="82">
        <v>86997.99</v>
      </c>
      <c r="I523" s="83" t="str">
        <f>VLOOKUP(E523,[1]Mapping!$A$3:$B$14,2,FALSE)</f>
        <v>Aug</v>
      </c>
      <c r="J523" s="84">
        <f t="shared" ref="J523:J586" si="16">VALUE(A523)</f>
        <v>1000110074</v>
      </c>
      <c r="K523" s="84">
        <f t="shared" ref="K523:K586" si="17">VALUE(C523)</f>
        <v>501050</v>
      </c>
      <c r="L523" s="61" t="str">
        <f>VLOOKUP(K523,[1]Mapping!$J$3:$Q$351,8,FALSE)</f>
        <v>Wages &amp; Salaries</v>
      </c>
      <c r="M523" t="s">
        <v>83</v>
      </c>
    </row>
    <row r="524" spans="1:13" hidden="1" x14ac:dyDescent="0.35">
      <c r="A524">
        <v>1000110074</v>
      </c>
      <c r="B524" t="s">
        <v>120</v>
      </c>
      <c r="C524">
        <v>501051</v>
      </c>
      <c r="D524" t="s">
        <v>121</v>
      </c>
      <c r="E524" s="81">
        <v>2</v>
      </c>
      <c r="F524" t="s">
        <v>19</v>
      </c>
      <c r="G524" s="55">
        <v>8887.1500000000015</v>
      </c>
      <c r="H524" s="82">
        <v>8887.1500000000015</v>
      </c>
      <c r="I524" s="83" t="str">
        <f>VLOOKUP(E524,[1]Mapping!$A$3:$B$14,2,FALSE)</f>
        <v>Aug</v>
      </c>
      <c r="J524" s="84">
        <f t="shared" si="16"/>
        <v>1000110074</v>
      </c>
      <c r="K524" s="84">
        <f t="shared" si="17"/>
        <v>501051</v>
      </c>
      <c r="L524" s="61" t="str">
        <f>VLOOKUP(K524,[1]Mapping!$J$3:$Q$351,8,FALSE)</f>
        <v>Wages &amp; Salaries</v>
      </c>
      <c r="M524" t="s">
        <v>83</v>
      </c>
    </row>
    <row r="525" spans="1:13" hidden="1" x14ac:dyDescent="0.35">
      <c r="A525">
        <v>1000110074</v>
      </c>
      <c r="B525" t="s">
        <v>120</v>
      </c>
      <c r="C525">
        <v>501058</v>
      </c>
      <c r="D525" t="s">
        <v>122</v>
      </c>
      <c r="E525" s="81">
        <v>2</v>
      </c>
      <c r="F525" t="s">
        <v>21</v>
      </c>
      <c r="G525" s="55">
        <v>7552.5499999999993</v>
      </c>
      <c r="H525" s="82">
        <v>7552.5499999999993</v>
      </c>
      <c r="I525" s="83" t="str">
        <f>VLOOKUP(E525,[1]Mapping!$A$3:$B$14,2,FALSE)</f>
        <v>Aug</v>
      </c>
      <c r="J525" s="84">
        <f t="shared" si="16"/>
        <v>1000110074</v>
      </c>
      <c r="K525" s="84">
        <f t="shared" si="17"/>
        <v>501058</v>
      </c>
      <c r="L525" s="61" t="str">
        <f>VLOOKUP(K525,[1]Mapping!$J$3:$Q$351,8,FALSE)</f>
        <v>Fringe Benefits</v>
      </c>
      <c r="M525" t="s">
        <v>83</v>
      </c>
    </row>
    <row r="526" spans="1:13" hidden="1" x14ac:dyDescent="0.35">
      <c r="A526">
        <v>1000110074</v>
      </c>
      <c r="B526" t="s">
        <v>120</v>
      </c>
      <c r="C526">
        <v>501062</v>
      </c>
      <c r="D526" t="s">
        <v>41</v>
      </c>
      <c r="E526" s="81">
        <v>2</v>
      </c>
      <c r="F526" t="s">
        <v>21</v>
      </c>
      <c r="G526" s="55">
        <v>167.86</v>
      </c>
      <c r="H526" s="82">
        <v>167.86</v>
      </c>
      <c r="I526" s="83" t="str">
        <f>VLOOKUP(E526,[1]Mapping!$A$3:$B$14,2,FALSE)</f>
        <v>Aug</v>
      </c>
      <c r="J526" s="84">
        <f t="shared" si="16"/>
        <v>1000110074</v>
      </c>
      <c r="K526" s="84">
        <f t="shared" si="17"/>
        <v>501062</v>
      </c>
      <c r="L526" s="61" t="str">
        <f>VLOOKUP(K526,[1]Mapping!$J$3:$Q$351,8,FALSE)</f>
        <v>Fringe Benefits</v>
      </c>
      <c r="M526" t="s">
        <v>83</v>
      </c>
    </row>
    <row r="527" spans="1:13" hidden="1" x14ac:dyDescent="0.35">
      <c r="A527">
        <v>1000110074</v>
      </c>
      <c r="B527" t="s">
        <v>120</v>
      </c>
      <c r="C527">
        <v>501063</v>
      </c>
      <c r="D527" t="s">
        <v>123</v>
      </c>
      <c r="E527" s="81">
        <v>2</v>
      </c>
      <c r="F527" t="s">
        <v>21</v>
      </c>
      <c r="G527" s="55">
        <v>8265.9599999999991</v>
      </c>
      <c r="H527" s="82">
        <v>8265.9599999999991</v>
      </c>
      <c r="I527" s="83" t="str">
        <f>VLOOKUP(E527,[1]Mapping!$A$3:$B$14,2,FALSE)</f>
        <v>Aug</v>
      </c>
      <c r="J527" s="84">
        <f t="shared" si="16"/>
        <v>1000110074</v>
      </c>
      <c r="K527" s="84">
        <f t="shared" si="17"/>
        <v>501063</v>
      </c>
      <c r="L527" s="61" t="str">
        <f>VLOOKUP(K527,[1]Mapping!$J$3:$Q$351,8,FALSE)</f>
        <v>Fringe Benefits</v>
      </c>
      <c r="M527" t="s">
        <v>83</v>
      </c>
    </row>
    <row r="528" spans="1:13" hidden="1" x14ac:dyDescent="0.35">
      <c r="A528">
        <v>1000110074</v>
      </c>
      <c r="B528" t="s">
        <v>120</v>
      </c>
      <c r="C528">
        <v>501065</v>
      </c>
      <c r="D528" t="s">
        <v>124</v>
      </c>
      <c r="E528" s="81">
        <v>2</v>
      </c>
      <c r="F528" t="s">
        <v>21</v>
      </c>
      <c r="G528" s="55">
        <v>224.96</v>
      </c>
      <c r="H528" s="82">
        <v>224.96</v>
      </c>
      <c r="I528" s="83" t="str">
        <f>VLOOKUP(E528,[1]Mapping!$A$3:$B$14,2,FALSE)</f>
        <v>Aug</v>
      </c>
      <c r="J528" s="84">
        <f t="shared" si="16"/>
        <v>1000110074</v>
      </c>
      <c r="K528" s="84">
        <f t="shared" si="17"/>
        <v>501065</v>
      </c>
      <c r="L528" s="61" t="str">
        <f>VLOOKUP(K528,[1]Mapping!$J$3:$Q$351,8,FALSE)</f>
        <v>Fringe Benefits</v>
      </c>
      <c r="M528" t="s">
        <v>83</v>
      </c>
    </row>
    <row r="529" spans="1:13" hidden="1" x14ac:dyDescent="0.35">
      <c r="A529">
        <v>1000110074</v>
      </c>
      <c r="B529" t="s">
        <v>120</v>
      </c>
      <c r="C529">
        <v>501069</v>
      </c>
      <c r="D529" t="s">
        <v>125</v>
      </c>
      <c r="E529" s="81">
        <v>2</v>
      </c>
      <c r="F529" t="s">
        <v>21</v>
      </c>
      <c r="G529" s="55">
        <v>4363.07</v>
      </c>
      <c r="H529" s="82">
        <v>4363.07</v>
      </c>
      <c r="I529" s="83" t="str">
        <f>VLOOKUP(E529,[1]Mapping!$A$3:$B$14,2,FALSE)</f>
        <v>Aug</v>
      </c>
      <c r="J529" s="84">
        <f t="shared" si="16"/>
        <v>1000110074</v>
      </c>
      <c r="K529" s="84">
        <f t="shared" si="17"/>
        <v>501069</v>
      </c>
      <c r="L529" s="61" t="str">
        <f>VLOOKUP(K529,[1]Mapping!$J$3:$Q$351,8,FALSE)</f>
        <v>Fringe Benefits</v>
      </c>
      <c r="M529" t="s">
        <v>83</v>
      </c>
    </row>
    <row r="530" spans="1:13" hidden="1" x14ac:dyDescent="0.35">
      <c r="A530">
        <v>1000110074</v>
      </c>
      <c r="B530" t="s">
        <v>120</v>
      </c>
      <c r="C530">
        <v>501710</v>
      </c>
      <c r="D530" t="s">
        <v>45</v>
      </c>
      <c r="E530" s="81">
        <v>2</v>
      </c>
      <c r="F530" t="s">
        <v>27</v>
      </c>
      <c r="G530" s="55">
        <v>183.54</v>
      </c>
      <c r="H530" s="82">
        <v>183.54</v>
      </c>
      <c r="I530" s="83" t="str">
        <f>VLOOKUP(E530,[1]Mapping!$A$3:$B$14,2,FALSE)</f>
        <v>Aug</v>
      </c>
      <c r="J530" s="84">
        <f t="shared" si="16"/>
        <v>1000110074</v>
      </c>
      <c r="K530" s="84">
        <f t="shared" si="17"/>
        <v>501710</v>
      </c>
      <c r="L530" s="61" t="str">
        <f>VLOOKUP(K530,[1]Mapping!$J$3:$Q$351,8,FALSE)</f>
        <v>Outside Services</v>
      </c>
      <c r="M530" t="s">
        <v>83</v>
      </c>
    </row>
    <row r="531" spans="1:13" hidden="1" x14ac:dyDescent="0.35">
      <c r="A531">
        <v>1000110074</v>
      </c>
      <c r="B531" t="s">
        <v>120</v>
      </c>
      <c r="C531">
        <v>501712</v>
      </c>
      <c r="D531" t="s">
        <v>100</v>
      </c>
      <c r="E531" s="81">
        <v>2</v>
      </c>
      <c r="F531" t="s">
        <v>27</v>
      </c>
      <c r="G531" s="55">
        <v>25.2</v>
      </c>
      <c r="H531" s="82">
        <v>25.2</v>
      </c>
      <c r="I531" s="83" t="str">
        <f>VLOOKUP(E531,[1]Mapping!$A$3:$B$14,2,FALSE)</f>
        <v>Aug</v>
      </c>
      <c r="J531" s="84">
        <f t="shared" si="16"/>
        <v>1000110074</v>
      </c>
      <c r="K531" s="84">
        <f t="shared" si="17"/>
        <v>501712</v>
      </c>
      <c r="L531" s="61" t="str">
        <f>VLOOKUP(K531,[1]Mapping!$J$3:$Q$351,8,FALSE)</f>
        <v>Outside Services</v>
      </c>
      <c r="M531" t="s">
        <v>83</v>
      </c>
    </row>
    <row r="532" spans="1:13" hidden="1" x14ac:dyDescent="0.35">
      <c r="A532">
        <v>1000110074</v>
      </c>
      <c r="B532" t="s">
        <v>120</v>
      </c>
      <c r="C532">
        <v>501609</v>
      </c>
      <c r="D532" t="s">
        <v>47</v>
      </c>
      <c r="E532" s="81">
        <v>2</v>
      </c>
      <c r="F532" t="s">
        <v>24</v>
      </c>
      <c r="G532" s="55">
        <v>10538.4</v>
      </c>
      <c r="H532" s="82">
        <v>10538.4</v>
      </c>
      <c r="I532" s="83" t="str">
        <f>VLOOKUP(E532,[1]Mapping!$A$3:$B$14,2,FALSE)</f>
        <v>Aug</v>
      </c>
      <c r="J532" s="84">
        <f t="shared" si="16"/>
        <v>1000110074</v>
      </c>
      <c r="K532" s="84">
        <f t="shared" si="17"/>
        <v>501609</v>
      </c>
      <c r="L532" s="61" t="str">
        <f>VLOOKUP(K532,[1]Mapping!$J$3:$Q$351,8,FALSE)</f>
        <v>Supplies Expenses</v>
      </c>
      <c r="M532" t="s">
        <v>83</v>
      </c>
    </row>
    <row r="533" spans="1:13" hidden="1" x14ac:dyDescent="0.35">
      <c r="A533">
        <v>1000110074</v>
      </c>
      <c r="B533" t="s">
        <v>120</v>
      </c>
      <c r="C533">
        <v>501053</v>
      </c>
      <c r="D533" t="s">
        <v>40</v>
      </c>
      <c r="E533" s="81">
        <v>2</v>
      </c>
      <c r="F533" t="s">
        <v>20</v>
      </c>
      <c r="G533" s="55">
        <v>10985.979999999998</v>
      </c>
      <c r="H533" s="82">
        <v>10985.979999999998</v>
      </c>
      <c r="I533" s="83" t="str">
        <f>VLOOKUP(E533,[1]Mapping!$A$3:$B$14,2,FALSE)</f>
        <v>Aug</v>
      </c>
      <c r="J533" s="84">
        <f t="shared" si="16"/>
        <v>1000110074</v>
      </c>
      <c r="K533" s="84">
        <f t="shared" si="17"/>
        <v>501053</v>
      </c>
      <c r="L533" s="61" t="str">
        <f>VLOOKUP(K533,[1]Mapping!$J$3:$Q$351,8,FALSE)</f>
        <v>Overtime</v>
      </c>
      <c r="M533" t="s">
        <v>83</v>
      </c>
    </row>
    <row r="534" spans="1:13" hidden="1" x14ac:dyDescent="0.35">
      <c r="A534">
        <v>1000110074</v>
      </c>
      <c r="B534" t="s">
        <v>120</v>
      </c>
      <c r="C534">
        <v>501059</v>
      </c>
      <c r="D534" t="s">
        <v>138</v>
      </c>
      <c r="E534" s="81">
        <v>2</v>
      </c>
      <c r="F534" t="s">
        <v>21</v>
      </c>
      <c r="G534" s="55">
        <v>25</v>
      </c>
      <c r="H534" s="82">
        <v>25</v>
      </c>
      <c r="I534" s="83" t="str">
        <f>VLOOKUP(E534,[1]Mapping!$A$3:$B$14,2,FALSE)</f>
        <v>Aug</v>
      </c>
      <c r="J534" s="84">
        <f t="shared" si="16"/>
        <v>1000110074</v>
      </c>
      <c r="K534" s="84">
        <f t="shared" si="17"/>
        <v>501059</v>
      </c>
      <c r="L534" s="61" t="str">
        <f>VLOOKUP(K534,[1]Mapping!$J$3:$Q$351,8,FALSE)</f>
        <v>Fringe Benefits</v>
      </c>
      <c r="M534" t="s">
        <v>83</v>
      </c>
    </row>
    <row r="535" spans="1:13" hidden="1" x14ac:dyDescent="0.35">
      <c r="A535">
        <v>1000110074</v>
      </c>
      <c r="B535" t="s">
        <v>120</v>
      </c>
      <c r="C535">
        <v>607130</v>
      </c>
      <c r="D535" t="s">
        <v>155</v>
      </c>
      <c r="E535" s="81">
        <v>2</v>
      </c>
      <c r="F535" t="s">
        <v>29</v>
      </c>
      <c r="G535" s="55">
        <v>5.5067062021407764E-14</v>
      </c>
      <c r="H535" s="82">
        <v>5.5067062021407764E-14</v>
      </c>
      <c r="I535" s="83" t="str">
        <f>VLOOKUP(E535,[1]Mapping!$A$3:$B$14,2,FALSE)</f>
        <v>Aug</v>
      </c>
      <c r="J535" s="84">
        <f t="shared" si="16"/>
        <v>1000110074</v>
      </c>
      <c r="K535" s="84">
        <f t="shared" si="17"/>
        <v>607130</v>
      </c>
      <c r="L535" s="61" t="str">
        <f>VLOOKUP(K535,[1]Mapping!$J$3:$Q$351,8,FALSE)</f>
        <v>Other</v>
      </c>
      <c r="M535" t="s">
        <v>83</v>
      </c>
    </row>
    <row r="536" spans="1:13" hidden="1" x14ac:dyDescent="0.35">
      <c r="A536">
        <v>1000110074</v>
      </c>
      <c r="B536" t="s">
        <v>120</v>
      </c>
      <c r="C536">
        <v>501072</v>
      </c>
      <c r="D536" t="s">
        <v>128</v>
      </c>
      <c r="E536" s="81">
        <v>2</v>
      </c>
      <c r="F536" t="s">
        <v>21</v>
      </c>
      <c r="G536" s="55">
        <v>5926.16</v>
      </c>
      <c r="H536" s="82">
        <v>5926.16</v>
      </c>
      <c r="I536" s="83" t="str">
        <f>VLOOKUP(E536,[1]Mapping!$A$3:$B$14,2,FALSE)</f>
        <v>Aug</v>
      </c>
      <c r="J536" s="84">
        <f t="shared" si="16"/>
        <v>1000110074</v>
      </c>
      <c r="K536" s="84">
        <f t="shared" si="17"/>
        <v>501072</v>
      </c>
      <c r="L536" s="61" t="str">
        <f>VLOOKUP(K536,[1]Mapping!$J$3:$Q$351,8,FALSE)</f>
        <v>Fringe Benefits</v>
      </c>
      <c r="M536" t="s">
        <v>83</v>
      </c>
    </row>
    <row r="537" spans="1:13" hidden="1" x14ac:dyDescent="0.35">
      <c r="A537">
        <v>1000110074</v>
      </c>
      <c r="B537" t="s">
        <v>120</v>
      </c>
      <c r="C537">
        <v>501073</v>
      </c>
      <c r="D537" t="s">
        <v>129</v>
      </c>
      <c r="E537" s="81">
        <v>2</v>
      </c>
      <c r="F537" t="s">
        <v>21</v>
      </c>
      <c r="G537" s="55">
        <v>474.10000000000008</v>
      </c>
      <c r="H537" s="82">
        <v>474.10000000000008</v>
      </c>
      <c r="I537" s="83" t="str">
        <f>VLOOKUP(E537,[1]Mapping!$A$3:$B$14,2,FALSE)</f>
        <v>Aug</v>
      </c>
      <c r="J537" s="84">
        <f t="shared" si="16"/>
        <v>1000110074</v>
      </c>
      <c r="K537" s="84">
        <f t="shared" si="17"/>
        <v>501073</v>
      </c>
      <c r="L537" s="61" t="str">
        <f>VLOOKUP(K537,[1]Mapping!$J$3:$Q$351,8,FALSE)</f>
        <v>Fringe Benefits</v>
      </c>
      <c r="M537" t="s">
        <v>83</v>
      </c>
    </row>
    <row r="538" spans="1:13" hidden="1" x14ac:dyDescent="0.35">
      <c r="A538">
        <v>1000110074</v>
      </c>
      <c r="B538" t="s">
        <v>120</v>
      </c>
      <c r="C538">
        <v>607091</v>
      </c>
      <c r="D538" t="s">
        <v>156</v>
      </c>
      <c r="E538" s="81">
        <v>2</v>
      </c>
      <c r="F538" t="s">
        <v>28</v>
      </c>
      <c r="G538" s="55">
        <v>0</v>
      </c>
      <c r="H538" s="82">
        <v>0</v>
      </c>
      <c r="I538" s="83" t="str">
        <f>VLOOKUP(E538,[1]Mapping!$A$3:$B$14,2,FALSE)</f>
        <v>Aug</v>
      </c>
      <c r="J538" s="84">
        <f t="shared" si="16"/>
        <v>1000110074</v>
      </c>
      <c r="K538" s="84">
        <f t="shared" si="17"/>
        <v>607091</v>
      </c>
      <c r="L538" s="61" t="str">
        <f>VLOOKUP(K538,[1]Mapping!$J$3:$Q$351,8,FALSE)</f>
        <v>Inbound Freight</v>
      </c>
      <c r="M538" t="s">
        <v>83</v>
      </c>
    </row>
    <row r="539" spans="1:13" hidden="1" x14ac:dyDescent="0.35">
      <c r="A539">
        <v>1000110074</v>
      </c>
      <c r="B539" t="s">
        <v>120</v>
      </c>
      <c r="C539">
        <v>508004</v>
      </c>
      <c r="D539" t="s">
        <v>130</v>
      </c>
      <c r="E539" s="81">
        <v>2</v>
      </c>
      <c r="F539" t="s">
        <v>31</v>
      </c>
      <c r="G539" s="55">
        <v>698.31</v>
      </c>
      <c r="H539" s="82">
        <v>698.31</v>
      </c>
      <c r="I539" s="83" t="str">
        <f>VLOOKUP(E539,[1]Mapping!$A$3:$B$14,2,FALSE)</f>
        <v>Aug</v>
      </c>
      <c r="J539" s="84">
        <f t="shared" si="16"/>
        <v>1000110074</v>
      </c>
      <c r="K539" s="84">
        <f t="shared" si="17"/>
        <v>508004</v>
      </c>
      <c r="L539" s="61" t="str">
        <f>VLOOKUP(K539,[1]Mapping!$J$3:$Q$351,8,FALSE)</f>
        <v>Depreciation</v>
      </c>
      <c r="M539" t="s">
        <v>83</v>
      </c>
    </row>
    <row r="540" spans="1:13" hidden="1" x14ac:dyDescent="0.35">
      <c r="A540">
        <v>1000110074</v>
      </c>
      <c r="B540" t="s">
        <v>120</v>
      </c>
      <c r="C540">
        <v>501220</v>
      </c>
      <c r="D540" t="s">
        <v>131</v>
      </c>
      <c r="E540" s="81">
        <v>2</v>
      </c>
      <c r="F540" t="s">
        <v>24</v>
      </c>
      <c r="G540" s="55">
        <v>7217.92</v>
      </c>
      <c r="H540" s="82">
        <v>7217.92</v>
      </c>
      <c r="I540" s="83" t="str">
        <f>VLOOKUP(E540,[1]Mapping!$A$3:$B$14,2,FALSE)</f>
        <v>Aug</v>
      </c>
      <c r="J540" s="84">
        <f t="shared" si="16"/>
        <v>1000110074</v>
      </c>
      <c r="K540" s="84">
        <f t="shared" si="17"/>
        <v>501220</v>
      </c>
      <c r="L540" s="61" t="str">
        <f>VLOOKUP(K540,[1]Mapping!$J$3:$Q$351,8,FALSE)</f>
        <v>Supplies Expenses</v>
      </c>
      <c r="M540" t="s">
        <v>83</v>
      </c>
    </row>
    <row r="541" spans="1:13" hidden="1" x14ac:dyDescent="0.35">
      <c r="A541">
        <v>1000110074</v>
      </c>
      <c r="B541" t="s">
        <v>120</v>
      </c>
      <c r="C541">
        <v>501055</v>
      </c>
      <c r="D541" t="s">
        <v>132</v>
      </c>
      <c r="E541" s="81">
        <v>2</v>
      </c>
      <c r="F541" t="s">
        <v>19</v>
      </c>
      <c r="G541" s="55">
        <v>802.06999999999994</v>
      </c>
      <c r="H541" s="82">
        <v>802.06999999999994</v>
      </c>
      <c r="I541" s="83" t="str">
        <f>VLOOKUP(E541,[1]Mapping!$A$3:$B$14,2,FALSE)</f>
        <v>Aug</v>
      </c>
      <c r="J541" s="84">
        <f t="shared" si="16"/>
        <v>1000110074</v>
      </c>
      <c r="K541" s="84">
        <f t="shared" si="17"/>
        <v>501055</v>
      </c>
      <c r="L541" s="61" t="str">
        <f>VLOOKUP(K541,[1]Mapping!$J$3:$Q$351,8,FALSE)</f>
        <v>Wages &amp; Salaries</v>
      </c>
      <c r="M541" t="s">
        <v>83</v>
      </c>
    </row>
    <row r="542" spans="1:13" hidden="1" x14ac:dyDescent="0.35">
      <c r="A542">
        <v>1000110074</v>
      </c>
      <c r="B542" t="s">
        <v>120</v>
      </c>
      <c r="C542">
        <v>501714</v>
      </c>
      <c r="D542" t="s">
        <v>134</v>
      </c>
      <c r="E542" s="81">
        <v>2</v>
      </c>
      <c r="F542" t="s">
        <v>24</v>
      </c>
      <c r="G542" s="55">
        <v>3608.1</v>
      </c>
      <c r="H542" s="82">
        <v>3608.1</v>
      </c>
      <c r="I542" s="83" t="str">
        <f>VLOOKUP(E542,[1]Mapping!$A$3:$B$14,2,FALSE)</f>
        <v>Aug</v>
      </c>
      <c r="J542" s="84">
        <f t="shared" si="16"/>
        <v>1000110074</v>
      </c>
      <c r="K542" s="84">
        <f t="shared" si="17"/>
        <v>501714</v>
      </c>
      <c r="L542" s="61" t="str">
        <f>VLOOKUP(K542,[1]Mapping!$J$3:$Q$351,8,FALSE)</f>
        <v>Supplies Expenses</v>
      </c>
      <c r="M542" t="s">
        <v>83</v>
      </c>
    </row>
    <row r="543" spans="1:13" hidden="1" x14ac:dyDescent="0.35">
      <c r="A543">
        <v>1000110074</v>
      </c>
      <c r="B543" t="s">
        <v>120</v>
      </c>
      <c r="C543">
        <v>501056</v>
      </c>
      <c r="D543" t="s">
        <v>160</v>
      </c>
      <c r="E543" s="81">
        <v>2</v>
      </c>
      <c r="F543" t="s">
        <v>19</v>
      </c>
      <c r="G543" s="55">
        <v>284.86</v>
      </c>
      <c r="H543" s="82">
        <v>284.86</v>
      </c>
      <c r="I543" s="83" t="str">
        <f>VLOOKUP(E543,[1]Mapping!$A$3:$B$14,2,FALSE)</f>
        <v>Aug</v>
      </c>
      <c r="J543" s="84">
        <f t="shared" si="16"/>
        <v>1000110074</v>
      </c>
      <c r="K543" s="84">
        <f t="shared" si="17"/>
        <v>501056</v>
      </c>
      <c r="L543" s="61" t="str">
        <f>VLOOKUP(K543,[1]Mapping!$J$3:$Q$351,8,FALSE)</f>
        <v>Wages &amp; Salaries</v>
      </c>
      <c r="M543" t="s">
        <v>83</v>
      </c>
    </row>
    <row r="544" spans="1:13" hidden="1" x14ac:dyDescent="0.35">
      <c r="A544">
        <v>1000110074</v>
      </c>
      <c r="B544" t="s">
        <v>120</v>
      </c>
      <c r="C544">
        <v>501057</v>
      </c>
      <c r="D544" t="s">
        <v>161</v>
      </c>
      <c r="E544" s="81">
        <v>2</v>
      </c>
      <c r="F544" t="s">
        <v>21</v>
      </c>
      <c r="G544" s="55">
        <v>39.76</v>
      </c>
      <c r="H544" s="82">
        <v>39.76</v>
      </c>
      <c r="I544" s="83" t="str">
        <f>VLOOKUP(E544,[1]Mapping!$A$3:$B$14,2,FALSE)</f>
        <v>Aug</v>
      </c>
      <c r="J544" s="84">
        <f t="shared" si="16"/>
        <v>1000110074</v>
      </c>
      <c r="K544" s="84">
        <f t="shared" si="17"/>
        <v>501057</v>
      </c>
      <c r="L544" s="61" t="str">
        <f>VLOOKUP(K544,[1]Mapping!$J$3:$Q$351,8,FALSE)</f>
        <v>Fringe Benefits</v>
      </c>
      <c r="M544" t="s">
        <v>83</v>
      </c>
    </row>
    <row r="545" spans="1:13" hidden="1" x14ac:dyDescent="0.35">
      <c r="A545">
        <v>1000110074</v>
      </c>
      <c r="B545" t="s">
        <v>120</v>
      </c>
      <c r="C545">
        <v>501070</v>
      </c>
      <c r="D545" t="s">
        <v>135</v>
      </c>
      <c r="E545" s="81">
        <v>2</v>
      </c>
      <c r="F545" t="s">
        <v>21</v>
      </c>
      <c r="G545" s="55">
        <v>-4620</v>
      </c>
      <c r="H545" s="82">
        <v>-4620</v>
      </c>
      <c r="I545" s="83" t="str">
        <f>VLOOKUP(E545,[1]Mapping!$A$3:$B$14,2,FALSE)</f>
        <v>Aug</v>
      </c>
      <c r="J545" s="84">
        <f t="shared" si="16"/>
        <v>1000110074</v>
      </c>
      <c r="K545" s="84">
        <f t="shared" si="17"/>
        <v>501070</v>
      </c>
      <c r="L545" s="61" t="str">
        <f>VLOOKUP(K545,[1]Mapping!$J$3:$Q$351,8,FALSE)</f>
        <v>Fringe Benefits</v>
      </c>
      <c r="M545" t="s">
        <v>83</v>
      </c>
    </row>
    <row r="546" spans="1:13" hidden="1" x14ac:dyDescent="0.35">
      <c r="A546">
        <v>1000110074</v>
      </c>
      <c r="B546" t="s">
        <v>120</v>
      </c>
      <c r="C546">
        <v>501720</v>
      </c>
      <c r="D546" t="s">
        <v>194</v>
      </c>
      <c r="E546" s="81">
        <v>2</v>
      </c>
      <c r="F546" t="s">
        <v>29</v>
      </c>
      <c r="G546" s="55">
        <v>1115.97</v>
      </c>
      <c r="H546" s="82">
        <v>1115.97</v>
      </c>
      <c r="I546" s="83" t="str">
        <f>VLOOKUP(E546,[1]Mapping!$A$3:$B$14,2,FALSE)</f>
        <v>Aug</v>
      </c>
      <c r="J546" s="84">
        <f t="shared" si="16"/>
        <v>1000110074</v>
      </c>
      <c r="K546" s="84">
        <f t="shared" si="17"/>
        <v>501720</v>
      </c>
      <c r="L546" s="61" t="str">
        <f>VLOOKUP(K546,[1]Mapping!$J$3:$Q$351,8,FALSE)</f>
        <v>Other</v>
      </c>
      <c r="M546" t="s">
        <v>83</v>
      </c>
    </row>
    <row r="547" spans="1:13" hidden="1" x14ac:dyDescent="0.35">
      <c r="A547">
        <v>1000110074</v>
      </c>
      <c r="B547" t="s">
        <v>120</v>
      </c>
      <c r="C547">
        <v>500601</v>
      </c>
      <c r="D547" t="s">
        <v>195</v>
      </c>
      <c r="E547" s="81">
        <v>2</v>
      </c>
      <c r="F547" t="s">
        <v>54</v>
      </c>
      <c r="G547" s="55">
        <v>-49.08</v>
      </c>
      <c r="H547" s="82">
        <v>-49.08</v>
      </c>
      <c r="I547" s="83" t="str">
        <f>VLOOKUP(E547,[1]Mapping!$A$3:$B$14,2,FALSE)</f>
        <v>Aug</v>
      </c>
      <c r="J547" s="84">
        <f t="shared" si="16"/>
        <v>1000110074</v>
      </c>
      <c r="K547" s="84">
        <f t="shared" si="17"/>
        <v>500601</v>
      </c>
      <c r="L547" s="61" t="str">
        <f>VLOOKUP(K547,[1]Mapping!$J$3:$Q$351,8,FALSE)</f>
        <v>PPV</v>
      </c>
      <c r="M547" t="s">
        <v>83</v>
      </c>
    </row>
    <row r="548" spans="1:13" hidden="1" x14ac:dyDescent="0.35">
      <c r="A548">
        <v>1000110074</v>
      </c>
      <c r="B548" t="s">
        <v>120</v>
      </c>
      <c r="C548">
        <v>501652</v>
      </c>
      <c r="D548" t="s">
        <v>156</v>
      </c>
      <c r="E548" s="81">
        <v>2</v>
      </c>
      <c r="F548" t="s">
        <v>28</v>
      </c>
      <c r="G548" s="55">
        <v>142.82</v>
      </c>
      <c r="H548" s="82">
        <v>142.82</v>
      </c>
      <c r="I548" s="83" t="str">
        <f>VLOOKUP(E548,[1]Mapping!$A$3:$B$14,2,FALSE)</f>
        <v>Aug</v>
      </c>
      <c r="J548" s="84">
        <f t="shared" si="16"/>
        <v>1000110074</v>
      </c>
      <c r="K548" s="84">
        <f t="shared" si="17"/>
        <v>501652</v>
      </c>
      <c r="L548" s="61" t="str">
        <f>VLOOKUP(K548,[1]Mapping!$J$3:$Q$351,8,FALSE)</f>
        <v>Inbound Freight</v>
      </c>
      <c r="M548" t="s">
        <v>83</v>
      </c>
    </row>
    <row r="549" spans="1:13" hidden="1" x14ac:dyDescent="0.35">
      <c r="A549">
        <v>1000110074</v>
      </c>
      <c r="B549" t="s">
        <v>120</v>
      </c>
      <c r="C549">
        <v>501066</v>
      </c>
      <c r="D549" t="s">
        <v>196</v>
      </c>
      <c r="E549" s="81">
        <v>2</v>
      </c>
      <c r="F549" t="s">
        <v>21</v>
      </c>
      <c r="G549" s="55">
        <v>6.62</v>
      </c>
      <c r="H549" s="82">
        <v>6.62</v>
      </c>
      <c r="I549" s="83" t="str">
        <f>VLOOKUP(E549,[1]Mapping!$A$3:$B$14,2,FALSE)</f>
        <v>Aug</v>
      </c>
      <c r="J549" s="84">
        <f t="shared" si="16"/>
        <v>1000110074</v>
      </c>
      <c r="K549" s="84">
        <f t="shared" si="17"/>
        <v>501066</v>
      </c>
      <c r="L549" s="61" t="str">
        <f>VLOOKUP(K549,[1]Mapping!$J$3:$Q$351,8,FALSE)</f>
        <v>Fringe Benefits</v>
      </c>
      <c r="M549" t="s">
        <v>83</v>
      </c>
    </row>
    <row r="550" spans="1:13" hidden="1" x14ac:dyDescent="0.35">
      <c r="A550">
        <v>2000310102</v>
      </c>
      <c r="B550" t="s">
        <v>137</v>
      </c>
      <c r="C550">
        <v>501050</v>
      </c>
      <c r="D550" t="s">
        <v>39</v>
      </c>
      <c r="E550" s="81">
        <v>2</v>
      </c>
      <c r="F550" t="s">
        <v>19</v>
      </c>
      <c r="G550" s="55">
        <v>26403.68</v>
      </c>
      <c r="H550" s="82">
        <v>26403.68</v>
      </c>
      <c r="I550" s="83" t="str">
        <f>VLOOKUP(E550,[1]Mapping!$A$3:$B$14,2,FALSE)</f>
        <v>Aug</v>
      </c>
      <c r="J550" s="84">
        <f t="shared" si="16"/>
        <v>2000310102</v>
      </c>
      <c r="K550" s="84">
        <f t="shared" si="17"/>
        <v>501050</v>
      </c>
      <c r="L550" s="61" t="str">
        <f>VLOOKUP(K550,[1]Mapping!$J$3:$Q$351,8,FALSE)</f>
        <v>Wages &amp; Salaries</v>
      </c>
      <c r="M550" t="s">
        <v>83</v>
      </c>
    </row>
    <row r="551" spans="1:13" hidden="1" x14ac:dyDescent="0.35">
      <c r="A551">
        <v>2000310102</v>
      </c>
      <c r="B551" t="s">
        <v>137</v>
      </c>
      <c r="C551">
        <v>501051</v>
      </c>
      <c r="D551" t="s">
        <v>121</v>
      </c>
      <c r="E551" s="81">
        <v>2</v>
      </c>
      <c r="F551" t="s">
        <v>19</v>
      </c>
      <c r="G551" s="55">
        <v>2090.7600000000002</v>
      </c>
      <c r="H551" s="82">
        <v>2090.7600000000002</v>
      </c>
      <c r="I551" s="83" t="str">
        <f>VLOOKUP(E551,[1]Mapping!$A$3:$B$14,2,FALSE)</f>
        <v>Aug</v>
      </c>
      <c r="J551" s="84">
        <f t="shared" si="16"/>
        <v>2000310102</v>
      </c>
      <c r="K551" s="84">
        <f t="shared" si="17"/>
        <v>501051</v>
      </c>
      <c r="L551" s="61" t="str">
        <f>VLOOKUP(K551,[1]Mapping!$J$3:$Q$351,8,FALSE)</f>
        <v>Wages &amp; Salaries</v>
      </c>
      <c r="M551" t="s">
        <v>83</v>
      </c>
    </row>
    <row r="552" spans="1:13" hidden="1" x14ac:dyDescent="0.35">
      <c r="A552">
        <v>2000310102</v>
      </c>
      <c r="B552" t="s">
        <v>137</v>
      </c>
      <c r="C552">
        <v>501058</v>
      </c>
      <c r="D552" t="s">
        <v>122</v>
      </c>
      <c r="E552" s="81">
        <v>2</v>
      </c>
      <c r="F552" t="s">
        <v>21</v>
      </c>
      <c r="G552" s="55">
        <v>9037.2099999999991</v>
      </c>
      <c r="H552" s="82">
        <v>9037.2099999999991</v>
      </c>
      <c r="I552" s="83" t="str">
        <f>VLOOKUP(E552,[1]Mapping!$A$3:$B$14,2,FALSE)</f>
        <v>Aug</v>
      </c>
      <c r="J552" s="84">
        <f t="shared" si="16"/>
        <v>2000310102</v>
      </c>
      <c r="K552" s="84">
        <f t="shared" si="17"/>
        <v>501058</v>
      </c>
      <c r="L552" s="61" t="str">
        <f>VLOOKUP(K552,[1]Mapping!$J$3:$Q$351,8,FALSE)</f>
        <v>Fringe Benefits</v>
      </c>
      <c r="M552" t="s">
        <v>83</v>
      </c>
    </row>
    <row r="553" spans="1:13" hidden="1" x14ac:dyDescent="0.35">
      <c r="A553">
        <v>2000310102</v>
      </c>
      <c r="B553" t="s">
        <v>137</v>
      </c>
      <c r="C553">
        <v>501062</v>
      </c>
      <c r="D553" t="s">
        <v>41</v>
      </c>
      <c r="E553" s="81">
        <v>2</v>
      </c>
      <c r="F553" t="s">
        <v>21</v>
      </c>
      <c r="G553" s="55">
        <v>11338.73</v>
      </c>
      <c r="H553" s="82">
        <v>11338.73</v>
      </c>
      <c r="I553" s="83" t="str">
        <f>VLOOKUP(E553,[1]Mapping!$A$3:$B$14,2,FALSE)</f>
        <v>Aug</v>
      </c>
      <c r="J553" s="84">
        <f t="shared" si="16"/>
        <v>2000310102</v>
      </c>
      <c r="K553" s="84">
        <f t="shared" si="17"/>
        <v>501062</v>
      </c>
      <c r="L553" s="61" t="str">
        <f>VLOOKUP(K553,[1]Mapping!$J$3:$Q$351,8,FALSE)</f>
        <v>Fringe Benefits</v>
      </c>
      <c r="M553" t="s">
        <v>83</v>
      </c>
    </row>
    <row r="554" spans="1:13" hidden="1" x14ac:dyDescent="0.35">
      <c r="A554">
        <v>2000310102</v>
      </c>
      <c r="B554" t="s">
        <v>137</v>
      </c>
      <c r="C554">
        <v>501062</v>
      </c>
      <c r="D554" t="s">
        <v>41</v>
      </c>
      <c r="E554" s="81">
        <v>2</v>
      </c>
      <c r="F554" t="s">
        <v>21</v>
      </c>
      <c r="G554" s="55">
        <v>3390.42</v>
      </c>
      <c r="H554" s="82">
        <v>3390.42</v>
      </c>
      <c r="I554" s="83" t="str">
        <f>VLOOKUP(E554,[1]Mapping!$A$3:$B$14,2,FALSE)</f>
        <v>Aug</v>
      </c>
      <c r="J554" s="84">
        <f t="shared" si="16"/>
        <v>2000310102</v>
      </c>
      <c r="K554" s="84">
        <f t="shared" si="17"/>
        <v>501062</v>
      </c>
      <c r="L554" s="61" t="str">
        <f>VLOOKUP(K554,[1]Mapping!$J$3:$Q$351,8,FALSE)</f>
        <v>Fringe Benefits</v>
      </c>
      <c r="M554" t="s">
        <v>83</v>
      </c>
    </row>
    <row r="555" spans="1:13" hidden="1" x14ac:dyDescent="0.35">
      <c r="A555">
        <v>2000310102</v>
      </c>
      <c r="B555" t="s">
        <v>137</v>
      </c>
      <c r="C555">
        <v>501063</v>
      </c>
      <c r="D555" t="s">
        <v>123</v>
      </c>
      <c r="E555" s="81">
        <v>2</v>
      </c>
      <c r="F555" t="s">
        <v>21</v>
      </c>
      <c r="G555" s="55">
        <v>1702.24</v>
      </c>
      <c r="H555" s="82">
        <v>1702.24</v>
      </c>
      <c r="I555" s="83" t="str">
        <f>VLOOKUP(E555,[1]Mapping!$A$3:$B$14,2,FALSE)</f>
        <v>Aug</v>
      </c>
      <c r="J555" s="84">
        <f t="shared" si="16"/>
        <v>2000310102</v>
      </c>
      <c r="K555" s="84">
        <f t="shared" si="17"/>
        <v>501063</v>
      </c>
      <c r="L555" s="61" t="str">
        <f>VLOOKUP(K555,[1]Mapping!$J$3:$Q$351,8,FALSE)</f>
        <v>Fringe Benefits</v>
      </c>
      <c r="M555" t="s">
        <v>83</v>
      </c>
    </row>
    <row r="556" spans="1:13" hidden="1" x14ac:dyDescent="0.35">
      <c r="A556">
        <v>2000310102</v>
      </c>
      <c r="B556" t="s">
        <v>137</v>
      </c>
      <c r="C556">
        <v>501053</v>
      </c>
      <c r="D556" t="s">
        <v>40</v>
      </c>
      <c r="E556" s="81">
        <v>2</v>
      </c>
      <c r="F556" t="s">
        <v>20</v>
      </c>
      <c r="G556" s="55">
        <v>6079.78</v>
      </c>
      <c r="H556" s="82">
        <v>6079.78</v>
      </c>
      <c r="I556" s="83" t="str">
        <f>VLOOKUP(E556,[1]Mapping!$A$3:$B$14,2,FALSE)</f>
        <v>Aug</v>
      </c>
      <c r="J556" s="84">
        <f t="shared" si="16"/>
        <v>2000310102</v>
      </c>
      <c r="K556" s="84">
        <f t="shared" si="17"/>
        <v>501053</v>
      </c>
      <c r="L556" s="61" t="str">
        <f>VLOOKUP(K556,[1]Mapping!$J$3:$Q$351,8,FALSE)</f>
        <v>Overtime</v>
      </c>
      <c r="M556" t="s">
        <v>83</v>
      </c>
    </row>
    <row r="557" spans="1:13" hidden="1" x14ac:dyDescent="0.35">
      <c r="A557">
        <v>2000310102</v>
      </c>
      <c r="B557" t="s">
        <v>137</v>
      </c>
      <c r="C557">
        <v>501059</v>
      </c>
      <c r="D557" t="s">
        <v>138</v>
      </c>
      <c r="E557" s="81">
        <v>2</v>
      </c>
      <c r="F557" t="s">
        <v>21</v>
      </c>
      <c r="G557" s="55">
        <v>2768.54</v>
      </c>
      <c r="H557" s="82">
        <v>2768.54</v>
      </c>
      <c r="I557" s="83" t="str">
        <f>VLOOKUP(E557,[1]Mapping!$A$3:$B$14,2,FALSE)</f>
        <v>Aug</v>
      </c>
      <c r="J557" s="84">
        <f t="shared" si="16"/>
        <v>2000310102</v>
      </c>
      <c r="K557" s="84">
        <f t="shared" si="17"/>
        <v>501059</v>
      </c>
      <c r="L557" s="61" t="str">
        <f>VLOOKUP(K557,[1]Mapping!$J$3:$Q$351,8,FALSE)</f>
        <v>Fringe Benefits</v>
      </c>
      <c r="M557" t="s">
        <v>83</v>
      </c>
    </row>
    <row r="558" spans="1:13" hidden="1" x14ac:dyDescent="0.35">
      <c r="A558">
        <v>2000310102</v>
      </c>
      <c r="B558" t="s">
        <v>137</v>
      </c>
      <c r="C558">
        <v>501072</v>
      </c>
      <c r="D558" t="s">
        <v>128</v>
      </c>
      <c r="E558" s="81">
        <v>2</v>
      </c>
      <c r="F558" t="s">
        <v>21</v>
      </c>
      <c r="G558" s="55">
        <v>862.06</v>
      </c>
      <c r="H558" s="82">
        <v>862.06</v>
      </c>
      <c r="I558" s="83" t="str">
        <f>VLOOKUP(E558,[1]Mapping!$A$3:$B$14,2,FALSE)</f>
        <v>Aug</v>
      </c>
      <c r="J558" s="84">
        <f t="shared" si="16"/>
        <v>2000310102</v>
      </c>
      <c r="K558" s="84">
        <f t="shared" si="17"/>
        <v>501072</v>
      </c>
      <c r="L558" s="61" t="str">
        <f>VLOOKUP(K558,[1]Mapping!$J$3:$Q$351,8,FALSE)</f>
        <v>Fringe Benefits</v>
      </c>
      <c r="M558" t="s">
        <v>83</v>
      </c>
    </row>
    <row r="559" spans="1:13" hidden="1" x14ac:dyDescent="0.35">
      <c r="A559">
        <v>2000310102</v>
      </c>
      <c r="B559" t="s">
        <v>137</v>
      </c>
      <c r="C559">
        <v>501073</v>
      </c>
      <c r="D559" t="s">
        <v>129</v>
      </c>
      <c r="E559" s="81">
        <v>2</v>
      </c>
      <c r="F559" t="s">
        <v>21</v>
      </c>
      <c r="G559" s="55">
        <v>181.03</v>
      </c>
      <c r="H559" s="82">
        <v>181.03</v>
      </c>
      <c r="I559" s="83" t="str">
        <f>VLOOKUP(E559,[1]Mapping!$A$3:$B$14,2,FALSE)</f>
        <v>Aug</v>
      </c>
      <c r="J559" s="84">
        <f t="shared" si="16"/>
        <v>2000310102</v>
      </c>
      <c r="K559" s="84">
        <f t="shared" si="17"/>
        <v>501073</v>
      </c>
      <c r="L559" s="61" t="str">
        <f>VLOOKUP(K559,[1]Mapping!$J$3:$Q$351,8,FALSE)</f>
        <v>Fringe Benefits</v>
      </c>
      <c r="M559" t="s">
        <v>83</v>
      </c>
    </row>
    <row r="560" spans="1:13" hidden="1" x14ac:dyDescent="0.35">
      <c r="A560">
        <v>2000310102</v>
      </c>
      <c r="B560" t="s">
        <v>137</v>
      </c>
      <c r="C560">
        <v>600020</v>
      </c>
      <c r="D560" t="s">
        <v>91</v>
      </c>
      <c r="E560" s="81">
        <v>2</v>
      </c>
      <c r="F560" t="s">
        <v>21</v>
      </c>
      <c r="G560" s="55">
        <v>0</v>
      </c>
      <c r="H560" s="82">
        <v>0</v>
      </c>
      <c r="I560" s="83" t="str">
        <f>VLOOKUP(E560,[1]Mapping!$A$3:$B$14,2,FALSE)</f>
        <v>Aug</v>
      </c>
      <c r="J560" s="84">
        <f t="shared" si="16"/>
        <v>2000310102</v>
      </c>
      <c r="K560" s="84">
        <f t="shared" si="17"/>
        <v>600020</v>
      </c>
      <c r="L560" s="61" t="str">
        <f>VLOOKUP(K560,[1]Mapping!$J$3:$Q$351,8,FALSE)</f>
        <v>Fringe Benefits</v>
      </c>
      <c r="M560" t="s">
        <v>83</v>
      </c>
    </row>
    <row r="561" spans="1:13" hidden="1" x14ac:dyDescent="0.35">
      <c r="A561">
        <v>2000310102</v>
      </c>
      <c r="B561" t="s">
        <v>137</v>
      </c>
      <c r="C561">
        <v>600055</v>
      </c>
      <c r="D561" t="s">
        <v>92</v>
      </c>
      <c r="E561" s="81">
        <v>2</v>
      </c>
      <c r="F561" t="s">
        <v>21</v>
      </c>
      <c r="G561" s="55">
        <v>0</v>
      </c>
      <c r="H561" s="82">
        <v>0</v>
      </c>
      <c r="I561" s="83" t="str">
        <f>VLOOKUP(E561,[1]Mapping!$A$3:$B$14,2,FALSE)</f>
        <v>Aug</v>
      </c>
      <c r="J561" s="84">
        <f t="shared" si="16"/>
        <v>2000310102</v>
      </c>
      <c r="K561" s="84">
        <f t="shared" si="17"/>
        <v>600055</v>
      </c>
      <c r="L561" s="61" t="str">
        <f>VLOOKUP(K561,[1]Mapping!$J$3:$Q$351,8,FALSE)</f>
        <v>Fringe Benefits</v>
      </c>
      <c r="M561" t="s">
        <v>83</v>
      </c>
    </row>
    <row r="562" spans="1:13" hidden="1" x14ac:dyDescent="0.35">
      <c r="A562">
        <v>2000310102</v>
      </c>
      <c r="B562" t="s">
        <v>137</v>
      </c>
      <c r="C562">
        <v>501654</v>
      </c>
      <c r="D562" t="s">
        <v>126</v>
      </c>
      <c r="E562" s="81">
        <v>2</v>
      </c>
      <c r="F562" t="s">
        <v>24</v>
      </c>
      <c r="G562" s="55">
        <v>25.67</v>
      </c>
      <c r="H562" s="82">
        <v>25.67</v>
      </c>
      <c r="I562" s="83" t="str">
        <f>VLOOKUP(E562,[1]Mapping!$A$3:$B$14,2,FALSE)</f>
        <v>Aug</v>
      </c>
      <c r="J562" s="84">
        <f t="shared" si="16"/>
        <v>2000310102</v>
      </c>
      <c r="K562" s="84">
        <f t="shared" si="17"/>
        <v>501654</v>
      </c>
      <c r="L562" s="61" t="str">
        <f>VLOOKUP(K562,[1]Mapping!$J$3:$Q$351,8,FALSE)</f>
        <v>Supplies Expenses</v>
      </c>
      <c r="M562" t="s">
        <v>83</v>
      </c>
    </row>
    <row r="563" spans="1:13" hidden="1" x14ac:dyDescent="0.35">
      <c r="A563">
        <v>2000310102</v>
      </c>
      <c r="B563" t="s">
        <v>137</v>
      </c>
      <c r="C563">
        <v>501716</v>
      </c>
      <c r="D563" t="s">
        <v>139</v>
      </c>
      <c r="E563" s="81">
        <v>2</v>
      </c>
      <c r="F563" t="s">
        <v>117</v>
      </c>
      <c r="G563" s="55">
        <v>-63880.12</v>
      </c>
      <c r="H563" s="82">
        <v>-63880.12</v>
      </c>
      <c r="I563" s="83" t="str">
        <f>VLOOKUP(E563,[1]Mapping!$A$3:$B$14,2,FALSE)</f>
        <v>Aug</v>
      </c>
      <c r="J563" s="84">
        <f t="shared" si="16"/>
        <v>2000310102</v>
      </c>
      <c r="K563" s="84">
        <f t="shared" si="17"/>
        <v>501716</v>
      </c>
      <c r="L563" s="61" t="e">
        <f>VLOOKUP(K563,[1]Mapping!$J$3:$Q$351,8,FALSE)</f>
        <v>#N/A</v>
      </c>
      <c r="M563" t="s">
        <v>83</v>
      </c>
    </row>
    <row r="564" spans="1:13" hidden="1" x14ac:dyDescent="0.35">
      <c r="A564">
        <v>2000310115</v>
      </c>
      <c r="B564" t="s">
        <v>140</v>
      </c>
      <c r="C564">
        <v>501050</v>
      </c>
      <c r="D564" t="s">
        <v>39</v>
      </c>
      <c r="E564" s="81">
        <v>2</v>
      </c>
      <c r="F564" t="s">
        <v>19</v>
      </c>
      <c r="G564" s="55">
        <v>15244.48</v>
      </c>
      <c r="H564" s="82">
        <v>15244.48</v>
      </c>
      <c r="I564" s="83" t="str">
        <f>VLOOKUP(E564,[1]Mapping!$A$3:$B$14,2,FALSE)</f>
        <v>Aug</v>
      </c>
      <c r="J564" s="84">
        <f t="shared" si="16"/>
        <v>2000310115</v>
      </c>
      <c r="K564" s="84">
        <f t="shared" si="17"/>
        <v>501050</v>
      </c>
      <c r="L564" s="61" t="str">
        <f>VLOOKUP(K564,[1]Mapping!$J$3:$Q$351,8,FALSE)</f>
        <v>Wages &amp; Salaries</v>
      </c>
      <c r="M564" t="s">
        <v>83</v>
      </c>
    </row>
    <row r="565" spans="1:13" hidden="1" x14ac:dyDescent="0.35">
      <c r="A565">
        <v>2000310115</v>
      </c>
      <c r="B565" t="s">
        <v>140</v>
      </c>
      <c r="C565">
        <v>501051</v>
      </c>
      <c r="D565" t="s">
        <v>121</v>
      </c>
      <c r="E565" s="81">
        <v>2</v>
      </c>
      <c r="F565" t="s">
        <v>19</v>
      </c>
      <c r="G565" s="55">
        <v>985.04</v>
      </c>
      <c r="H565" s="82">
        <v>985.04</v>
      </c>
      <c r="I565" s="83" t="str">
        <f>VLOOKUP(E565,[1]Mapping!$A$3:$B$14,2,FALSE)</f>
        <v>Aug</v>
      </c>
      <c r="J565" s="84">
        <f t="shared" si="16"/>
        <v>2000310115</v>
      </c>
      <c r="K565" s="84">
        <f t="shared" si="17"/>
        <v>501051</v>
      </c>
      <c r="L565" s="61" t="str">
        <f>VLOOKUP(K565,[1]Mapping!$J$3:$Q$351,8,FALSE)</f>
        <v>Wages &amp; Salaries</v>
      </c>
      <c r="M565" t="s">
        <v>83</v>
      </c>
    </row>
    <row r="566" spans="1:13" hidden="1" x14ac:dyDescent="0.35">
      <c r="A566">
        <v>2000310115</v>
      </c>
      <c r="B566" t="s">
        <v>140</v>
      </c>
      <c r="C566">
        <v>501058</v>
      </c>
      <c r="D566" t="s">
        <v>122</v>
      </c>
      <c r="E566" s="81">
        <v>2</v>
      </c>
      <c r="F566" t="s">
        <v>21</v>
      </c>
      <c r="G566" s="55">
        <v>3743.62</v>
      </c>
      <c r="H566" s="82">
        <v>3743.62</v>
      </c>
      <c r="I566" s="83" t="str">
        <f>VLOOKUP(E566,[1]Mapping!$A$3:$B$14,2,FALSE)</f>
        <v>Aug</v>
      </c>
      <c r="J566" s="84">
        <f t="shared" si="16"/>
        <v>2000310115</v>
      </c>
      <c r="K566" s="84">
        <f t="shared" si="17"/>
        <v>501058</v>
      </c>
      <c r="L566" s="61" t="str">
        <f>VLOOKUP(K566,[1]Mapping!$J$3:$Q$351,8,FALSE)</f>
        <v>Fringe Benefits</v>
      </c>
      <c r="M566" t="s">
        <v>83</v>
      </c>
    </row>
    <row r="567" spans="1:13" hidden="1" x14ac:dyDescent="0.35">
      <c r="A567">
        <v>2000310115</v>
      </c>
      <c r="B567" t="s">
        <v>140</v>
      </c>
      <c r="C567">
        <v>501062</v>
      </c>
      <c r="D567" t="s">
        <v>41</v>
      </c>
      <c r="E567" s="81">
        <v>2</v>
      </c>
      <c r="F567" t="s">
        <v>21</v>
      </c>
      <c r="G567" s="55">
        <v>4163.45</v>
      </c>
      <c r="H567" s="82">
        <v>4163.45</v>
      </c>
      <c r="I567" s="83" t="str">
        <f>VLOOKUP(E567,[1]Mapping!$A$3:$B$14,2,FALSE)</f>
        <v>Aug</v>
      </c>
      <c r="J567" s="84">
        <f t="shared" si="16"/>
        <v>2000310115</v>
      </c>
      <c r="K567" s="84">
        <f t="shared" si="17"/>
        <v>501062</v>
      </c>
      <c r="L567" s="61" t="str">
        <f>VLOOKUP(K567,[1]Mapping!$J$3:$Q$351,8,FALSE)</f>
        <v>Fringe Benefits</v>
      </c>
      <c r="M567" t="s">
        <v>83</v>
      </c>
    </row>
    <row r="568" spans="1:13" hidden="1" x14ac:dyDescent="0.35">
      <c r="A568">
        <v>2000310115</v>
      </c>
      <c r="B568" t="s">
        <v>140</v>
      </c>
      <c r="C568">
        <v>501062</v>
      </c>
      <c r="D568" t="s">
        <v>41</v>
      </c>
      <c r="E568" s="81">
        <v>2</v>
      </c>
      <c r="F568" t="s">
        <v>21</v>
      </c>
      <c r="G568" s="55">
        <v>1845.81</v>
      </c>
      <c r="H568" s="82">
        <v>1845.81</v>
      </c>
      <c r="I568" s="83" t="str">
        <f>VLOOKUP(E568,[1]Mapping!$A$3:$B$14,2,FALSE)</f>
        <v>Aug</v>
      </c>
      <c r="J568" s="84">
        <f t="shared" si="16"/>
        <v>2000310115</v>
      </c>
      <c r="K568" s="84">
        <f t="shared" si="17"/>
        <v>501062</v>
      </c>
      <c r="L568" s="61" t="str">
        <f>VLOOKUP(K568,[1]Mapping!$J$3:$Q$351,8,FALSE)</f>
        <v>Fringe Benefits</v>
      </c>
      <c r="M568" t="s">
        <v>83</v>
      </c>
    </row>
    <row r="569" spans="1:13" hidden="1" x14ac:dyDescent="0.35">
      <c r="A569">
        <v>2000310115</v>
      </c>
      <c r="B569" t="s">
        <v>140</v>
      </c>
      <c r="C569">
        <v>501063</v>
      </c>
      <c r="D569" t="s">
        <v>123</v>
      </c>
      <c r="E569" s="81">
        <v>2</v>
      </c>
      <c r="F569" t="s">
        <v>21</v>
      </c>
      <c r="G569" s="55">
        <v>1946.03</v>
      </c>
      <c r="H569" s="82">
        <v>1946.03</v>
      </c>
      <c r="I569" s="83" t="str">
        <f>VLOOKUP(E569,[1]Mapping!$A$3:$B$14,2,FALSE)</f>
        <v>Aug</v>
      </c>
      <c r="J569" s="84">
        <f t="shared" si="16"/>
        <v>2000310115</v>
      </c>
      <c r="K569" s="84">
        <f t="shared" si="17"/>
        <v>501063</v>
      </c>
      <c r="L569" s="61" t="str">
        <f>VLOOKUP(K569,[1]Mapping!$J$3:$Q$351,8,FALSE)</f>
        <v>Fringe Benefits</v>
      </c>
      <c r="M569" t="s">
        <v>83</v>
      </c>
    </row>
    <row r="570" spans="1:13" hidden="1" x14ac:dyDescent="0.35">
      <c r="A570">
        <v>2000310115</v>
      </c>
      <c r="B570" t="s">
        <v>140</v>
      </c>
      <c r="C570">
        <v>501059</v>
      </c>
      <c r="D570" t="s">
        <v>138</v>
      </c>
      <c r="E570" s="81">
        <v>2</v>
      </c>
      <c r="F570" t="s">
        <v>21</v>
      </c>
      <c r="G570" s="55">
        <v>273.85000000000002</v>
      </c>
      <c r="H570" s="82">
        <v>273.85000000000002</v>
      </c>
      <c r="I570" s="83" t="str">
        <f>VLOOKUP(E570,[1]Mapping!$A$3:$B$14,2,FALSE)</f>
        <v>Aug</v>
      </c>
      <c r="J570" s="84">
        <f t="shared" si="16"/>
        <v>2000310115</v>
      </c>
      <c r="K570" s="84">
        <f t="shared" si="17"/>
        <v>501059</v>
      </c>
      <c r="L570" s="61" t="str">
        <f>VLOOKUP(K570,[1]Mapping!$J$3:$Q$351,8,FALSE)</f>
        <v>Fringe Benefits</v>
      </c>
      <c r="M570" t="s">
        <v>83</v>
      </c>
    </row>
    <row r="571" spans="1:13" hidden="1" x14ac:dyDescent="0.35">
      <c r="A571">
        <v>2000310115</v>
      </c>
      <c r="B571" t="s">
        <v>140</v>
      </c>
      <c r="C571">
        <v>501072</v>
      </c>
      <c r="D571" t="s">
        <v>128</v>
      </c>
      <c r="E571" s="81">
        <v>2</v>
      </c>
      <c r="F571" t="s">
        <v>21</v>
      </c>
      <c r="G571" s="55">
        <v>1750.23</v>
      </c>
      <c r="H571" s="82">
        <v>1750.23</v>
      </c>
      <c r="I571" s="83" t="str">
        <f>VLOOKUP(E571,[1]Mapping!$A$3:$B$14,2,FALSE)</f>
        <v>Aug</v>
      </c>
      <c r="J571" s="84">
        <f t="shared" si="16"/>
        <v>2000310115</v>
      </c>
      <c r="K571" s="84">
        <f t="shared" si="17"/>
        <v>501072</v>
      </c>
      <c r="L571" s="61" t="str">
        <f>VLOOKUP(K571,[1]Mapping!$J$3:$Q$351,8,FALSE)</f>
        <v>Fringe Benefits</v>
      </c>
      <c r="M571" t="s">
        <v>83</v>
      </c>
    </row>
    <row r="572" spans="1:13" hidden="1" x14ac:dyDescent="0.35">
      <c r="A572">
        <v>2000310115</v>
      </c>
      <c r="B572" t="s">
        <v>140</v>
      </c>
      <c r="C572">
        <v>501073</v>
      </c>
      <c r="D572" t="s">
        <v>129</v>
      </c>
      <c r="E572" s="81">
        <v>2</v>
      </c>
      <c r="F572" t="s">
        <v>21</v>
      </c>
      <c r="G572" s="55">
        <v>367.55</v>
      </c>
      <c r="H572" s="82">
        <v>367.55</v>
      </c>
      <c r="I572" s="83" t="str">
        <f>VLOOKUP(E572,[1]Mapping!$A$3:$B$14,2,FALSE)</f>
        <v>Aug</v>
      </c>
      <c r="J572" s="84">
        <f t="shared" si="16"/>
        <v>2000310115</v>
      </c>
      <c r="K572" s="84">
        <f t="shared" si="17"/>
        <v>501073</v>
      </c>
      <c r="L572" s="61" t="str">
        <f>VLOOKUP(K572,[1]Mapping!$J$3:$Q$351,8,FALSE)</f>
        <v>Fringe Benefits</v>
      </c>
      <c r="M572" t="s">
        <v>83</v>
      </c>
    </row>
    <row r="573" spans="1:13" hidden="1" x14ac:dyDescent="0.35">
      <c r="A573">
        <v>2000310115</v>
      </c>
      <c r="B573" t="s">
        <v>140</v>
      </c>
      <c r="C573">
        <v>600020</v>
      </c>
      <c r="D573" t="s">
        <v>91</v>
      </c>
      <c r="E573" s="81">
        <v>2</v>
      </c>
      <c r="F573" t="s">
        <v>21</v>
      </c>
      <c r="G573" s="55">
        <v>0</v>
      </c>
      <c r="H573" s="82">
        <v>0</v>
      </c>
      <c r="I573" s="83" t="str">
        <f>VLOOKUP(E573,[1]Mapping!$A$3:$B$14,2,FALSE)</f>
        <v>Aug</v>
      </c>
      <c r="J573" s="84">
        <f t="shared" si="16"/>
        <v>2000310115</v>
      </c>
      <c r="K573" s="84">
        <f t="shared" si="17"/>
        <v>600020</v>
      </c>
      <c r="L573" s="61" t="str">
        <f>VLOOKUP(K573,[1]Mapping!$J$3:$Q$351,8,FALSE)</f>
        <v>Fringe Benefits</v>
      </c>
      <c r="M573" t="s">
        <v>83</v>
      </c>
    </row>
    <row r="574" spans="1:13" hidden="1" x14ac:dyDescent="0.35">
      <c r="A574">
        <v>2000310115</v>
      </c>
      <c r="B574" t="s">
        <v>140</v>
      </c>
      <c r="C574">
        <v>600055</v>
      </c>
      <c r="D574" t="s">
        <v>92</v>
      </c>
      <c r="E574" s="81">
        <v>2</v>
      </c>
      <c r="F574" t="s">
        <v>21</v>
      </c>
      <c r="G574" s="55">
        <v>0</v>
      </c>
      <c r="H574" s="82">
        <v>0</v>
      </c>
      <c r="I574" s="83" t="str">
        <f>VLOOKUP(E574,[1]Mapping!$A$3:$B$14,2,FALSE)</f>
        <v>Aug</v>
      </c>
      <c r="J574" s="84">
        <f t="shared" si="16"/>
        <v>2000310115</v>
      </c>
      <c r="K574" s="84">
        <f t="shared" si="17"/>
        <v>600055</v>
      </c>
      <c r="L574" s="61" t="str">
        <f>VLOOKUP(K574,[1]Mapping!$J$3:$Q$351,8,FALSE)</f>
        <v>Fringe Benefits</v>
      </c>
      <c r="M574" t="s">
        <v>83</v>
      </c>
    </row>
    <row r="575" spans="1:13" hidden="1" x14ac:dyDescent="0.35">
      <c r="A575">
        <v>2000310115</v>
      </c>
      <c r="B575" t="s">
        <v>140</v>
      </c>
      <c r="C575">
        <v>501716</v>
      </c>
      <c r="D575" t="s">
        <v>139</v>
      </c>
      <c r="E575" s="81">
        <v>2</v>
      </c>
      <c r="F575" t="s">
        <v>117</v>
      </c>
      <c r="G575" s="55">
        <v>-30320.06</v>
      </c>
      <c r="H575" s="82">
        <v>-30320.06</v>
      </c>
      <c r="I575" s="83" t="str">
        <f>VLOOKUP(E575,[1]Mapping!$A$3:$B$14,2,FALSE)</f>
        <v>Aug</v>
      </c>
      <c r="J575" s="84">
        <f t="shared" si="16"/>
        <v>2000310115</v>
      </c>
      <c r="K575" s="84">
        <f t="shared" si="17"/>
        <v>501716</v>
      </c>
      <c r="L575" s="61" t="e">
        <f>VLOOKUP(K575,[1]Mapping!$J$3:$Q$351,8,FALSE)</f>
        <v>#N/A</v>
      </c>
      <c r="M575" t="s">
        <v>83</v>
      </c>
    </row>
    <row r="576" spans="1:13" hidden="1" x14ac:dyDescent="0.35">
      <c r="A576">
        <v>2000310095</v>
      </c>
      <c r="B576" t="s">
        <v>141</v>
      </c>
      <c r="C576">
        <v>501050</v>
      </c>
      <c r="D576" t="s">
        <v>39</v>
      </c>
      <c r="E576" s="81">
        <v>2</v>
      </c>
      <c r="F576" t="s">
        <v>19</v>
      </c>
      <c r="G576" s="55">
        <v>13567.24</v>
      </c>
      <c r="H576" s="82">
        <v>13567.24</v>
      </c>
      <c r="I576" s="83" t="str">
        <f>VLOOKUP(E576,[1]Mapping!$A$3:$B$14,2,FALSE)</f>
        <v>Aug</v>
      </c>
      <c r="J576" s="84">
        <f t="shared" si="16"/>
        <v>2000310095</v>
      </c>
      <c r="K576" s="84">
        <f t="shared" si="17"/>
        <v>501050</v>
      </c>
      <c r="L576" s="61" t="str">
        <f>VLOOKUP(K576,[1]Mapping!$J$3:$Q$351,8,FALSE)</f>
        <v>Wages &amp; Salaries</v>
      </c>
      <c r="M576" t="s">
        <v>83</v>
      </c>
    </row>
    <row r="577" spans="1:13" hidden="1" x14ac:dyDescent="0.35">
      <c r="A577">
        <v>2000310095</v>
      </c>
      <c r="B577" t="s">
        <v>141</v>
      </c>
      <c r="C577">
        <v>501051</v>
      </c>
      <c r="D577" t="s">
        <v>121</v>
      </c>
      <c r="E577" s="81">
        <v>2</v>
      </c>
      <c r="F577" t="s">
        <v>19</v>
      </c>
      <c r="G577" s="55">
        <v>928.91</v>
      </c>
      <c r="H577" s="82">
        <v>928.91</v>
      </c>
      <c r="I577" s="83" t="str">
        <f>VLOOKUP(E577,[1]Mapping!$A$3:$B$14,2,FALSE)</f>
        <v>Aug</v>
      </c>
      <c r="J577" s="84">
        <f t="shared" si="16"/>
        <v>2000310095</v>
      </c>
      <c r="K577" s="84">
        <f t="shared" si="17"/>
        <v>501051</v>
      </c>
      <c r="L577" s="61" t="str">
        <f>VLOOKUP(K577,[1]Mapping!$J$3:$Q$351,8,FALSE)</f>
        <v>Wages &amp; Salaries</v>
      </c>
      <c r="M577" t="s">
        <v>83</v>
      </c>
    </row>
    <row r="578" spans="1:13" hidden="1" x14ac:dyDescent="0.35">
      <c r="A578">
        <v>2000310095</v>
      </c>
      <c r="B578" t="s">
        <v>141</v>
      </c>
      <c r="C578">
        <v>501058</v>
      </c>
      <c r="D578" t="s">
        <v>122</v>
      </c>
      <c r="E578" s="81">
        <v>2</v>
      </c>
      <c r="F578" t="s">
        <v>21</v>
      </c>
      <c r="G578" s="55">
        <v>3656.2299999999996</v>
      </c>
      <c r="H578" s="82">
        <v>3656.2299999999996</v>
      </c>
      <c r="I578" s="83" t="str">
        <f>VLOOKUP(E578,[1]Mapping!$A$3:$B$14,2,FALSE)</f>
        <v>Aug</v>
      </c>
      <c r="J578" s="84">
        <f t="shared" si="16"/>
        <v>2000310095</v>
      </c>
      <c r="K578" s="84">
        <f t="shared" si="17"/>
        <v>501058</v>
      </c>
      <c r="L578" s="61" t="str">
        <f>VLOOKUP(K578,[1]Mapping!$J$3:$Q$351,8,FALSE)</f>
        <v>Fringe Benefits</v>
      </c>
      <c r="M578" t="s">
        <v>83</v>
      </c>
    </row>
    <row r="579" spans="1:13" hidden="1" x14ac:dyDescent="0.35">
      <c r="A579">
        <v>2000310095</v>
      </c>
      <c r="B579" t="s">
        <v>141</v>
      </c>
      <c r="C579">
        <v>501062</v>
      </c>
      <c r="D579" t="s">
        <v>41</v>
      </c>
      <c r="E579" s="81">
        <v>2</v>
      </c>
      <c r="F579" t="s">
        <v>21</v>
      </c>
      <c r="G579" s="55">
        <v>3777.4500000000003</v>
      </c>
      <c r="H579" s="82">
        <v>3777.4500000000003</v>
      </c>
      <c r="I579" s="83" t="str">
        <f>VLOOKUP(E579,[1]Mapping!$A$3:$B$14,2,FALSE)</f>
        <v>Aug</v>
      </c>
      <c r="J579" s="84">
        <f t="shared" si="16"/>
        <v>2000310095</v>
      </c>
      <c r="K579" s="84">
        <f t="shared" si="17"/>
        <v>501062</v>
      </c>
      <c r="L579" s="61" t="str">
        <f>VLOOKUP(K579,[1]Mapping!$J$3:$Q$351,8,FALSE)</f>
        <v>Fringe Benefits</v>
      </c>
      <c r="M579" t="s">
        <v>83</v>
      </c>
    </row>
    <row r="580" spans="1:13" hidden="1" x14ac:dyDescent="0.35">
      <c r="A580">
        <v>2000310095</v>
      </c>
      <c r="B580" t="s">
        <v>141</v>
      </c>
      <c r="C580">
        <v>501062</v>
      </c>
      <c r="D580" t="s">
        <v>41</v>
      </c>
      <c r="E580" s="81">
        <v>2</v>
      </c>
      <c r="F580" t="s">
        <v>21</v>
      </c>
      <c r="G580" s="55">
        <v>1676.13</v>
      </c>
      <c r="H580" s="82">
        <v>1676.13</v>
      </c>
      <c r="I580" s="83" t="str">
        <f>VLOOKUP(E580,[1]Mapping!$A$3:$B$14,2,FALSE)</f>
        <v>Aug</v>
      </c>
      <c r="J580" s="84">
        <f t="shared" si="16"/>
        <v>2000310095</v>
      </c>
      <c r="K580" s="84">
        <f t="shared" si="17"/>
        <v>501062</v>
      </c>
      <c r="L580" s="61" t="str">
        <f>VLOOKUP(K580,[1]Mapping!$J$3:$Q$351,8,FALSE)</f>
        <v>Fringe Benefits</v>
      </c>
      <c r="M580" t="s">
        <v>83</v>
      </c>
    </row>
    <row r="581" spans="1:13" hidden="1" x14ac:dyDescent="0.35">
      <c r="A581">
        <v>2000310095</v>
      </c>
      <c r="B581" t="s">
        <v>141</v>
      </c>
      <c r="C581">
        <v>501808</v>
      </c>
      <c r="D581" t="s">
        <v>113</v>
      </c>
      <c r="E581" s="81">
        <v>2</v>
      </c>
      <c r="F581" t="s">
        <v>23</v>
      </c>
      <c r="G581" s="55">
        <v>104.17</v>
      </c>
      <c r="H581" s="82">
        <v>104.17</v>
      </c>
      <c r="I581" s="83" t="str">
        <f>VLOOKUP(E581,[1]Mapping!$A$3:$B$14,2,FALSE)</f>
        <v>Aug</v>
      </c>
      <c r="J581" s="84">
        <f t="shared" si="16"/>
        <v>2000310095</v>
      </c>
      <c r="K581" s="84">
        <f t="shared" si="17"/>
        <v>501808</v>
      </c>
      <c r="L581" s="61" t="str">
        <f>VLOOKUP(K581,[1]Mapping!$J$3:$Q$351,8,FALSE)</f>
        <v>Travel &amp; Entertainment</v>
      </c>
      <c r="M581" t="s">
        <v>83</v>
      </c>
    </row>
    <row r="582" spans="1:13" hidden="1" x14ac:dyDescent="0.35">
      <c r="A582">
        <v>2000310095</v>
      </c>
      <c r="B582" t="s">
        <v>141</v>
      </c>
      <c r="C582">
        <v>501063</v>
      </c>
      <c r="D582" t="s">
        <v>123</v>
      </c>
      <c r="E582" s="81">
        <v>2</v>
      </c>
      <c r="F582" t="s">
        <v>21</v>
      </c>
      <c r="G582" s="55">
        <v>1556.82</v>
      </c>
      <c r="H582" s="82">
        <v>1556.82</v>
      </c>
      <c r="I582" s="83" t="str">
        <f>VLOOKUP(E582,[1]Mapping!$A$3:$B$14,2,FALSE)</f>
        <v>Aug</v>
      </c>
      <c r="J582" s="84">
        <f t="shared" si="16"/>
        <v>2000310095</v>
      </c>
      <c r="K582" s="84">
        <f t="shared" si="17"/>
        <v>501063</v>
      </c>
      <c r="L582" s="61" t="str">
        <f>VLOOKUP(K582,[1]Mapping!$J$3:$Q$351,8,FALSE)</f>
        <v>Fringe Benefits</v>
      </c>
      <c r="M582" t="s">
        <v>83</v>
      </c>
    </row>
    <row r="583" spans="1:13" hidden="1" x14ac:dyDescent="0.35">
      <c r="A583">
        <v>2000310095</v>
      </c>
      <c r="B583" t="s">
        <v>141</v>
      </c>
      <c r="C583">
        <v>600030</v>
      </c>
      <c r="D583" t="s">
        <v>110</v>
      </c>
      <c r="E583" s="81">
        <v>2</v>
      </c>
      <c r="F583" t="s">
        <v>23</v>
      </c>
      <c r="G583" s="55">
        <v>-80.33</v>
      </c>
      <c r="H583" s="82">
        <v>-80.33</v>
      </c>
      <c r="I583" s="83" t="str">
        <f>VLOOKUP(E583,[1]Mapping!$A$3:$B$14,2,FALSE)</f>
        <v>Aug</v>
      </c>
      <c r="J583" s="84">
        <f t="shared" si="16"/>
        <v>2000310095</v>
      </c>
      <c r="K583" s="84">
        <f t="shared" si="17"/>
        <v>600030</v>
      </c>
      <c r="L583" s="61" t="str">
        <f>VLOOKUP(K583,[1]Mapping!$J$3:$Q$351,8,FALSE)</f>
        <v>Travel &amp; Entertainment</v>
      </c>
      <c r="M583" t="s">
        <v>83</v>
      </c>
    </row>
    <row r="584" spans="1:13" hidden="1" x14ac:dyDescent="0.35">
      <c r="A584">
        <v>2000310095</v>
      </c>
      <c r="B584" t="s">
        <v>141</v>
      </c>
      <c r="C584">
        <v>600030</v>
      </c>
      <c r="D584" t="s">
        <v>110</v>
      </c>
      <c r="E584" s="81">
        <v>2</v>
      </c>
      <c r="F584" t="s">
        <v>23</v>
      </c>
      <c r="G584" s="55">
        <v>80.33</v>
      </c>
      <c r="H584" s="82">
        <v>80.33</v>
      </c>
      <c r="I584" s="83" t="str">
        <f>VLOOKUP(E584,[1]Mapping!$A$3:$B$14,2,FALSE)</f>
        <v>Aug</v>
      </c>
      <c r="J584" s="84">
        <f t="shared" si="16"/>
        <v>2000310095</v>
      </c>
      <c r="K584" s="84">
        <f t="shared" si="17"/>
        <v>600030</v>
      </c>
      <c r="L584" s="61" t="str">
        <f>VLOOKUP(K584,[1]Mapping!$J$3:$Q$351,8,FALSE)</f>
        <v>Travel &amp; Entertainment</v>
      </c>
      <c r="M584" t="s">
        <v>83</v>
      </c>
    </row>
    <row r="585" spans="1:13" hidden="1" x14ac:dyDescent="0.35">
      <c r="A585">
        <v>2000310095</v>
      </c>
      <c r="B585" t="s">
        <v>141</v>
      </c>
      <c r="C585">
        <v>600044</v>
      </c>
      <c r="D585" t="s">
        <v>111</v>
      </c>
      <c r="E585" s="81">
        <v>2</v>
      </c>
      <c r="F585" t="s">
        <v>23</v>
      </c>
      <c r="G585" s="55">
        <v>-23.84</v>
      </c>
      <c r="H585" s="82">
        <v>-23.84</v>
      </c>
      <c r="I585" s="83" t="str">
        <f>VLOOKUP(E585,[1]Mapping!$A$3:$B$14,2,FALSE)</f>
        <v>Aug</v>
      </c>
      <c r="J585" s="84">
        <f t="shared" si="16"/>
        <v>2000310095</v>
      </c>
      <c r="K585" s="84">
        <f t="shared" si="17"/>
        <v>600044</v>
      </c>
      <c r="L585" s="61" t="str">
        <f>VLOOKUP(K585,[1]Mapping!$J$3:$Q$351,8,FALSE)</f>
        <v>Travel &amp; Entertainment</v>
      </c>
      <c r="M585" t="s">
        <v>83</v>
      </c>
    </row>
    <row r="586" spans="1:13" hidden="1" x14ac:dyDescent="0.35">
      <c r="A586">
        <v>2000310095</v>
      </c>
      <c r="B586" t="s">
        <v>141</v>
      </c>
      <c r="C586">
        <v>600044</v>
      </c>
      <c r="D586" t="s">
        <v>111</v>
      </c>
      <c r="E586" s="81">
        <v>2</v>
      </c>
      <c r="F586" t="s">
        <v>23</v>
      </c>
      <c r="G586" s="55">
        <v>23.84</v>
      </c>
      <c r="H586" s="82">
        <v>23.84</v>
      </c>
      <c r="I586" s="83" t="str">
        <f>VLOOKUP(E586,[1]Mapping!$A$3:$B$14,2,FALSE)</f>
        <v>Aug</v>
      </c>
      <c r="J586" s="84">
        <f t="shared" si="16"/>
        <v>2000310095</v>
      </c>
      <c r="K586" s="84">
        <f t="shared" si="17"/>
        <v>600044</v>
      </c>
      <c r="L586" s="61" t="str">
        <f>VLOOKUP(K586,[1]Mapping!$J$3:$Q$351,8,FALSE)</f>
        <v>Travel &amp; Entertainment</v>
      </c>
      <c r="M586" t="s">
        <v>83</v>
      </c>
    </row>
    <row r="587" spans="1:13" hidden="1" x14ac:dyDescent="0.35">
      <c r="A587">
        <v>2000310095</v>
      </c>
      <c r="B587" t="s">
        <v>141</v>
      </c>
      <c r="C587">
        <v>501059</v>
      </c>
      <c r="D587" t="s">
        <v>138</v>
      </c>
      <c r="E587" s="81">
        <v>2</v>
      </c>
      <c r="F587" t="s">
        <v>21</v>
      </c>
      <c r="G587" s="55">
        <v>170.35000000000002</v>
      </c>
      <c r="H587" s="82">
        <v>170.35000000000002</v>
      </c>
      <c r="I587" s="83" t="str">
        <f>VLOOKUP(E587,[1]Mapping!$A$3:$B$14,2,FALSE)</f>
        <v>Aug</v>
      </c>
      <c r="J587" s="84">
        <f t="shared" ref="J587:J627" si="18">VALUE(A587)</f>
        <v>2000310095</v>
      </c>
      <c r="K587" s="84">
        <f t="shared" ref="K587:K627" si="19">VALUE(C587)</f>
        <v>501059</v>
      </c>
      <c r="L587" s="61" t="str">
        <f>VLOOKUP(K587,[1]Mapping!$J$3:$Q$351,8,FALSE)</f>
        <v>Fringe Benefits</v>
      </c>
      <c r="M587" t="s">
        <v>83</v>
      </c>
    </row>
    <row r="588" spans="1:13" hidden="1" x14ac:dyDescent="0.35">
      <c r="A588">
        <v>2000310095</v>
      </c>
      <c r="B588" t="s">
        <v>141</v>
      </c>
      <c r="C588">
        <v>501072</v>
      </c>
      <c r="D588" t="s">
        <v>128</v>
      </c>
      <c r="E588" s="81">
        <v>2</v>
      </c>
      <c r="F588" t="s">
        <v>21</v>
      </c>
      <c r="G588" s="55">
        <v>1491.21</v>
      </c>
      <c r="H588" s="82">
        <v>1491.21</v>
      </c>
      <c r="I588" s="83" t="str">
        <f>VLOOKUP(E588,[1]Mapping!$A$3:$B$14,2,FALSE)</f>
        <v>Aug</v>
      </c>
      <c r="J588" s="84">
        <f t="shared" si="18"/>
        <v>2000310095</v>
      </c>
      <c r="K588" s="84">
        <f t="shared" si="19"/>
        <v>501072</v>
      </c>
      <c r="L588" s="61" t="str">
        <f>VLOOKUP(K588,[1]Mapping!$J$3:$Q$351,8,FALSE)</f>
        <v>Fringe Benefits</v>
      </c>
      <c r="M588" t="s">
        <v>83</v>
      </c>
    </row>
    <row r="589" spans="1:13" hidden="1" x14ac:dyDescent="0.35">
      <c r="A589">
        <v>2000310095</v>
      </c>
      <c r="B589" t="s">
        <v>141</v>
      </c>
      <c r="C589">
        <v>501073</v>
      </c>
      <c r="D589" t="s">
        <v>129</v>
      </c>
      <c r="E589" s="81">
        <v>2</v>
      </c>
      <c r="F589" t="s">
        <v>21</v>
      </c>
      <c r="G589" s="55">
        <v>313.14999999999998</v>
      </c>
      <c r="H589" s="82">
        <v>313.14999999999998</v>
      </c>
      <c r="I589" s="83" t="str">
        <f>VLOOKUP(E589,[1]Mapping!$A$3:$B$14,2,FALSE)</f>
        <v>Aug</v>
      </c>
      <c r="J589" s="84">
        <f t="shared" si="18"/>
        <v>2000310095</v>
      </c>
      <c r="K589" s="84">
        <f t="shared" si="19"/>
        <v>501073</v>
      </c>
      <c r="L589" s="61" t="str">
        <f>VLOOKUP(K589,[1]Mapping!$J$3:$Q$351,8,FALSE)</f>
        <v>Fringe Benefits</v>
      </c>
      <c r="M589" t="s">
        <v>83</v>
      </c>
    </row>
    <row r="590" spans="1:13" hidden="1" x14ac:dyDescent="0.35">
      <c r="A590">
        <v>2000310095</v>
      </c>
      <c r="B590" t="s">
        <v>141</v>
      </c>
      <c r="C590">
        <v>600020</v>
      </c>
      <c r="D590" t="s">
        <v>91</v>
      </c>
      <c r="E590" s="81">
        <v>2</v>
      </c>
      <c r="F590" t="s">
        <v>21</v>
      </c>
      <c r="G590" s="55">
        <v>0</v>
      </c>
      <c r="H590" s="82">
        <v>0</v>
      </c>
      <c r="I590" s="83" t="str">
        <f>VLOOKUP(E590,[1]Mapping!$A$3:$B$14,2,FALSE)</f>
        <v>Aug</v>
      </c>
      <c r="J590" s="84">
        <f t="shared" si="18"/>
        <v>2000310095</v>
      </c>
      <c r="K590" s="84">
        <f t="shared" si="19"/>
        <v>600020</v>
      </c>
      <c r="L590" s="61" t="str">
        <f>VLOOKUP(K590,[1]Mapping!$J$3:$Q$351,8,FALSE)</f>
        <v>Fringe Benefits</v>
      </c>
      <c r="M590" t="s">
        <v>83</v>
      </c>
    </row>
    <row r="591" spans="1:13" hidden="1" x14ac:dyDescent="0.35">
      <c r="A591">
        <v>2000310095</v>
      </c>
      <c r="B591" t="s">
        <v>141</v>
      </c>
      <c r="C591">
        <v>600055</v>
      </c>
      <c r="D591" t="s">
        <v>92</v>
      </c>
      <c r="E591" s="81">
        <v>2</v>
      </c>
      <c r="F591" t="s">
        <v>21</v>
      </c>
      <c r="G591" s="55">
        <v>0</v>
      </c>
      <c r="H591" s="82">
        <v>0</v>
      </c>
      <c r="I591" s="83" t="str">
        <f>VLOOKUP(E591,[1]Mapping!$A$3:$B$14,2,FALSE)</f>
        <v>Aug</v>
      </c>
      <c r="J591" s="84">
        <f t="shared" si="18"/>
        <v>2000310095</v>
      </c>
      <c r="K591" s="84">
        <f t="shared" si="19"/>
        <v>600055</v>
      </c>
      <c r="L591" s="61" t="str">
        <f>VLOOKUP(K591,[1]Mapping!$J$3:$Q$351,8,FALSE)</f>
        <v>Fringe Benefits</v>
      </c>
      <c r="M591" t="s">
        <v>83</v>
      </c>
    </row>
    <row r="592" spans="1:13" hidden="1" x14ac:dyDescent="0.35">
      <c r="A592">
        <v>2000310095</v>
      </c>
      <c r="B592" t="s">
        <v>141</v>
      </c>
      <c r="C592">
        <v>501716</v>
      </c>
      <c r="D592" t="s">
        <v>139</v>
      </c>
      <c r="E592" s="81">
        <v>2</v>
      </c>
      <c r="F592" t="s">
        <v>117</v>
      </c>
      <c r="G592" s="55">
        <v>-27241.66</v>
      </c>
      <c r="H592" s="82">
        <v>-27241.66</v>
      </c>
      <c r="I592" s="83" t="str">
        <f>VLOOKUP(E592,[1]Mapping!$A$3:$B$14,2,FALSE)</f>
        <v>Aug</v>
      </c>
      <c r="J592" s="84">
        <f t="shared" si="18"/>
        <v>2000310095</v>
      </c>
      <c r="K592" s="84">
        <f t="shared" si="19"/>
        <v>501716</v>
      </c>
      <c r="L592" s="61" t="e">
        <f>VLOOKUP(K592,[1]Mapping!$J$3:$Q$351,8,FALSE)</f>
        <v>#N/A</v>
      </c>
      <c r="M592" t="s">
        <v>83</v>
      </c>
    </row>
    <row r="593" spans="1:13" hidden="1" x14ac:dyDescent="0.35">
      <c r="A593">
        <v>2000310095</v>
      </c>
      <c r="B593" t="s">
        <v>141</v>
      </c>
      <c r="C593">
        <v>500550</v>
      </c>
      <c r="D593" t="s">
        <v>185</v>
      </c>
      <c r="E593" s="81">
        <v>2</v>
      </c>
      <c r="F593" t="s">
        <v>186</v>
      </c>
      <c r="G593" s="55">
        <v>0</v>
      </c>
      <c r="H593" s="82">
        <v>0</v>
      </c>
      <c r="I593" s="83" t="str">
        <f>VLOOKUP(E593,[1]Mapping!$A$3:$B$14,2,FALSE)</f>
        <v>Aug</v>
      </c>
      <c r="J593" s="84">
        <f t="shared" si="18"/>
        <v>2000310095</v>
      </c>
      <c r="K593" s="84">
        <f t="shared" si="19"/>
        <v>500550</v>
      </c>
      <c r="L593" s="61" t="str">
        <f>VLOOKUP(K593,[1]Mapping!$J$3:$Q$351,8,FALSE)</f>
        <v>Inv Adj</v>
      </c>
      <c r="M593" t="s">
        <v>83</v>
      </c>
    </row>
    <row r="594" spans="1:13" hidden="1" x14ac:dyDescent="0.35">
      <c r="A594">
        <v>2000310118</v>
      </c>
      <c r="B594" t="s">
        <v>142</v>
      </c>
      <c r="C594">
        <v>501050</v>
      </c>
      <c r="D594" t="s">
        <v>39</v>
      </c>
      <c r="E594" s="81">
        <v>2</v>
      </c>
      <c r="F594" t="s">
        <v>19</v>
      </c>
      <c r="G594" s="55">
        <v>14202.74</v>
      </c>
      <c r="H594" s="82">
        <v>14202.74</v>
      </c>
      <c r="I594" s="83" t="str">
        <f>VLOOKUP(E594,[1]Mapping!$A$3:$B$14,2,FALSE)</f>
        <v>Aug</v>
      </c>
      <c r="J594" s="84">
        <f t="shared" si="18"/>
        <v>2000310118</v>
      </c>
      <c r="K594" s="84">
        <f t="shared" si="19"/>
        <v>501050</v>
      </c>
      <c r="L594" s="61" t="str">
        <f>VLOOKUP(K594,[1]Mapping!$J$3:$Q$351,8,FALSE)</f>
        <v>Wages &amp; Salaries</v>
      </c>
      <c r="M594" t="s">
        <v>83</v>
      </c>
    </row>
    <row r="595" spans="1:13" hidden="1" x14ac:dyDescent="0.35">
      <c r="A595">
        <v>2000310118</v>
      </c>
      <c r="B595" t="s">
        <v>142</v>
      </c>
      <c r="C595">
        <v>501051</v>
      </c>
      <c r="D595" t="s">
        <v>121</v>
      </c>
      <c r="E595" s="81">
        <v>2</v>
      </c>
      <c r="F595" t="s">
        <v>19</v>
      </c>
      <c r="G595" s="55">
        <v>1155.6600000000001</v>
      </c>
      <c r="H595" s="82">
        <v>1155.6600000000001</v>
      </c>
      <c r="I595" s="83" t="str">
        <f>VLOOKUP(E595,[1]Mapping!$A$3:$B$14,2,FALSE)</f>
        <v>Aug</v>
      </c>
      <c r="J595" s="84">
        <f t="shared" si="18"/>
        <v>2000310118</v>
      </c>
      <c r="K595" s="84">
        <f t="shared" si="19"/>
        <v>501051</v>
      </c>
      <c r="L595" s="61" t="str">
        <f>VLOOKUP(K595,[1]Mapping!$J$3:$Q$351,8,FALSE)</f>
        <v>Wages &amp; Salaries</v>
      </c>
      <c r="M595" t="s">
        <v>83</v>
      </c>
    </row>
    <row r="596" spans="1:13" hidden="1" x14ac:dyDescent="0.35">
      <c r="A596">
        <v>2000310118</v>
      </c>
      <c r="B596" t="s">
        <v>142</v>
      </c>
      <c r="C596">
        <v>501058</v>
      </c>
      <c r="D596" t="s">
        <v>122</v>
      </c>
      <c r="E596" s="81">
        <v>2</v>
      </c>
      <c r="F596" t="s">
        <v>21</v>
      </c>
      <c r="G596" s="55">
        <v>4567.53</v>
      </c>
      <c r="H596" s="82">
        <v>4567.53</v>
      </c>
      <c r="I596" s="83" t="str">
        <f>VLOOKUP(E596,[1]Mapping!$A$3:$B$14,2,FALSE)</f>
        <v>Aug</v>
      </c>
      <c r="J596" s="84">
        <f t="shared" si="18"/>
        <v>2000310118</v>
      </c>
      <c r="K596" s="84">
        <f t="shared" si="19"/>
        <v>501058</v>
      </c>
      <c r="L596" s="61" t="str">
        <f>VLOOKUP(K596,[1]Mapping!$J$3:$Q$351,8,FALSE)</f>
        <v>Fringe Benefits</v>
      </c>
      <c r="M596" t="s">
        <v>83</v>
      </c>
    </row>
    <row r="597" spans="1:13" hidden="1" x14ac:dyDescent="0.35">
      <c r="A597">
        <v>2000310118</v>
      </c>
      <c r="B597" t="s">
        <v>142</v>
      </c>
      <c r="C597">
        <v>501062</v>
      </c>
      <c r="D597" t="s">
        <v>41</v>
      </c>
      <c r="E597" s="81">
        <v>2</v>
      </c>
      <c r="F597" t="s">
        <v>21</v>
      </c>
      <c r="G597" s="55">
        <v>6422.0599999999995</v>
      </c>
      <c r="H597" s="82">
        <v>6422.0599999999995</v>
      </c>
      <c r="I597" s="83" t="str">
        <f>VLOOKUP(E597,[1]Mapping!$A$3:$B$14,2,FALSE)</f>
        <v>Aug</v>
      </c>
      <c r="J597" s="84">
        <f t="shared" si="18"/>
        <v>2000310118</v>
      </c>
      <c r="K597" s="84">
        <f t="shared" si="19"/>
        <v>501062</v>
      </c>
      <c r="L597" s="61" t="str">
        <f>VLOOKUP(K597,[1]Mapping!$J$3:$Q$351,8,FALSE)</f>
        <v>Fringe Benefits</v>
      </c>
      <c r="M597" t="s">
        <v>83</v>
      </c>
    </row>
    <row r="598" spans="1:13" hidden="1" x14ac:dyDescent="0.35">
      <c r="A598">
        <v>2000310118</v>
      </c>
      <c r="B598" t="s">
        <v>142</v>
      </c>
      <c r="C598">
        <v>501062</v>
      </c>
      <c r="D598" t="s">
        <v>41</v>
      </c>
      <c r="E598" s="81">
        <v>2</v>
      </c>
      <c r="F598" t="s">
        <v>21</v>
      </c>
      <c r="G598" s="55">
        <v>2801.58</v>
      </c>
      <c r="H598" s="82">
        <v>2801.58</v>
      </c>
      <c r="I598" s="83" t="str">
        <f>VLOOKUP(E598,[1]Mapping!$A$3:$B$14,2,FALSE)</f>
        <v>Aug</v>
      </c>
      <c r="J598" s="84">
        <f t="shared" si="18"/>
        <v>2000310118</v>
      </c>
      <c r="K598" s="84">
        <f t="shared" si="19"/>
        <v>501062</v>
      </c>
      <c r="L598" s="61" t="str">
        <f>VLOOKUP(K598,[1]Mapping!$J$3:$Q$351,8,FALSE)</f>
        <v>Fringe Benefits</v>
      </c>
      <c r="M598" t="s">
        <v>83</v>
      </c>
    </row>
    <row r="599" spans="1:13" hidden="1" x14ac:dyDescent="0.35">
      <c r="A599">
        <v>2000310118</v>
      </c>
      <c r="B599" t="s">
        <v>142</v>
      </c>
      <c r="C599">
        <v>501063</v>
      </c>
      <c r="D599" t="s">
        <v>123</v>
      </c>
      <c r="E599" s="81">
        <v>2</v>
      </c>
      <c r="F599" t="s">
        <v>21</v>
      </c>
      <c r="G599" s="55">
        <v>5448.88</v>
      </c>
      <c r="H599" s="82">
        <v>5448.88</v>
      </c>
      <c r="I599" s="83" t="str">
        <f>VLOOKUP(E599,[1]Mapping!$A$3:$B$14,2,FALSE)</f>
        <v>Aug</v>
      </c>
      <c r="J599" s="84">
        <f t="shared" si="18"/>
        <v>2000310118</v>
      </c>
      <c r="K599" s="84">
        <f t="shared" si="19"/>
        <v>501063</v>
      </c>
      <c r="L599" s="61" t="str">
        <f>VLOOKUP(K599,[1]Mapping!$J$3:$Q$351,8,FALSE)</f>
        <v>Fringe Benefits</v>
      </c>
      <c r="M599" t="s">
        <v>83</v>
      </c>
    </row>
    <row r="600" spans="1:13" hidden="1" x14ac:dyDescent="0.35">
      <c r="A600">
        <v>2000310118</v>
      </c>
      <c r="B600" t="s">
        <v>142</v>
      </c>
      <c r="C600">
        <v>501053</v>
      </c>
      <c r="D600" t="s">
        <v>40</v>
      </c>
      <c r="E600" s="81">
        <v>2</v>
      </c>
      <c r="F600" t="s">
        <v>20</v>
      </c>
      <c r="G600" s="55">
        <v>2619.8200000000002</v>
      </c>
      <c r="H600" s="82">
        <v>2619.8200000000002</v>
      </c>
      <c r="I600" s="83" t="str">
        <f>VLOOKUP(E600,[1]Mapping!$A$3:$B$14,2,FALSE)</f>
        <v>Aug</v>
      </c>
      <c r="J600" s="84">
        <f t="shared" si="18"/>
        <v>2000310118</v>
      </c>
      <c r="K600" s="84">
        <f t="shared" si="19"/>
        <v>501053</v>
      </c>
      <c r="L600" s="61" t="str">
        <f>VLOOKUP(K600,[1]Mapping!$J$3:$Q$351,8,FALSE)</f>
        <v>Overtime</v>
      </c>
      <c r="M600" t="s">
        <v>83</v>
      </c>
    </row>
    <row r="601" spans="1:13" hidden="1" x14ac:dyDescent="0.35">
      <c r="A601">
        <v>2000310118</v>
      </c>
      <c r="B601" t="s">
        <v>142</v>
      </c>
      <c r="C601">
        <v>501059</v>
      </c>
      <c r="D601" t="s">
        <v>138</v>
      </c>
      <c r="E601" s="81">
        <v>2</v>
      </c>
      <c r="F601" t="s">
        <v>21</v>
      </c>
      <c r="G601" s="55">
        <v>331.33</v>
      </c>
      <c r="H601" s="82">
        <v>331.33</v>
      </c>
      <c r="I601" s="83" t="str">
        <f>VLOOKUP(E601,[1]Mapping!$A$3:$B$14,2,FALSE)</f>
        <v>Aug</v>
      </c>
      <c r="J601" s="84">
        <f t="shared" si="18"/>
        <v>2000310118</v>
      </c>
      <c r="K601" s="84">
        <f t="shared" si="19"/>
        <v>501059</v>
      </c>
      <c r="L601" s="61" t="str">
        <f>VLOOKUP(K601,[1]Mapping!$J$3:$Q$351,8,FALSE)</f>
        <v>Fringe Benefits</v>
      </c>
      <c r="M601" t="s">
        <v>83</v>
      </c>
    </row>
    <row r="602" spans="1:13" hidden="1" x14ac:dyDescent="0.35">
      <c r="A602">
        <v>2000310118</v>
      </c>
      <c r="B602" t="s">
        <v>142</v>
      </c>
      <c r="C602">
        <v>501072</v>
      </c>
      <c r="D602" t="s">
        <v>128</v>
      </c>
      <c r="E602" s="81">
        <v>2</v>
      </c>
      <c r="F602" t="s">
        <v>21</v>
      </c>
      <c r="G602" s="55">
        <v>1232.46</v>
      </c>
      <c r="H602" s="82">
        <v>1232.46</v>
      </c>
      <c r="I602" s="83" t="str">
        <f>VLOOKUP(E602,[1]Mapping!$A$3:$B$14,2,FALSE)</f>
        <v>Aug</v>
      </c>
      <c r="J602" s="84">
        <f>VALUE(A602)</f>
        <v>2000310118</v>
      </c>
      <c r="K602" s="84">
        <f>VALUE(C602)</f>
        <v>501072</v>
      </c>
      <c r="L602" s="61" t="str">
        <f>VLOOKUP(K602,[1]Mapping!$J$3:$Q$351,8,FALSE)</f>
        <v>Fringe Benefits</v>
      </c>
      <c r="M602" t="s">
        <v>83</v>
      </c>
    </row>
    <row r="603" spans="1:13" hidden="1" x14ac:dyDescent="0.35">
      <c r="A603">
        <v>2000310118</v>
      </c>
      <c r="B603" t="s">
        <v>142</v>
      </c>
      <c r="C603">
        <v>501073</v>
      </c>
      <c r="D603" t="s">
        <v>129</v>
      </c>
      <c r="E603" s="81">
        <v>2</v>
      </c>
      <c r="F603" t="s">
        <v>21</v>
      </c>
      <c r="G603" s="55">
        <v>258.82</v>
      </c>
      <c r="H603" s="82">
        <v>258.82</v>
      </c>
      <c r="I603" s="83" t="str">
        <f>VLOOKUP(E603,[1]Mapping!$A$3:$B$14,2,FALSE)</f>
        <v>Aug</v>
      </c>
      <c r="J603" s="84">
        <f t="shared" ref="J603:J666" si="20">VALUE(A603)</f>
        <v>2000310118</v>
      </c>
      <c r="K603" s="84">
        <f t="shared" ref="K603:K666" si="21">VALUE(C603)</f>
        <v>501073</v>
      </c>
      <c r="L603" s="61" t="str">
        <f>VLOOKUP(K603,[1]Mapping!$J$3:$Q$351,8,FALSE)</f>
        <v>Fringe Benefits</v>
      </c>
      <c r="M603" t="s">
        <v>83</v>
      </c>
    </row>
    <row r="604" spans="1:13" hidden="1" x14ac:dyDescent="0.35">
      <c r="A604">
        <v>2000310118</v>
      </c>
      <c r="B604" t="s">
        <v>142</v>
      </c>
      <c r="C604">
        <v>600020</v>
      </c>
      <c r="D604" t="s">
        <v>91</v>
      </c>
      <c r="E604" s="81">
        <v>2</v>
      </c>
      <c r="F604" t="s">
        <v>21</v>
      </c>
      <c r="G604" s="55">
        <v>0</v>
      </c>
      <c r="H604" s="82">
        <v>0</v>
      </c>
      <c r="I604" s="83" t="str">
        <f>VLOOKUP(E604,[1]Mapping!$A$3:$B$14,2,FALSE)</f>
        <v>Aug</v>
      </c>
      <c r="J604" s="84">
        <f t="shared" si="20"/>
        <v>2000310118</v>
      </c>
      <c r="K604" s="84">
        <f t="shared" si="21"/>
        <v>600020</v>
      </c>
      <c r="L604" s="61" t="str">
        <f>VLOOKUP(K604,[1]Mapping!$J$3:$Q$351,8,FALSE)</f>
        <v>Fringe Benefits</v>
      </c>
      <c r="M604" t="s">
        <v>83</v>
      </c>
    </row>
    <row r="605" spans="1:13" hidden="1" x14ac:dyDescent="0.35">
      <c r="A605">
        <v>2000310118</v>
      </c>
      <c r="B605" t="s">
        <v>142</v>
      </c>
      <c r="C605">
        <v>600055</v>
      </c>
      <c r="D605" t="s">
        <v>92</v>
      </c>
      <c r="E605" s="81">
        <v>2</v>
      </c>
      <c r="F605" t="s">
        <v>21</v>
      </c>
      <c r="G605" s="55">
        <v>0</v>
      </c>
      <c r="H605" s="82">
        <v>0</v>
      </c>
      <c r="I605" s="83" t="str">
        <f>VLOOKUP(E605,[1]Mapping!$A$3:$B$14,2,FALSE)</f>
        <v>Aug</v>
      </c>
      <c r="J605" s="84">
        <f t="shared" si="20"/>
        <v>2000310118</v>
      </c>
      <c r="K605" s="84">
        <f t="shared" si="21"/>
        <v>600055</v>
      </c>
      <c r="L605" s="61" t="str">
        <f>VLOOKUP(K605,[1]Mapping!$J$3:$Q$351,8,FALSE)</f>
        <v>Fringe Benefits</v>
      </c>
      <c r="M605" t="s">
        <v>83</v>
      </c>
    </row>
    <row r="606" spans="1:13" hidden="1" x14ac:dyDescent="0.35">
      <c r="A606">
        <v>2000310118</v>
      </c>
      <c r="B606" t="s">
        <v>142</v>
      </c>
      <c r="C606">
        <v>501716</v>
      </c>
      <c r="D606" t="s">
        <v>139</v>
      </c>
      <c r="E606" s="81">
        <v>2</v>
      </c>
      <c r="F606" t="s">
        <v>117</v>
      </c>
      <c r="G606" s="55">
        <v>-41238.769999999997</v>
      </c>
      <c r="H606" s="82">
        <v>-41238.769999999997</v>
      </c>
      <c r="I606" s="83" t="str">
        <f>VLOOKUP(E606,[1]Mapping!$A$3:$B$14,2,FALSE)</f>
        <v>Aug</v>
      </c>
      <c r="J606" s="84">
        <f t="shared" si="20"/>
        <v>2000310118</v>
      </c>
      <c r="K606" s="84">
        <f t="shared" si="21"/>
        <v>501716</v>
      </c>
      <c r="L606" s="61" t="e">
        <f>VLOOKUP(K606,[1]Mapping!$J$3:$Q$351,8,FALSE)</f>
        <v>#N/A</v>
      </c>
      <c r="M606" t="s">
        <v>83</v>
      </c>
    </row>
    <row r="607" spans="1:13" hidden="1" x14ac:dyDescent="0.35">
      <c r="A607">
        <v>2000310118</v>
      </c>
      <c r="B607" t="s">
        <v>142</v>
      </c>
      <c r="C607">
        <v>501611</v>
      </c>
      <c r="D607" t="s">
        <v>192</v>
      </c>
      <c r="E607" s="81">
        <v>2</v>
      </c>
      <c r="F607" t="s">
        <v>24</v>
      </c>
      <c r="G607" s="55">
        <v>2197.89</v>
      </c>
      <c r="H607" s="82">
        <v>2197.89</v>
      </c>
      <c r="I607" s="83" t="str">
        <f>VLOOKUP(E607,[1]Mapping!$A$3:$B$14,2,FALSE)</f>
        <v>Aug</v>
      </c>
      <c r="J607" s="84">
        <f t="shared" si="20"/>
        <v>2000310118</v>
      </c>
      <c r="K607" s="84">
        <f t="shared" si="21"/>
        <v>501611</v>
      </c>
      <c r="L607" s="61" t="str">
        <f>VLOOKUP(K607,[1]Mapping!$J$3:$Q$351,8,FALSE)</f>
        <v>Supplies Expenses</v>
      </c>
      <c r="M607" t="s">
        <v>83</v>
      </c>
    </row>
    <row r="608" spans="1:13" hidden="1" x14ac:dyDescent="0.35">
      <c r="A608">
        <v>2000310119</v>
      </c>
      <c r="B608" t="s">
        <v>143</v>
      </c>
      <c r="C608">
        <v>501050</v>
      </c>
      <c r="D608" t="s">
        <v>39</v>
      </c>
      <c r="E608" s="81">
        <v>2</v>
      </c>
      <c r="F608" t="s">
        <v>19</v>
      </c>
      <c r="G608" s="55">
        <v>26928.59</v>
      </c>
      <c r="H608" s="82">
        <v>26928.59</v>
      </c>
      <c r="I608" s="83" t="str">
        <f>VLOOKUP(E608,[1]Mapping!$A$3:$B$14,2,FALSE)</f>
        <v>Aug</v>
      </c>
      <c r="J608" s="84">
        <f t="shared" si="20"/>
        <v>2000310119</v>
      </c>
      <c r="K608" s="84">
        <f t="shared" si="21"/>
        <v>501050</v>
      </c>
      <c r="L608" s="61" t="str">
        <f>VLOOKUP(K608,[1]Mapping!$J$3:$Q$351,8,FALSE)</f>
        <v>Wages &amp; Salaries</v>
      </c>
      <c r="M608" t="s">
        <v>83</v>
      </c>
    </row>
    <row r="609" spans="1:13" hidden="1" x14ac:dyDescent="0.35">
      <c r="A609">
        <v>2000310119</v>
      </c>
      <c r="B609" t="s">
        <v>143</v>
      </c>
      <c r="C609">
        <v>501051</v>
      </c>
      <c r="D609" t="s">
        <v>121</v>
      </c>
      <c r="E609" s="81">
        <v>2</v>
      </c>
      <c r="F609" t="s">
        <v>19</v>
      </c>
      <c r="G609" s="55">
        <v>2149.19</v>
      </c>
      <c r="H609" s="82">
        <v>2149.19</v>
      </c>
      <c r="I609" s="83" t="str">
        <f>VLOOKUP(E609,[1]Mapping!$A$3:$B$14,2,FALSE)</f>
        <v>Aug</v>
      </c>
      <c r="J609" s="84">
        <f t="shared" si="20"/>
        <v>2000310119</v>
      </c>
      <c r="K609" s="84">
        <f t="shared" si="21"/>
        <v>501051</v>
      </c>
      <c r="L609" s="61" t="str">
        <f>VLOOKUP(K609,[1]Mapping!$J$3:$Q$351,8,FALSE)</f>
        <v>Wages &amp; Salaries</v>
      </c>
      <c r="M609" t="s">
        <v>83</v>
      </c>
    </row>
    <row r="610" spans="1:13" hidden="1" x14ac:dyDescent="0.35">
      <c r="A610">
        <v>2000310119</v>
      </c>
      <c r="B610" t="s">
        <v>143</v>
      </c>
      <c r="C610">
        <v>501058</v>
      </c>
      <c r="D610" t="s">
        <v>122</v>
      </c>
      <c r="E610" s="81">
        <v>2</v>
      </c>
      <c r="F610" t="s">
        <v>21</v>
      </c>
      <c r="G610" s="55">
        <v>6941.5499999999993</v>
      </c>
      <c r="H610" s="82">
        <v>6941.5499999999993</v>
      </c>
      <c r="I610" s="83" t="str">
        <f>VLOOKUP(E610,[1]Mapping!$A$3:$B$14,2,FALSE)</f>
        <v>Aug</v>
      </c>
      <c r="J610" s="84">
        <f t="shared" si="20"/>
        <v>2000310119</v>
      </c>
      <c r="K610" s="84">
        <f t="shared" si="21"/>
        <v>501058</v>
      </c>
      <c r="L610" s="61" t="str">
        <f>VLOOKUP(K610,[1]Mapping!$J$3:$Q$351,8,FALSE)</f>
        <v>Fringe Benefits</v>
      </c>
      <c r="M610" t="s">
        <v>83</v>
      </c>
    </row>
    <row r="611" spans="1:13" hidden="1" x14ac:dyDescent="0.35">
      <c r="A611">
        <v>2000310119</v>
      </c>
      <c r="B611" t="s">
        <v>143</v>
      </c>
      <c r="C611">
        <v>501062</v>
      </c>
      <c r="D611" t="s">
        <v>41</v>
      </c>
      <c r="E611" s="81">
        <v>2</v>
      </c>
      <c r="F611" t="s">
        <v>21</v>
      </c>
      <c r="G611" s="55">
        <v>9291.0799999999981</v>
      </c>
      <c r="H611" s="82">
        <v>9291.0799999999981</v>
      </c>
      <c r="I611" s="83" t="str">
        <f>VLOOKUP(E611,[1]Mapping!$A$3:$B$14,2,FALSE)</f>
        <v>Aug</v>
      </c>
      <c r="J611" s="84">
        <f t="shared" si="20"/>
        <v>2000310119</v>
      </c>
      <c r="K611" s="84">
        <f t="shared" si="21"/>
        <v>501062</v>
      </c>
      <c r="L611" s="61" t="str">
        <f>VLOOKUP(K611,[1]Mapping!$J$3:$Q$351,8,FALSE)</f>
        <v>Fringe Benefits</v>
      </c>
      <c r="M611" t="s">
        <v>83</v>
      </c>
    </row>
    <row r="612" spans="1:13" hidden="1" x14ac:dyDescent="0.35">
      <c r="A612">
        <v>2000310119</v>
      </c>
      <c r="B612" t="s">
        <v>143</v>
      </c>
      <c r="C612">
        <v>501062</v>
      </c>
      <c r="D612" t="s">
        <v>41</v>
      </c>
      <c r="E612" s="81">
        <v>2</v>
      </c>
      <c r="F612" t="s">
        <v>21</v>
      </c>
      <c r="G612" s="55">
        <v>3991.4399999999996</v>
      </c>
      <c r="H612" s="82">
        <v>3991.4399999999996</v>
      </c>
      <c r="I612" s="83" t="str">
        <f>VLOOKUP(E612,[1]Mapping!$A$3:$B$14,2,FALSE)</f>
        <v>Aug</v>
      </c>
      <c r="J612" s="84">
        <f t="shared" si="20"/>
        <v>2000310119</v>
      </c>
      <c r="K612" s="84">
        <f t="shared" si="21"/>
        <v>501062</v>
      </c>
      <c r="L612" s="61" t="str">
        <f>VLOOKUP(K612,[1]Mapping!$J$3:$Q$351,8,FALSE)</f>
        <v>Fringe Benefits</v>
      </c>
      <c r="M612" t="s">
        <v>83</v>
      </c>
    </row>
    <row r="613" spans="1:13" hidden="1" x14ac:dyDescent="0.35">
      <c r="A613">
        <v>2000310119</v>
      </c>
      <c r="B613" t="s">
        <v>143</v>
      </c>
      <c r="C613">
        <v>501063</v>
      </c>
      <c r="D613" t="s">
        <v>123</v>
      </c>
      <c r="E613" s="81">
        <v>2</v>
      </c>
      <c r="F613" t="s">
        <v>21</v>
      </c>
      <c r="G613" s="55">
        <v>5059.67</v>
      </c>
      <c r="H613" s="82">
        <v>5059.67</v>
      </c>
      <c r="I613" s="83" t="str">
        <f>VLOOKUP(E613,[1]Mapping!$A$3:$B$14,2,FALSE)</f>
        <v>Aug</v>
      </c>
      <c r="J613" s="84">
        <f t="shared" si="20"/>
        <v>2000310119</v>
      </c>
      <c r="K613" s="84">
        <f t="shared" si="21"/>
        <v>501063</v>
      </c>
      <c r="L613" s="61" t="str">
        <f>VLOOKUP(K613,[1]Mapping!$J$3:$Q$351,8,FALSE)</f>
        <v>Fringe Benefits</v>
      </c>
      <c r="M613" t="s">
        <v>83</v>
      </c>
    </row>
    <row r="614" spans="1:13" hidden="1" x14ac:dyDescent="0.35">
      <c r="A614">
        <v>2000310119</v>
      </c>
      <c r="B614" t="s">
        <v>143</v>
      </c>
      <c r="C614">
        <v>501609</v>
      </c>
      <c r="D614" t="s">
        <v>47</v>
      </c>
      <c r="E614" s="81">
        <v>2</v>
      </c>
      <c r="F614" t="s">
        <v>24</v>
      </c>
      <c r="G614" s="55">
        <v>2940.58</v>
      </c>
      <c r="H614" s="82">
        <v>2940.58</v>
      </c>
      <c r="I614" s="83" t="str">
        <f>VLOOKUP(E614,[1]Mapping!$A$3:$B$14,2,FALSE)</f>
        <v>Aug</v>
      </c>
      <c r="J614" s="84">
        <f t="shared" si="20"/>
        <v>2000310119</v>
      </c>
      <c r="K614" s="84">
        <f t="shared" si="21"/>
        <v>501609</v>
      </c>
      <c r="L614" s="61" t="str">
        <f>VLOOKUP(K614,[1]Mapping!$J$3:$Q$351,8,FALSE)</f>
        <v>Supplies Expenses</v>
      </c>
      <c r="M614" t="s">
        <v>83</v>
      </c>
    </row>
    <row r="615" spans="1:13" hidden="1" x14ac:dyDescent="0.35">
      <c r="A615">
        <v>2000310119</v>
      </c>
      <c r="B615" t="s">
        <v>143</v>
      </c>
      <c r="C615">
        <v>501053</v>
      </c>
      <c r="D615" t="s">
        <v>40</v>
      </c>
      <c r="E615" s="81">
        <v>2</v>
      </c>
      <c r="F615" t="s">
        <v>20</v>
      </c>
      <c r="G615" s="55">
        <v>25.02</v>
      </c>
      <c r="H615" s="82">
        <v>25.02</v>
      </c>
      <c r="I615" s="83" t="str">
        <f>VLOOKUP(E615,[1]Mapping!$A$3:$B$14,2,FALSE)</f>
        <v>Aug</v>
      </c>
      <c r="J615" s="84">
        <f t="shared" si="20"/>
        <v>2000310119</v>
      </c>
      <c r="K615" s="84">
        <f t="shared" si="21"/>
        <v>501053</v>
      </c>
      <c r="L615" s="61" t="str">
        <f>VLOOKUP(K615,[1]Mapping!$J$3:$Q$351,8,FALSE)</f>
        <v>Overtime</v>
      </c>
      <c r="M615" t="s">
        <v>83</v>
      </c>
    </row>
    <row r="616" spans="1:13" hidden="1" x14ac:dyDescent="0.35">
      <c r="A616">
        <v>2000310119</v>
      </c>
      <c r="B616" t="s">
        <v>143</v>
      </c>
      <c r="C616">
        <v>501059</v>
      </c>
      <c r="D616" t="s">
        <v>138</v>
      </c>
      <c r="E616" s="81">
        <v>2</v>
      </c>
      <c r="F616" t="s">
        <v>21</v>
      </c>
      <c r="G616" s="55">
        <v>1860.04</v>
      </c>
      <c r="H616" s="82">
        <v>1860.04</v>
      </c>
      <c r="I616" s="83" t="str">
        <f>VLOOKUP(E616,[1]Mapping!$A$3:$B$14,2,FALSE)</f>
        <v>Aug</v>
      </c>
      <c r="J616" s="84">
        <f t="shared" si="20"/>
        <v>2000310119</v>
      </c>
      <c r="K616" s="84">
        <f t="shared" si="21"/>
        <v>501059</v>
      </c>
      <c r="L616" s="61" t="str">
        <f>VLOOKUP(K616,[1]Mapping!$J$3:$Q$351,8,FALSE)</f>
        <v>Fringe Benefits</v>
      </c>
      <c r="M616" t="s">
        <v>83</v>
      </c>
    </row>
    <row r="617" spans="1:13" hidden="1" x14ac:dyDescent="0.35">
      <c r="A617">
        <v>2000310119</v>
      </c>
      <c r="B617" t="s">
        <v>143</v>
      </c>
      <c r="C617">
        <v>501072</v>
      </c>
      <c r="D617" t="s">
        <v>128</v>
      </c>
      <c r="E617" s="81">
        <v>2</v>
      </c>
      <c r="F617" t="s">
        <v>21</v>
      </c>
      <c r="G617" s="55">
        <v>3707.62</v>
      </c>
      <c r="H617" s="82">
        <v>3707.62</v>
      </c>
      <c r="I617" s="83" t="str">
        <f>VLOOKUP(E617,[1]Mapping!$A$3:$B$14,2,FALSE)</f>
        <v>Aug</v>
      </c>
      <c r="J617" s="84">
        <f t="shared" si="20"/>
        <v>2000310119</v>
      </c>
      <c r="K617" s="84">
        <f t="shared" si="21"/>
        <v>501072</v>
      </c>
      <c r="L617" s="61" t="str">
        <f>VLOOKUP(K617,[1]Mapping!$J$3:$Q$351,8,FALSE)</f>
        <v>Fringe Benefits</v>
      </c>
      <c r="M617" t="s">
        <v>83</v>
      </c>
    </row>
    <row r="618" spans="1:13" hidden="1" x14ac:dyDescent="0.35">
      <c r="A618">
        <v>2000310119</v>
      </c>
      <c r="B618" t="s">
        <v>143</v>
      </c>
      <c r="C618">
        <v>501073</v>
      </c>
      <c r="D618" t="s">
        <v>129</v>
      </c>
      <c r="E618" s="81">
        <v>2</v>
      </c>
      <c r="F618" t="s">
        <v>21</v>
      </c>
      <c r="G618" s="55">
        <v>778.6</v>
      </c>
      <c r="H618" s="82">
        <v>778.6</v>
      </c>
      <c r="I618" s="83" t="str">
        <f>VLOOKUP(E618,[1]Mapping!$A$3:$B$14,2,FALSE)</f>
        <v>Aug</v>
      </c>
      <c r="J618" s="84">
        <f t="shared" si="20"/>
        <v>2000310119</v>
      </c>
      <c r="K618" s="84">
        <f t="shared" si="21"/>
        <v>501073</v>
      </c>
      <c r="L618" s="61" t="str">
        <f>VLOOKUP(K618,[1]Mapping!$J$3:$Q$351,8,FALSE)</f>
        <v>Fringe Benefits</v>
      </c>
      <c r="M618" t="s">
        <v>83</v>
      </c>
    </row>
    <row r="619" spans="1:13" hidden="1" x14ac:dyDescent="0.35">
      <c r="A619">
        <v>2000310119</v>
      </c>
      <c r="B619" t="s">
        <v>143</v>
      </c>
      <c r="C619">
        <v>600020</v>
      </c>
      <c r="D619" t="s">
        <v>91</v>
      </c>
      <c r="E619" s="81">
        <v>2</v>
      </c>
      <c r="F619" t="s">
        <v>21</v>
      </c>
      <c r="G619" s="55">
        <v>0</v>
      </c>
      <c r="H619" s="82">
        <v>0</v>
      </c>
      <c r="I619" s="83" t="str">
        <f>VLOOKUP(E619,[1]Mapping!$A$3:$B$14,2,FALSE)</f>
        <v>Aug</v>
      </c>
      <c r="J619" s="84">
        <f t="shared" si="20"/>
        <v>2000310119</v>
      </c>
      <c r="K619" s="84">
        <f t="shared" si="21"/>
        <v>600020</v>
      </c>
      <c r="L619" s="61" t="str">
        <f>VLOOKUP(K619,[1]Mapping!$J$3:$Q$351,8,FALSE)</f>
        <v>Fringe Benefits</v>
      </c>
      <c r="M619" t="s">
        <v>83</v>
      </c>
    </row>
    <row r="620" spans="1:13" hidden="1" x14ac:dyDescent="0.35">
      <c r="A620">
        <v>2000310119</v>
      </c>
      <c r="B620" t="s">
        <v>143</v>
      </c>
      <c r="C620">
        <v>600055</v>
      </c>
      <c r="D620" t="s">
        <v>92</v>
      </c>
      <c r="E620" s="81">
        <v>2</v>
      </c>
      <c r="F620" t="s">
        <v>21</v>
      </c>
      <c r="G620" s="55">
        <v>0</v>
      </c>
      <c r="H620" s="82">
        <v>0</v>
      </c>
      <c r="I620" s="83" t="str">
        <f>VLOOKUP(E620,[1]Mapping!$A$3:$B$14,2,FALSE)</f>
        <v>Aug</v>
      </c>
      <c r="J620" s="84">
        <f t="shared" si="20"/>
        <v>2000310119</v>
      </c>
      <c r="K620" s="84">
        <f t="shared" si="21"/>
        <v>600055</v>
      </c>
      <c r="L620" s="61" t="str">
        <f>VLOOKUP(K620,[1]Mapping!$J$3:$Q$351,8,FALSE)</f>
        <v>Fringe Benefits</v>
      </c>
      <c r="M620" t="s">
        <v>83</v>
      </c>
    </row>
    <row r="621" spans="1:13" hidden="1" x14ac:dyDescent="0.35">
      <c r="A621">
        <v>2000310119</v>
      </c>
      <c r="B621" t="s">
        <v>143</v>
      </c>
      <c r="C621">
        <v>501716</v>
      </c>
      <c r="D621" t="s">
        <v>139</v>
      </c>
      <c r="E621" s="81">
        <v>2</v>
      </c>
      <c r="F621" t="s">
        <v>117</v>
      </c>
      <c r="G621" s="55">
        <v>-63673.38</v>
      </c>
      <c r="H621" s="82">
        <v>-63673.38</v>
      </c>
      <c r="I621" s="83" t="str">
        <f>VLOOKUP(E621,[1]Mapping!$A$3:$B$14,2,FALSE)</f>
        <v>Aug</v>
      </c>
      <c r="J621" s="84">
        <f t="shared" si="20"/>
        <v>2000310119</v>
      </c>
      <c r="K621" s="84">
        <f t="shared" si="21"/>
        <v>501716</v>
      </c>
      <c r="L621" s="61" t="e">
        <f>VLOOKUP(K621,[1]Mapping!$J$3:$Q$351,8,FALSE)</f>
        <v>#N/A</v>
      </c>
      <c r="M621" t="s">
        <v>83</v>
      </c>
    </row>
    <row r="622" spans="1:13" hidden="1" x14ac:dyDescent="0.35">
      <c r="A622">
        <v>2000310120</v>
      </c>
      <c r="B622" t="s">
        <v>197</v>
      </c>
      <c r="C622">
        <v>501050</v>
      </c>
      <c r="D622" t="s">
        <v>39</v>
      </c>
      <c r="E622" s="81">
        <v>2</v>
      </c>
      <c r="F622" t="s">
        <v>19</v>
      </c>
      <c r="G622" s="55">
        <v>9744.7199999999993</v>
      </c>
      <c r="H622" s="82">
        <v>9744.7199999999993</v>
      </c>
      <c r="I622" s="83" t="str">
        <f>VLOOKUP(E622,[1]Mapping!$A$3:$B$14,2,FALSE)</f>
        <v>Aug</v>
      </c>
      <c r="J622" s="84">
        <f t="shared" si="20"/>
        <v>2000310120</v>
      </c>
      <c r="K622" s="84">
        <f t="shared" si="21"/>
        <v>501050</v>
      </c>
      <c r="L622" s="61" t="str">
        <f>VLOOKUP(K622,[1]Mapping!$J$3:$Q$351,8,FALSE)</f>
        <v>Wages &amp; Salaries</v>
      </c>
      <c r="M622" t="s">
        <v>83</v>
      </c>
    </row>
    <row r="623" spans="1:13" hidden="1" x14ac:dyDescent="0.35">
      <c r="A623">
        <v>2000310120</v>
      </c>
      <c r="B623" t="s">
        <v>197</v>
      </c>
      <c r="C623">
        <v>501051</v>
      </c>
      <c r="D623" t="s">
        <v>121</v>
      </c>
      <c r="E623" s="81">
        <v>2</v>
      </c>
      <c r="F623" t="s">
        <v>19</v>
      </c>
      <c r="G623" s="55">
        <v>533.76</v>
      </c>
      <c r="H623" s="82">
        <v>533.76</v>
      </c>
      <c r="I623" s="83" t="str">
        <f>VLOOKUP(E623,[1]Mapping!$A$3:$B$14,2,FALSE)</f>
        <v>Aug</v>
      </c>
      <c r="J623" s="84">
        <f t="shared" si="20"/>
        <v>2000310120</v>
      </c>
      <c r="K623" s="84">
        <f t="shared" si="21"/>
        <v>501051</v>
      </c>
      <c r="L623" s="61" t="str">
        <f>VLOOKUP(K623,[1]Mapping!$J$3:$Q$351,8,FALSE)</f>
        <v>Wages &amp; Salaries</v>
      </c>
      <c r="M623" t="s">
        <v>83</v>
      </c>
    </row>
    <row r="624" spans="1:13" hidden="1" x14ac:dyDescent="0.35">
      <c r="A624">
        <v>2000310120</v>
      </c>
      <c r="B624" t="s">
        <v>197</v>
      </c>
      <c r="C624">
        <v>501058</v>
      </c>
      <c r="D624" t="s">
        <v>122</v>
      </c>
      <c r="E624" s="81">
        <v>2</v>
      </c>
      <c r="F624" t="s">
        <v>21</v>
      </c>
      <c r="G624" s="55">
        <v>2657.27</v>
      </c>
      <c r="H624" s="82">
        <v>2657.27</v>
      </c>
      <c r="I624" s="83" t="str">
        <f>VLOOKUP(E624,[1]Mapping!$A$3:$B$14,2,FALSE)</f>
        <v>Aug</v>
      </c>
      <c r="J624" s="84">
        <f t="shared" si="20"/>
        <v>2000310120</v>
      </c>
      <c r="K624" s="84">
        <f t="shared" si="21"/>
        <v>501058</v>
      </c>
      <c r="L624" s="61" t="str">
        <f>VLOOKUP(K624,[1]Mapping!$J$3:$Q$351,8,FALSE)</f>
        <v>Fringe Benefits</v>
      </c>
      <c r="M624" t="s">
        <v>83</v>
      </c>
    </row>
    <row r="625" spans="1:13" hidden="1" x14ac:dyDescent="0.35">
      <c r="A625">
        <v>2000310120</v>
      </c>
      <c r="B625" t="s">
        <v>197</v>
      </c>
      <c r="C625">
        <v>501062</v>
      </c>
      <c r="D625" t="s">
        <v>41</v>
      </c>
      <c r="E625" s="81">
        <v>2</v>
      </c>
      <c r="F625" t="s">
        <v>21</v>
      </c>
      <c r="G625" s="55">
        <v>2881.37</v>
      </c>
      <c r="H625" s="82">
        <v>2881.37</v>
      </c>
      <c r="I625" s="83" t="str">
        <f>VLOOKUP(E625,[1]Mapping!$A$3:$B$14,2,FALSE)</f>
        <v>Aug</v>
      </c>
      <c r="J625" s="84">
        <f t="shared" si="20"/>
        <v>2000310120</v>
      </c>
      <c r="K625" s="84">
        <f t="shared" si="21"/>
        <v>501062</v>
      </c>
      <c r="L625" s="61" t="str">
        <f>VLOOKUP(K625,[1]Mapping!$J$3:$Q$351,8,FALSE)</f>
        <v>Fringe Benefits</v>
      </c>
      <c r="M625" t="s">
        <v>83</v>
      </c>
    </row>
    <row r="626" spans="1:13" hidden="1" x14ac:dyDescent="0.35">
      <c r="A626">
        <v>2000310120</v>
      </c>
      <c r="B626" t="s">
        <v>197</v>
      </c>
      <c r="C626">
        <v>501062</v>
      </c>
      <c r="D626" t="s">
        <v>41</v>
      </c>
      <c r="E626" s="81">
        <v>2</v>
      </c>
      <c r="F626" t="s">
        <v>21</v>
      </c>
      <c r="G626" s="55">
        <v>1062.3900000000001</v>
      </c>
      <c r="H626" s="82">
        <v>1062.3900000000001</v>
      </c>
      <c r="I626" s="83" t="str">
        <f>VLOOKUP(E626,[1]Mapping!$A$3:$B$14,2,FALSE)</f>
        <v>Aug</v>
      </c>
      <c r="J626" s="84">
        <f t="shared" si="20"/>
        <v>2000310120</v>
      </c>
      <c r="K626" s="84">
        <f t="shared" si="21"/>
        <v>501062</v>
      </c>
      <c r="L626" s="61" t="str">
        <f>VLOOKUP(K626,[1]Mapping!$J$3:$Q$351,8,FALSE)</f>
        <v>Fringe Benefits</v>
      </c>
      <c r="M626" t="s">
        <v>83</v>
      </c>
    </row>
    <row r="627" spans="1:13" hidden="1" x14ac:dyDescent="0.35">
      <c r="A627">
        <v>2000310120</v>
      </c>
      <c r="B627" t="s">
        <v>197</v>
      </c>
      <c r="C627">
        <v>501063</v>
      </c>
      <c r="D627" t="s">
        <v>123</v>
      </c>
      <c r="E627" s="81">
        <v>2</v>
      </c>
      <c r="F627" t="s">
        <v>21</v>
      </c>
      <c r="G627" s="55">
        <v>1556.82</v>
      </c>
      <c r="H627" s="82">
        <v>1556.82</v>
      </c>
      <c r="I627" s="83" t="str">
        <f>VLOOKUP(E627,[1]Mapping!$A$3:$B$14,2,FALSE)</f>
        <v>Aug</v>
      </c>
      <c r="J627" s="84">
        <f t="shared" si="20"/>
        <v>2000310120</v>
      </c>
      <c r="K627" s="84">
        <f t="shared" si="21"/>
        <v>501063</v>
      </c>
      <c r="L627" s="61" t="str">
        <f>VLOOKUP(K627,[1]Mapping!$J$3:$Q$351,8,FALSE)</f>
        <v>Fringe Benefits</v>
      </c>
      <c r="M627" t="s">
        <v>83</v>
      </c>
    </row>
    <row r="628" spans="1:13" hidden="1" x14ac:dyDescent="0.35">
      <c r="A628">
        <v>2000310120</v>
      </c>
      <c r="B628" t="s">
        <v>197</v>
      </c>
      <c r="C628">
        <v>501711</v>
      </c>
      <c r="D628" t="s">
        <v>144</v>
      </c>
      <c r="E628" s="81">
        <v>2</v>
      </c>
      <c r="F628" t="s">
        <v>27</v>
      </c>
      <c r="G628" s="55">
        <v>98.61</v>
      </c>
      <c r="H628" s="82">
        <v>98.61</v>
      </c>
      <c r="I628" s="83" t="str">
        <f>VLOOKUP(E628,[1]Mapping!$A$3:$B$14,2,FALSE)</f>
        <v>Aug</v>
      </c>
      <c r="J628" s="84">
        <f t="shared" si="20"/>
        <v>2000310120</v>
      </c>
      <c r="K628" s="84">
        <f t="shared" si="21"/>
        <v>501711</v>
      </c>
      <c r="L628" s="61" t="str">
        <f>VLOOKUP(K628,[1]Mapping!$J$3:$Q$351,8,FALSE)</f>
        <v>Outside Services</v>
      </c>
      <c r="M628" t="s">
        <v>83</v>
      </c>
    </row>
    <row r="629" spans="1:13" hidden="1" x14ac:dyDescent="0.35">
      <c r="A629">
        <v>2000310120</v>
      </c>
      <c r="B629" t="s">
        <v>197</v>
      </c>
      <c r="C629">
        <v>501053</v>
      </c>
      <c r="D629" t="s">
        <v>40</v>
      </c>
      <c r="E629" s="81">
        <v>2</v>
      </c>
      <c r="F629" t="s">
        <v>20</v>
      </c>
      <c r="G629" s="55">
        <v>3307.95</v>
      </c>
      <c r="H629" s="82">
        <v>3307.95</v>
      </c>
      <c r="I629" s="83" t="str">
        <f>VLOOKUP(E629,[1]Mapping!$A$3:$B$14,2,FALSE)</f>
        <v>Aug</v>
      </c>
      <c r="J629" s="84">
        <f t="shared" si="20"/>
        <v>2000310120</v>
      </c>
      <c r="K629" s="84">
        <f t="shared" si="21"/>
        <v>501053</v>
      </c>
      <c r="L629" s="61" t="str">
        <f>VLOOKUP(K629,[1]Mapping!$J$3:$Q$351,8,FALSE)</f>
        <v>Overtime</v>
      </c>
      <c r="M629" t="s">
        <v>83</v>
      </c>
    </row>
    <row r="630" spans="1:13" hidden="1" x14ac:dyDescent="0.35">
      <c r="A630">
        <v>2000310120</v>
      </c>
      <c r="B630" t="s">
        <v>197</v>
      </c>
      <c r="C630">
        <v>501059</v>
      </c>
      <c r="D630" t="s">
        <v>138</v>
      </c>
      <c r="E630" s="81">
        <v>2</v>
      </c>
      <c r="F630" t="s">
        <v>21</v>
      </c>
      <c r="G630" s="55">
        <v>188.58999999999997</v>
      </c>
      <c r="H630" s="82">
        <v>188.58999999999997</v>
      </c>
      <c r="I630" s="83" t="str">
        <f>VLOOKUP(E630,[1]Mapping!$A$3:$B$14,2,FALSE)</f>
        <v>Aug</v>
      </c>
      <c r="J630" s="84">
        <f t="shared" si="20"/>
        <v>2000310120</v>
      </c>
      <c r="K630" s="84">
        <f t="shared" si="21"/>
        <v>501059</v>
      </c>
      <c r="L630" s="61" t="str">
        <f>VLOOKUP(K630,[1]Mapping!$J$3:$Q$351,8,FALSE)</f>
        <v>Fringe Benefits</v>
      </c>
      <c r="M630" t="s">
        <v>83</v>
      </c>
    </row>
    <row r="631" spans="1:13" hidden="1" x14ac:dyDescent="0.35">
      <c r="A631">
        <v>2000310120</v>
      </c>
      <c r="B631" t="s">
        <v>197</v>
      </c>
      <c r="C631">
        <v>501072</v>
      </c>
      <c r="D631" t="s">
        <v>128</v>
      </c>
      <c r="E631" s="81">
        <v>2</v>
      </c>
      <c r="F631" t="s">
        <v>21</v>
      </c>
      <c r="G631" s="55">
        <v>964.88</v>
      </c>
      <c r="H631" s="82">
        <v>964.88</v>
      </c>
      <c r="I631" s="83" t="str">
        <f>VLOOKUP(E631,[1]Mapping!$A$3:$B$14,2,FALSE)</f>
        <v>Aug</v>
      </c>
      <c r="J631" s="84">
        <f t="shared" si="20"/>
        <v>2000310120</v>
      </c>
      <c r="K631" s="84">
        <f t="shared" si="21"/>
        <v>501072</v>
      </c>
      <c r="L631" s="61" t="str">
        <f>VLOOKUP(K631,[1]Mapping!$J$3:$Q$351,8,FALSE)</f>
        <v>Fringe Benefits</v>
      </c>
      <c r="M631" t="s">
        <v>83</v>
      </c>
    </row>
    <row r="632" spans="1:13" hidden="1" x14ac:dyDescent="0.35">
      <c r="A632">
        <v>2000310120</v>
      </c>
      <c r="B632" t="s">
        <v>197</v>
      </c>
      <c r="C632">
        <v>501073</v>
      </c>
      <c r="D632" t="s">
        <v>129</v>
      </c>
      <c r="E632" s="81">
        <v>2</v>
      </c>
      <c r="F632" t="s">
        <v>21</v>
      </c>
      <c r="G632" s="55">
        <v>202.63</v>
      </c>
      <c r="H632" s="82">
        <v>202.63</v>
      </c>
      <c r="I632" s="83" t="str">
        <f>VLOOKUP(E632,[1]Mapping!$A$3:$B$14,2,FALSE)</f>
        <v>Aug</v>
      </c>
      <c r="J632" s="84">
        <f t="shared" si="20"/>
        <v>2000310120</v>
      </c>
      <c r="K632" s="84">
        <f t="shared" si="21"/>
        <v>501073</v>
      </c>
      <c r="L632" s="61" t="str">
        <f>VLOOKUP(K632,[1]Mapping!$J$3:$Q$351,8,FALSE)</f>
        <v>Fringe Benefits</v>
      </c>
      <c r="M632" t="s">
        <v>83</v>
      </c>
    </row>
    <row r="633" spans="1:13" hidden="1" x14ac:dyDescent="0.35">
      <c r="A633">
        <v>2000310120</v>
      </c>
      <c r="B633" t="s">
        <v>197</v>
      </c>
      <c r="C633">
        <v>600020</v>
      </c>
      <c r="D633" t="s">
        <v>91</v>
      </c>
      <c r="E633" s="81">
        <v>2</v>
      </c>
      <c r="F633" t="s">
        <v>21</v>
      </c>
      <c r="G633" s="55">
        <v>0</v>
      </c>
      <c r="H633" s="82">
        <v>0</v>
      </c>
      <c r="I633" s="83" t="str">
        <f>VLOOKUP(E633,[1]Mapping!$A$3:$B$14,2,FALSE)</f>
        <v>Aug</v>
      </c>
      <c r="J633" s="84">
        <f t="shared" si="20"/>
        <v>2000310120</v>
      </c>
      <c r="K633" s="84">
        <f t="shared" si="21"/>
        <v>600020</v>
      </c>
      <c r="L633" s="61" t="str">
        <f>VLOOKUP(K633,[1]Mapping!$J$3:$Q$351,8,FALSE)</f>
        <v>Fringe Benefits</v>
      </c>
      <c r="M633" t="s">
        <v>83</v>
      </c>
    </row>
    <row r="634" spans="1:13" hidden="1" x14ac:dyDescent="0.35">
      <c r="A634">
        <v>2000310120</v>
      </c>
      <c r="B634" t="s">
        <v>197</v>
      </c>
      <c r="C634">
        <v>600055</v>
      </c>
      <c r="D634" t="s">
        <v>92</v>
      </c>
      <c r="E634" s="81">
        <v>2</v>
      </c>
      <c r="F634" t="s">
        <v>21</v>
      </c>
      <c r="G634" s="55">
        <v>0</v>
      </c>
      <c r="H634" s="82">
        <v>0</v>
      </c>
      <c r="I634" s="83" t="str">
        <f>VLOOKUP(E634,[1]Mapping!$A$3:$B$14,2,FALSE)</f>
        <v>Aug</v>
      </c>
      <c r="J634" s="84">
        <f t="shared" si="20"/>
        <v>2000310120</v>
      </c>
      <c r="K634" s="84">
        <f t="shared" si="21"/>
        <v>600055</v>
      </c>
      <c r="L634" s="61" t="str">
        <f>VLOOKUP(K634,[1]Mapping!$J$3:$Q$351,8,FALSE)</f>
        <v>Fringe Benefits</v>
      </c>
      <c r="M634" t="s">
        <v>83</v>
      </c>
    </row>
    <row r="635" spans="1:13" hidden="1" x14ac:dyDescent="0.35">
      <c r="A635">
        <v>2000310120</v>
      </c>
      <c r="B635" t="s">
        <v>197</v>
      </c>
      <c r="C635">
        <v>501716</v>
      </c>
      <c r="D635" t="s">
        <v>139</v>
      </c>
      <c r="E635" s="81">
        <v>2</v>
      </c>
      <c r="F635" t="s">
        <v>117</v>
      </c>
      <c r="G635" s="55">
        <v>-23198.99</v>
      </c>
      <c r="H635" s="82">
        <v>-23198.99</v>
      </c>
      <c r="I635" s="83" t="str">
        <f>VLOOKUP(E635,[1]Mapping!$A$3:$B$14,2,FALSE)</f>
        <v>Aug</v>
      </c>
      <c r="J635" s="84">
        <f t="shared" si="20"/>
        <v>2000310120</v>
      </c>
      <c r="K635" s="84">
        <f t="shared" si="21"/>
        <v>501716</v>
      </c>
      <c r="L635" s="61" t="e">
        <f>VLOOKUP(K635,[1]Mapping!$J$3:$Q$351,8,FALSE)</f>
        <v>#N/A</v>
      </c>
      <c r="M635" t="s">
        <v>83</v>
      </c>
    </row>
    <row r="636" spans="1:13" hidden="1" x14ac:dyDescent="0.35">
      <c r="A636">
        <v>2000310121</v>
      </c>
      <c r="B636" t="s">
        <v>148</v>
      </c>
      <c r="C636">
        <v>501613</v>
      </c>
      <c r="D636" t="s">
        <v>149</v>
      </c>
      <c r="E636" s="81">
        <v>2</v>
      </c>
      <c r="F636" t="s">
        <v>24</v>
      </c>
      <c r="G636" s="55">
        <v>-279.56</v>
      </c>
      <c r="H636" s="82">
        <v>-279.56</v>
      </c>
      <c r="I636" s="83" t="str">
        <f>VLOOKUP(E636,[1]Mapping!$A$3:$B$14,2,FALSE)</f>
        <v>Aug</v>
      </c>
      <c r="J636" s="84">
        <f t="shared" si="20"/>
        <v>2000310121</v>
      </c>
      <c r="K636" s="84">
        <f t="shared" si="21"/>
        <v>501613</v>
      </c>
      <c r="L636" s="61" t="str">
        <f>VLOOKUP(K636,[1]Mapping!$J$3:$Q$351,8,FALSE)</f>
        <v>Supplies Expenses</v>
      </c>
      <c r="M636" t="s">
        <v>83</v>
      </c>
    </row>
    <row r="637" spans="1:13" hidden="1" x14ac:dyDescent="0.35">
      <c r="A637">
        <v>2000310121</v>
      </c>
      <c r="B637" t="s">
        <v>148</v>
      </c>
      <c r="C637">
        <v>508004</v>
      </c>
      <c r="D637" t="s">
        <v>130</v>
      </c>
      <c r="E637" s="81">
        <v>2</v>
      </c>
      <c r="F637" t="s">
        <v>31</v>
      </c>
      <c r="G637" s="55">
        <v>171.35</v>
      </c>
      <c r="H637" s="82">
        <v>171.35</v>
      </c>
      <c r="I637" s="83" t="str">
        <f>VLOOKUP(E637,[1]Mapping!$A$3:$B$14,2,FALSE)</f>
        <v>Aug</v>
      </c>
      <c r="J637" s="84">
        <f t="shared" si="20"/>
        <v>2000310121</v>
      </c>
      <c r="K637" s="84">
        <f t="shared" si="21"/>
        <v>508004</v>
      </c>
      <c r="L637" s="61" t="str">
        <f>VLOOKUP(K637,[1]Mapping!$J$3:$Q$351,8,FALSE)</f>
        <v>Depreciation</v>
      </c>
      <c r="M637" t="s">
        <v>83</v>
      </c>
    </row>
    <row r="638" spans="1:13" hidden="1" x14ac:dyDescent="0.35">
      <c r="A638">
        <v>2000310121</v>
      </c>
      <c r="B638" t="s">
        <v>148</v>
      </c>
      <c r="C638">
        <v>501716</v>
      </c>
      <c r="D638" t="s">
        <v>139</v>
      </c>
      <c r="E638" s="81">
        <v>2</v>
      </c>
      <c r="F638" t="s">
        <v>117</v>
      </c>
      <c r="G638" s="55">
        <v>108.21</v>
      </c>
      <c r="H638" s="82">
        <v>108.21</v>
      </c>
      <c r="I638" s="83" t="str">
        <f>VLOOKUP(E638,[1]Mapping!$A$3:$B$14,2,FALSE)</f>
        <v>Aug</v>
      </c>
      <c r="J638" s="84">
        <f t="shared" si="20"/>
        <v>2000310121</v>
      </c>
      <c r="K638" s="84">
        <f t="shared" si="21"/>
        <v>501716</v>
      </c>
      <c r="L638" s="61" t="e">
        <f>VLOOKUP(K638,[1]Mapping!$J$3:$Q$351,8,FALSE)</f>
        <v>#N/A</v>
      </c>
      <c r="M638" t="s">
        <v>83</v>
      </c>
    </row>
    <row r="639" spans="1:13" hidden="1" x14ac:dyDescent="0.35">
      <c r="A639">
        <v>2000310122</v>
      </c>
      <c r="B639" t="s">
        <v>150</v>
      </c>
      <c r="C639">
        <v>501050</v>
      </c>
      <c r="D639" t="s">
        <v>39</v>
      </c>
      <c r="E639" s="81">
        <v>2</v>
      </c>
      <c r="F639" t="s">
        <v>19</v>
      </c>
      <c r="G639" s="55">
        <v>2721.95</v>
      </c>
      <c r="H639" s="82">
        <v>2721.95</v>
      </c>
      <c r="I639" s="83" t="str">
        <f>VLOOKUP(E639,[1]Mapping!$A$3:$B$14,2,FALSE)</f>
        <v>Aug</v>
      </c>
      <c r="J639" s="84">
        <f t="shared" si="20"/>
        <v>2000310122</v>
      </c>
      <c r="K639" s="84">
        <f t="shared" si="21"/>
        <v>501050</v>
      </c>
      <c r="L639" s="61" t="str">
        <f>VLOOKUP(K639,[1]Mapping!$J$3:$Q$351,8,FALSE)</f>
        <v>Wages &amp; Salaries</v>
      </c>
      <c r="M639" t="s">
        <v>83</v>
      </c>
    </row>
    <row r="640" spans="1:13" hidden="1" x14ac:dyDescent="0.35">
      <c r="A640">
        <v>2000310122</v>
      </c>
      <c r="B640" t="s">
        <v>150</v>
      </c>
      <c r="C640">
        <v>501051</v>
      </c>
      <c r="D640" t="s">
        <v>121</v>
      </c>
      <c r="E640" s="81">
        <v>2</v>
      </c>
      <c r="F640" t="s">
        <v>19</v>
      </c>
      <c r="G640" s="55">
        <v>205.38</v>
      </c>
      <c r="H640" s="82">
        <v>205.38</v>
      </c>
      <c r="I640" s="83" t="str">
        <f>VLOOKUP(E640,[1]Mapping!$A$3:$B$14,2,FALSE)</f>
        <v>Aug</v>
      </c>
      <c r="J640" s="84">
        <f t="shared" si="20"/>
        <v>2000310122</v>
      </c>
      <c r="K640" s="84">
        <f t="shared" si="21"/>
        <v>501051</v>
      </c>
      <c r="L640" s="61" t="str">
        <f>VLOOKUP(K640,[1]Mapping!$J$3:$Q$351,8,FALSE)</f>
        <v>Wages &amp; Salaries</v>
      </c>
      <c r="M640" t="s">
        <v>83</v>
      </c>
    </row>
    <row r="641" spans="1:13" hidden="1" x14ac:dyDescent="0.35">
      <c r="A641">
        <v>2000310122</v>
      </c>
      <c r="B641" t="s">
        <v>150</v>
      </c>
      <c r="C641">
        <v>501058</v>
      </c>
      <c r="D641" t="s">
        <v>122</v>
      </c>
      <c r="E641" s="81">
        <v>2</v>
      </c>
      <c r="F641" t="s">
        <v>21</v>
      </c>
      <c r="G641" s="55">
        <v>818.40000000000009</v>
      </c>
      <c r="H641" s="82">
        <v>818.40000000000009</v>
      </c>
      <c r="I641" s="83" t="str">
        <f>VLOOKUP(E641,[1]Mapping!$A$3:$B$14,2,FALSE)</f>
        <v>Aug</v>
      </c>
      <c r="J641" s="84">
        <f t="shared" si="20"/>
        <v>2000310122</v>
      </c>
      <c r="K641" s="84">
        <f t="shared" si="21"/>
        <v>501058</v>
      </c>
      <c r="L641" s="61" t="str">
        <f>VLOOKUP(K641,[1]Mapping!$J$3:$Q$351,8,FALSE)</f>
        <v>Fringe Benefits</v>
      </c>
      <c r="M641" t="s">
        <v>83</v>
      </c>
    </row>
    <row r="642" spans="1:13" hidden="1" x14ac:dyDescent="0.35">
      <c r="A642">
        <v>2000310122</v>
      </c>
      <c r="B642" t="s">
        <v>150</v>
      </c>
      <c r="C642">
        <v>501062</v>
      </c>
      <c r="D642" t="s">
        <v>41</v>
      </c>
      <c r="E642" s="81">
        <v>2</v>
      </c>
      <c r="F642" t="s">
        <v>21</v>
      </c>
      <c r="G642" s="55">
        <v>862.61</v>
      </c>
      <c r="H642" s="82">
        <v>862.61</v>
      </c>
      <c r="I642" s="83" t="str">
        <f>VLOOKUP(E642,[1]Mapping!$A$3:$B$14,2,FALSE)</f>
        <v>Aug</v>
      </c>
      <c r="J642" s="84">
        <f t="shared" si="20"/>
        <v>2000310122</v>
      </c>
      <c r="K642" s="84">
        <f t="shared" si="21"/>
        <v>501062</v>
      </c>
      <c r="L642" s="61" t="str">
        <f>VLOOKUP(K642,[1]Mapping!$J$3:$Q$351,8,FALSE)</f>
        <v>Fringe Benefits</v>
      </c>
      <c r="M642" t="s">
        <v>83</v>
      </c>
    </row>
    <row r="643" spans="1:13" hidden="1" x14ac:dyDescent="0.35">
      <c r="A643">
        <v>2000310122</v>
      </c>
      <c r="B643" t="s">
        <v>150</v>
      </c>
      <c r="C643">
        <v>501062</v>
      </c>
      <c r="D643" t="s">
        <v>41</v>
      </c>
      <c r="E643" s="81">
        <v>2</v>
      </c>
      <c r="F643" t="s">
        <v>21</v>
      </c>
      <c r="G643" s="55">
        <v>372.07</v>
      </c>
      <c r="H643" s="82">
        <v>372.07</v>
      </c>
      <c r="I643" s="83" t="str">
        <f>VLOOKUP(E643,[1]Mapping!$A$3:$B$14,2,FALSE)</f>
        <v>Aug</v>
      </c>
      <c r="J643" s="84">
        <f t="shared" si="20"/>
        <v>2000310122</v>
      </c>
      <c r="K643" s="84">
        <f t="shared" si="21"/>
        <v>501062</v>
      </c>
      <c r="L643" s="61" t="str">
        <f>VLOOKUP(K643,[1]Mapping!$J$3:$Q$351,8,FALSE)</f>
        <v>Fringe Benefits</v>
      </c>
      <c r="M643" t="s">
        <v>83</v>
      </c>
    </row>
    <row r="644" spans="1:13" hidden="1" x14ac:dyDescent="0.35">
      <c r="A644">
        <v>2000310122</v>
      </c>
      <c r="B644" t="s">
        <v>150</v>
      </c>
      <c r="C644">
        <v>501063</v>
      </c>
      <c r="D644" t="s">
        <v>123</v>
      </c>
      <c r="E644" s="81">
        <v>2</v>
      </c>
      <c r="F644" t="s">
        <v>21</v>
      </c>
      <c r="G644" s="55">
        <v>389.21</v>
      </c>
      <c r="H644" s="82">
        <v>389.21</v>
      </c>
      <c r="I644" s="83" t="str">
        <f>VLOOKUP(E644,[1]Mapping!$A$3:$B$14,2,FALSE)</f>
        <v>Aug</v>
      </c>
      <c r="J644" s="84">
        <f t="shared" si="20"/>
        <v>2000310122</v>
      </c>
      <c r="K644" s="84">
        <f t="shared" si="21"/>
        <v>501063</v>
      </c>
      <c r="L644" s="61" t="str">
        <f>VLOOKUP(K644,[1]Mapping!$J$3:$Q$351,8,FALSE)</f>
        <v>Fringe Benefits</v>
      </c>
      <c r="M644" t="s">
        <v>83</v>
      </c>
    </row>
    <row r="645" spans="1:13" hidden="1" x14ac:dyDescent="0.35">
      <c r="A645">
        <v>2000310122</v>
      </c>
      <c r="B645" t="s">
        <v>150</v>
      </c>
      <c r="C645">
        <v>501059</v>
      </c>
      <c r="D645" t="s">
        <v>138</v>
      </c>
      <c r="E645" s="81">
        <v>2</v>
      </c>
      <c r="F645" t="s">
        <v>21</v>
      </c>
      <c r="G645" s="55">
        <v>397.14</v>
      </c>
      <c r="H645" s="82">
        <v>397.14</v>
      </c>
      <c r="I645" s="83" t="str">
        <f>VLOOKUP(E645,[1]Mapping!$A$3:$B$14,2,FALSE)</f>
        <v>Aug</v>
      </c>
      <c r="J645" s="84">
        <f t="shared" si="20"/>
        <v>2000310122</v>
      </c>
      <c r="K645" s="84">
        <f t="shared" si="21"/>
        <v>501059</v>
      </c>
      <c r="L645" s="61" t="str">
        <f>VLOOKUP(K645,[1]Mapping!$J$3:$Q$351,8,FALSE)</f>
        <v>Fringe Benefits</v>
      </c>
      <c r="M645" t="s">
        <v>83</v>
      </c>
    </row>
    <row r="646" spans="1:13" hidden="1" x14ac:dyDescent="0.35">
      <c r="A646">
        <v>2000310122</v>
      </c>
      <c r="B646" t="s">
        <v>150</v>
      </c>
      <c r="C646">
        <v>501072</v>
      </c>
      <c r="D646" t="s">
        <v>128</v>
      </c>
      <c r="E646" s="81">
        <v>2</v>
      </c>
      <c r="F646" t="s">
        <v>21</v>
      </c>
      <c r="G646" s="55">
        <v>305.58999999999997</v>
      </c>
      <c r="H646" s="82">
        <v>305.58999999999997</v>
      </c>
      <c r="I646" s="83" t="str">
        <f>VLOOKUP(E646,[1]Mapping!$A$3:$B$14,2,FALSE)</f>
        <v>Aug</v>
      </c>
      <c r="J646" s="84">
        <f t="shared" si="20"/>
        <v>2000310122</v>
      </c>
      <c r="K646" s="84">
        <f t="shared" si="21"/>
        <v>501072</v>
      </c>
      <c r="L646" s="61" t="str">
        <f>VLOOKUP(K646,[1]Mapping!$J$3:$Q$351,8,FALSE)</f>
        <v>Fringe Benefits</v>
      </c>
      <c r="M646" t="s">
        <v>83</v>
      </c>
    </row>
    <row r="647" spans="1:13" hidden="1" x14ac:dyDescent="0.35">
      <c r="A647">
        <v>2000310122</v>
      </c>
      <c r="B647" t="s">
        <v>150</v>
      </c>
      <c r="C647">
        <v>501073</v>
      </c>
      <c r="D647" t="s">
        <v>129</v>
      </c>
      <c r="E647" s="81">
        <v>2</v>
      </c>
      <c r="F647" t="s">
        <v>21</v>
      </c>
      <c r="G647" s="55">
        <v>64.17</v>
      </c>
      <c r="H647" s="82">
        <v>64.17</v>
      </c>
      <c r="I647" s="83" t="str">
        <f>VLOOKUP(E647,[1]Mapping!$A$3:$B$14,2,FALSE)</f>
        <v>Aug</v>
      </c>
      <c r="J647" s="84">
        <f t="shared" si="20"/>
        <v>2000310122</v>
      </c>
      <c r="K647" s="84">
        <f t="shared" si="21"/>
        <v>501073</v>
      </c>
      <c r="L647" s="61" t="str">
        <f>VLOOKUP(K647,[1]Mapping!$J$3:$Q$351,8,FALSE)</f>
        <v>Fringe Benefits</v>
      </c>
      <c r="M647" t="s">
        <v>83</v>
      </c>
    </row>
    <row r="648" spans="1:13" hidden="1" x14ac:dyDescent="0.35">
      <c r="A648">
        <v>2000310122</v>
      </c>
      <c r="B648" t="s">
        <v>150</v>
      </c>
      <c r="C648">
        <v>600020</v>
      </c>
      <c r="D648" t="s">
        <v>91</v>
      </c>
      <c r="E648" s="81">
        <v>2</v>
      </c>
      <c r="F648" t="s">
        <v>21</v>
      </c>
      <c r="G648" s="55">
        <v>0</v>
      </c>
      <c r="H648" s="82">
        <v>0</v>
      </c>
      <c r="I648" s="83" t="str">
        <f>VLOOKUP(E648,[1]Mapping!$A$3:$B$14,2,FALSE)</f>
        <v>Aug</v>
      </c>
      <c r="J648" s="84">
        <f t="shared" si="20"/>
        <v>2000310122</v>
      </c>
      <c r="K648" s="84">
        <f t="shared" si="21"/>
        <v>600020</v>
      </c>
      <c r="L648" s="61" t="str">
        <f>VLOOKUP(K648,[1]Mapping!$J$3:$Q$351,8,FALSE)</f>
        <v>Fringe Benefits</v>
      </c>
      <c r="M648" t="s">
        <v>83</v>
      </c>
    </row>
    <row r="649" spans="1:13" hidden="1" x14ac:dyDescent="0.35">
      <c r="A649">
        <v>2000310122</v>
      </c>
      <c r="B649" t="s">
        <v>150</v>
      </c>
      <c r="C649">
        <v>600055</v>
      </c>
      <c r="D649" t="s">
        <v>92</v>
      </c>
      <c r="E649" s="81">
        <v>2</v>
      </c>
      <c r="F649" t="s">
        <v>21</v>
      </c>
      <c r="G649" s="55">
        <v>0</v>
      </c>
      <c r="H649" s="82">
        <v>0</v>
      </c>
      <c r="I649" s="83" t="str">
        <f>VLOOKUP(E649,[1]Mapping!$A$3:$B$14,2,FALSE)</f>
        <v>Aug</v>
      </c>
      <c r="J649" s="84">
        <f t="shared" si="20"/>
        <v>2000310122</v>
      </c>
      <c r="K649" s="84">
        <f t="shared" si="21"/>
        <v>600055</v>
      </c>
      <c r="L649" s="61" t="str">
        <f>VLOOKUP(K649,[1]Mapping!$J$3:$Q$351,8,FALSE)</f>
        <v>Fringe Benefits</v>
      </c>
      <c r="M649" t="s">
        <v>83</v>
      </c>
    </row>
    <row r="650" spans="1:13" hidden="1" x14ac:dyDescent="0.35">
      <c r="A650">
        <v>2000310122</v>
      </c>
      <c r="B650" t="s">
        <v>150</v>
      </c>
      <c r="C650">
        <v>501716</v>
      </c>
      <c r="D650" t="s">
        <v>139</v>
      </c>
      <c r="E650" s="81">
        <v>2</v>
      </c>
      <c r="F650" t="s">
        <v>117</v>
      </c>
      <c r="G650" s="55">
        <v>-6136.52</v>
      </c>
      <c r="H650" s="82">
        <v>-6136.52</v>
      </c>
      <c r="I650" s="83" t="str">
        <f>VLOOKUP(E650,[1]Mapping!$A$3:$B$14,2,FALSE)</f>
        <v>Aug</v>
      </c>
      <c r="J650" s="84">
        <f t="shared" si="20"/>
        <v>2000310122</v>
      </c>
      <c r="K650" s="84">
        <f t="shared" si="21"/>
        <v>501716</v>
      </c>
      <c r="L650" s="61" t="e">
        <f>VLOOKUP(K650,[1]Mapping!$J$3:$Q$351,8,FALSE)</f>
        <v>#N/A</v>
      </c>
      <c r="M650" t="s">
        <v>83</v>
      </c>
    </row>
    <row r="651" spans="1:13" hidden="1" x14ac:dyDescent="0.35">
      <c r="A651">
        <v>2000310123</v>
      </c>
      <c r="B651" t="s">
        <v>151</v>
      </c>
      <c r="C651">
        <v>501050</v>
      </c>
      <c r="D651" t="s">
        <v>39</v>
      </c>
      <c r="E651" s="81">
        <v>2</v>
      </c>
      <c r="F651" t="s">
        <v>19</v>
      </c>
      <c r="G651" s="55">
        <v>103742.76</v>
      </c>
      <c r="H651" s="82">
        <v>103742.76</v>
      </c>
      <c r="I651" s="83" t="str">
        <f>VLOOKUP(E651,[1]Mapping!$A$3:$B$14,2,FALSE)</f>
        <v>Aug</v>
      </c>
      <c r="J651" s="84">
        <f t="shared" si="20"/>
        <v>2000310123</v>
      </c>
      <c r="K651" s="84">
        <f t="shared" si="21"/>
        <v>501050</v>
      </c>
      <c r="L651" s="61" t="str">
        <f>VLOOKUP(K651,[1]Mapping!$J$3:$Q$351,8,FALSE)</f>
        <v>Wages &amp; Salaries</v>
      </c>
      <c r="M651" t="s">
        <v>83</v>
      </c>
    </row>
    <row r="652" spans="1:13" hidden="1" x14ac:dyDescent="0.35">
      <c r="A652">
        <v>2000310123</v>
      </c>
      <c r="B652" t="s">
        <v>151</v>
      </c>
      <c r="C652">
        <v>501051</v>
      </c>
      <c r="D652" t="s">
        <v>121</v>
      </c>
      <c r="E652" s="81">
        <v>2</v>
      </c>
      <c r="F652" t="s">
        <v>19</v>
      </c>
      <c r="G652" s="55">
        <v>7336.43</v>
      </c>
      <c r="H652" s="82">
        <v>7336.43</v>
      </c>
      <c r="I652" s="83" t="str">
        <f>VLOOKUP(E652,[1]Mapping!$A$3:$B$14,2,FALSE)</f>
        <v>Aug</v>
      </c>
      <c r="J652" s="84">
        <f t="shared" si="20"/>
        <v>2000310123</v>
      </c>
      <c r="K652" s="84">
        <f t="shared" si="21"/>
        <v>501051</v>
      </c>
      <c r="L652" s="61" t="str">
        <f>VLOOKUP(K652,[1]Mapping!$J$3:$Q$351,8,FALSE)</f>
        <v>Wages &amp; Salaries</v>
      </c>
      <c r="M652" t="s">
        <v>83</v>
      </c>
    </row>
    <row r="653" spans="1:13" hidden="1" x14ac:dyDescent="0.35">
      <c r="A653">
        <v>2000310123</v>
      </c>
      <c r="B653" t="s">
        <v>151</v>
      </c>
      <c r="C653">
        <v>501058</v>
      </c>
      <c r="D653" t="s">
        <v>122</v>
      </c>
      <c r="E653" s="81">
        <v>2</v>
      </c>
      <c r="F653" t="s">
        <v>21</v>
      </c>
      <c r="G653" s="55">
        <v>25183.379999999997</v>
      </c>
      <c r="H653" s="82">
        <v>25183.379999999997</v>
      </c>
      <c r="I653" s="83" t="str">
        <f>VLOOKUP(E653,[1]Mapping!$A$3:$B$14,2,FALSE)</f>
        <v>Aug</v>
      </c>
      <c r="J653" s="84">
        <f t="shared" si="20"/>
        <v>2000310123</v>
      </c>
      <c r="K653" s="84">
        <f t="shared" si="21"/>
        <v>501058</v>
      </c>
      <c r="L653" s="61" t="str">
        <f>VLOOKUP(K653,[1]Mapping!$J$3:$Q$351,8,FALSE)</f>
        <v>Fringe Benefits</v>
      </c>
      <c r="M653" t="s">
        <v>83</v>
      </c>
    </row>
    <row r="654" spans="1:13" hidden="1" x14ac:dyDescent="0.35">
      <c r="A654">
        <v>2000310123</v>
      </c>
      <c r="B654" t="s">
        <v>151</v>
      </c>
      <c r="C654">
        <v>501062</v>
      </c>
      <c r="D654" t="s">
        <v>41</v>
      </c>
      <c r="E654" s="81">
        <v>2</v>
      </c>
      <c r="F654" t="s">
        <v>21</v>
      </c>
      <c r="G654" s="55">
        <v>36574.51</v>
      </c>
      <c r="H654" s="82">
        <v>36574.51</v>
      </c>
      <c r="I654" s="83" t="str">
        <f>VLOOKUP(E654,[1]Mapping!$A$3:$B$14,2,FALSE)</f>
        <v>Aug</v>
      </c>
      <c r="J654" s="84">
        <f t="shared" si="20"/>
        <v>2000310123</v>
      </c>
      <c r="K654" s="84">
        <f t="shared" si="21"/>
        <v>501062</v>
      </c>
      <c r="L654" s="61" t="str">
        <f>VLOOKUP(K654,[1]Mapping!$J$3:$Q$351,8,FALSE)</f>
        <v>Fringe Benefits</v>
      </c>
      <c r="M654" t="s">
        <v>83</v>
      </c>
    </row>
    <row r="655" spans="1:13" hidden="1" x14ac:dyDescent="0.35">
      <c r="A655">
        <v>2000310123</v>
      </c>
      <c r="B655" t="s">
        <v>151</v>
      </c>
      <c r="C655">
        <v>501062</v>
      </c>
      <c r="D655" t="s">
        <v>41</v>
      </c>
      <c r="E655" s="81">
        <v>2</v>
      </c>
      <c r="F655" t="s">
        <v>21</v>
      </c>
      <c r="G655" s="55">
        <v>13753.41</v>
      </c>
      <c r="H655" s="82">
        <v>13753.41</v>
      </c>
      <c r="I655" s="83" t="str">
        <f>VLOOKUP(E655,[1]Mapping!$A$3:$B$14,2,FALSE)</f>
        <v>Aug</v>
      </c>
      <c r="J655" s="84">
        <f t="shared" si="20"/>
        <v>2000310123</v>
      </c>
      <c r="K655" s="84">
        <f t="shared" si="21"/>
        <v>501062</v>
      </c>
      <c r="L655" s="61" t="str">
        <f>VLOOKUP(K655,[1]Mapping!$J$3:$Q$351,8,FALSE)</f>
        <v>Fringe Benefits</v>
      </c>
      <c r="M655" t="s">
        <v>83</v>
      </c>
    </row>
    <row r="656" spans="1:13" hidden="1" x14ac:dyDescent="0.35">
      <c r="A656">
        <v>2000310123</v>
      </c>
      <c r="B656" t="s">
        <v>151</v>
      </c>
      <c r="C656">
        <v>501808</v>
      </c>
      <c r="D656" t="s">
        <v>113</v>
      </c>
      <c r="E656" s="81">
        <v>2</v>
      </c>
      <c r="F656" t="s">
        <v>23</v>
      </c>
      <c r="G656" s="55">
        <v>523.12</v>
      </c>
      <c r="H656" s="82">
        <v>523.12</v>
      </c>
      <c r="I656" s="83" t="str">
        <f>VLOOKUP(E656,[1]Mapping!$A$3:$B$14,2,FALSE)</f>
        <v>Aug</v>
      </c>
      <c r="J656" s="84">
        <f t="shared" si="20"/>
        <v>2000310123</v>
      </c>
      <c r="K656" s="84">
        <f t="shared" si="21"/>
        <v>501808</v>
      </c>
      <c r="L656" s="61" t="str">
        <f>VLOOKUP(K656,[1]Mapping!$J$3:$Q$351,8,FALSE)</f>
        <v>Travel &amp; Entertainment</v>
      </c>
      <c r="M656" t="s">
        <v>83</v>
      </c>
    </row>
    <row r="657" spans="1:13" hidden="1" x14ac:dyDescent="0.35">
      <c r="A657">
        <v>2000310123</v>
      </c>
      <c r="B657" t="s">
        <v>151</v>
      </c>
      <c r="C657">
        <v>501063</v>
      </c>
      <c r="D657" t="s">
        <v>123</v>
      </c>
      <c r="E657" s="81">
        <v>2</v>
      </c>
      <c r="F657" t="s">
        <v>21</v>
      </c>
      <c r="G657" s="55">
        <v>13061.9</v>
      </c>
      <c r="H657" s="82">
        <v>13061.9</v>
      </c>
      <c r="I657" s="83" t="str">
        <f>VLOOKUP(E657,[1]Mapping!$A$3:$B$14,2,FALSE)</f>
        <v>Aug</v>
      </c>
      <c r="J657" s="84">
        <f t="shared" si="20"/>
        <v>2000310123</v>
      </c>
      <c r="K657" s="84">
        <f t="shared" si="21"/>
        <v>501063</v>
      </c>
      <c r="L657" s="61" t="str">
        <f>VLOOKUP(K657,[1]Mapping!$J$3:$Q$351,8,FALSE)</f>
        <v>Fringe Benefits</v>
      </c>
      <c r="M657" t="s">
        <v>83</v>
      </c>
    </row>
    <row r="658" spans="1:13" hidden="1" x14ac:dyDescent="0.35">
      <c r="A658">
        <v>2000310123</v>
      </c>
      <c r="B658" t="s">
        <v>151</v>
      </c>
      <c r="C658">
        <v>600030</v>
      </c>
      <c r="D658" t="s">
        <v>110</v>
      </c>
      <c r="E658" s="81">
        <v>2</v>
      </c>
      <c r="F658" t="s">
        <v>23</v>
      </c>
      <c r="G658" s="55">
        <v>0</v>
      </c>
      <c r="H658" s="82">
        <v>0</v>
      </c>
      <c r="I658" s="83" t="str">
        <f>VLOOKUP(E658,[1]Mapping!$A$3:$B$14,2,FALSE)</f>
        <v>Aug</v>
      </c>
      <c r="J658" s="84">
        <f t="shared" si="20"/>
        <v>2000310123</v>
      </c>
      <c r="K658" s="84">
        <f t="shared" si="21"/>
        <v>600030</v>
      </c>
      <c r="L658" s="61" t="str">
        <f>VLOOKUP(K658,[1]Mapping!$J$3:$Q$351,8,FALSE)</f>
        <v>Travel &amp; Entertainment</v>
      </c>
      <c r="M658" t="s">
        <v>83</v>
      </c>
    </row>
    <row r="659" spans="1:13" hidden="1" x14ac:dyDescent="0.35">
      <c r="A659">
        <v>2000310123</v>
      </c>
      <c r="B659" t="s">
        <v>151</v>
      </c>
      <c r="C659">
        <v>600043</v>
      </c>
      <c r="D659" t="s">
        <v>102</v>
      </c>
      <c r="E659" s="81">
        <v>2</v>
      </c>
      <c r="F659" t="s">
        <v>23</v>
      </c>
      <c r="G659" s="55">
        <v>-523.12</v>
      </c>
      <c r="H659" s="82">
        <v>-523.12</v>
      </c>
      <c r="I659" s="83" t="str">
        <f>VLOOKUP(E659,[1]Mapping!$A$3:$B$14,2,FALSE)</f>
        <v>Aug</v>
      </c>
      <c r="J659" s="84">
        <f t="shared" si="20"/>
        <v>2000310123</v>
      </c>
      <c r="K659" s="84">
        <f t="shared" si="21"/>
        <v>600043</v>
      </c>
      <c r="L659" s="61" t="str">
        <f>VLOOKUP(K659,[1]Mapping!$J$3:$Q$351,8,FALSE)</f>
        <v>Travel &amp; Entertainment</v>
      </c>
      <c r="M659" t="s">
        <v>83</v>
      </c>
    </row>
    <row r="660" spans="1:13" hidden="1" x14ac:dyDescent="0.35">
      <c r="A660">
        <v>2000310123</v>
      </c>
      <c r="B660" t="s">
        <v>151</v>
      </c>
      <c r="C660">
        <v>600043</v>
      </c>
      <c r="D660" t="s">
        <v>102</v>
      </c>
      <c r="E660" s="81">
        <v>2</v>
      </c>
      <c r="F660" t="s">
        <v>23</v>
      </c>
      <c r="G660" s="55">
        <v>523.12</v>
      </c>
      <c r="H660" s="82">
        <v>523.12</v>
      </c>
      <c r="I660" s="83" t="str">
        <f>VLOOKUP(E660,[1]Mapping!$A$3:$B$14,2,FALSE)</f>
        <v>Aug</v>
      </c>
      <c r="J660" s="84">
        <f t="shared" si="20"/>
        <v>2000310123</v>
      </c>
      <c r="K660" s="84">
        <f t="shared" si="21"/>
        <v>600043</v>
      </c>
      <c r="L660" s="61" t="str">
        <f>VLOOKUP(K660,[1]Mapping!$J$3:$Q$351,8,FALSE)</f>
        <v>Travel &amp; Entertainment</v>
      </c>
      <c r="M660" t="s">
        <v>83</v>
      </c>
    </row>
    <row r="661" spans="1:13" hidden="1" x14ac:dyDescent="0.35">
      <c r="A661">
        <v>2000310123</v>
      </c>
      <c r="B661" t="s">
        <v>151</v>
      </c>
      <c r="C661">
        <v>501053</v>
      </c>
      <c r="D661" t="s">
        <v>40</v>
      </c>
      <c r="E661" s="81">
        <v>2</v>
      </c>
      <c r="F661" t="s">
        <v>20</v>
      </c>
      <c r="G661" s="55">
        <v>13030.42</v>
      </c>
      <c r="H661" s="82">
        <v>13030.42</v>
      </c>
      <c r="I661" s="83" t="str">
        <f>VLOOKUP(E661,[1]Mapping!$A$3:$B$14,2,FALSE)</f>
        <v>Aug</v>
      </c>
      <c r="J661" s="84">
        <f t="shared" si="20"/>
        <v>2000310123</v>
      </c>
      <c r="K661" s="84">
        <f t="shared" si="21"/>
        <v>501053</v>
      </c>
      <c r="L661" s="61" t="str">
        <f>VLOOKUP(K661,[1]Mapping!$J$3:$Q$351,8,FALSE)</f>
        <v>Overtime</v>
      </c>
      <c r="M661" t="s">
        <v>83</v>
      </c>
    </row>
    <row r="662" spans="1:13" hidden="1" x14ac:dyDescent="0.35">
      <c r="A662">
        <v>2000310123</v>
      </c>
      <c r="B662" t="s">
        <v>151</v>
      </c>
      <c r="C662">
        <v>501059</v>
      </c>
      <c r="D662" t="s">
        <v>138</v>
      </c>
      <c r="E662" s="81">
        <v>2</v>
      </c>
      <c r="F662" t="s">
        <v>21</v>
      </c>
      <c r="G662" s="55">
        <v>6593.3099999999995</v>
      </c>
      <c r="H662" s="82">
        <v>6593.3099999999995</v>
      </c>
      <c r="I662" s="83" t="str">
        <f>VLOOKUP(E662,[1]Mapping!$A$3:$B$14,2,FALSE)</f>
        <v>Aug</v>
      </c>
      <c r="J662" s="84">
        <f t="shared" si="20"/>
        <v>2000310123</v>
      </c>
      <c r="K662" s="84">
        <f t="shared" si="21"/>
        <v>501059</v>
      </c>
      <c r="L662" s="61" t="str">
        <f>VLOOKUP(K662,[1]Mapping!$J$3:$Q$351,8,FALSE)</f>
        <v>Fringe Benefits</v>
      </c>
      <c r="M662" t="s">
        <v>83</v>
      </c>
    </row>
    <row r="663" spans="1:13" hidden="1" x14ac:dyDescent="0.35">
      <c r="A663">
        <v>2000310123</v>
      </c>
      <c r="B663" t="s">
        <v>151</v>
      </c>
      <c r="C663">
        <v>501803</v>
      </c>
      <c r="D663" t="s">
        <v>145</v>
      </c>
      <c r="E663" s="81">
        <v>2</v>
      </c>
      <c r="F663" t="s">
        <v>22</v>
      </c>
      <c r="G663" s="55">
        <v>918.53</v>
      </c>
      <c r="H663" s="82">
        <v>918.53</v>
      </c>
      <c r="I663" s="83" t="str">
        <f>VLOOKUP(E663,[1]Mapping!$A$3:$B$14,2,FALSE)</f>
        <v>Aug</v>
      </c>
      <c r="J663" s="84">
        <f t="shared" si="20"/>
        <v>2000310123</v>
      </c>
      <c r="K663" s="84">
        <f t="shared" si="21"/>
        <v>501803</v>
      </c>
      <c r="L663" s="61" t="str">
        <f>VLOOKUP(K663,[1]Mapping!$J$3:$Q$351,8,FALSE)</f>
        <v>Employee Related Expenses</v>
      </c>
      <c r="M663" t="s">
        <v>83</v>
      </c>
    </row>
    <row r="664" spans="1:13" hidden="1" x14ac:dyDescent="0.35">
      <c r="A664">
        <v>2000310123</v>
      </c>
      <c r="B664" t="s">
        <v>151</v>
      </c>
      <c r="C664">
        <v>501072</v>
      </c>
      <c r="D664" t="s">
        <v>128</v>
      </c>
      <c r="E664" s="81">
        <v>2</v>
      </c>
      <c r="F664" t="s">
        <v>21</v>
      </c>
      <c r="G664" s="55">
        <v>11301.39</v>
      </c>
      <c r="H664" s="82">
        <v>11301.39</v>
      </c>
      <c r="I664" s="83" t="str">
        <f>VLOOKUP(E664,[1]Mapping!$A$3:$B$14,2,FALSE)</f>
        <v>Aug</v>
      </c>
      <c r="J664" s="84">
        <f t="shared" si="20"/>
        <v>2000310123</v>
      </c>
      <c r="K664" s="84">
        <f t="shared" si="21"/>
        <v>501072</v>
      </c>
      <c r="L664" s="61" t="str">
        <f>VLOOKUP(K664,[1]Mapping!$J$3:$Q$351,8,FALSE)</f>
        <v>Fringe Benefits</v>
      </c>
      <c r="M664" t="s">
        <v>83</v>
      </c>
    </row>
    <row r="665" spans="1:13" hidden="1" x14ac:dyDescent="0.35">
      <c r="A665">
        <v>2000310123</v>
      </c>
      <c r="B665" t="s">
        <v>151</v>
      </c>
      <c r="C665">
        <v>501073</v>
      </c>
      <c r="D665" t="s">
        <v>129</v>
      </c>
      <c r="E665" s="81">
        <v>2</v>
      </c>
      <c r="F665" t="s">
        <v>21</v>
      </c>
      <c r="G665" s="55">
        <v>2373.29</v>
      </c>
      <c r="H665" s="82">
        <v>2373.29</v>
      </c>
      <c r="I665" s="83" t="str">
        <f>VLOOKUP(E665,[1]Mapping!$A$3:$B$14,2,FALSE)</f>
        <v>Aug</v>
      </c>
      <c r="J665" s="84">
        <f t="shared" si="20"/>
        <v>2000310123</v>
      </c>
      <c r="K665" s="84">
        <f t="shared" si="21"/>
        <v>501073</v>
      </c>
      <c r="L665" s="61" t="str">
        <f>VLOOKUP(K665,[1]Mapping!$J$3:$Q$351,8,FALSE)</f>
        <v>Fringe Benefits</v>
      </c>
      <c r="M665" t="s">
        <v>83</v>
      </c>
    </row>
    <row r="666" spans="1:13" hidden="1" x14ac:dyDescent="0.35">
      <c r="A666">
        <v>2000310123</v>
      </c>
      <c r="B666" t="s">
        <v>151</v>
      </c>
      <c r="C666">
        <v>600020</v>
      </c>
      <c r="D666" t="s">
        <v>91</v>
      </c>
      <c r="E666" s="81">
        <v>2</v>
      </c>
      <c r="F666" t="s">
        <v>21</v>
      </c>
      <c r="G666" s="55">
        <v>0</v>
      </c>
      <c r="H666" s="82">
        <v>0</v>
      </c>
      <c r="I666" s="83" t="str">
        <f>VLOOKUP(E666,[1]Mapping!$A$3:$B$14,2,FALSE)</f>
        <v>Aug</v>
      </c>
      <c r="J666" s="84">
        <f t="shared" si="20"/>
        <v>2000310123</v>
      </c>
      <c r="K666" s="84">
        <f t="shared" si="21"/>
        <v>600020</v>
      </c>
      <c r="L666" s="61" t="str">
        <f>VLOOKUP(K666,[1]Mapping!$J$3:$Q$351,8,FALSE)</f>
        <v>Fringe Benefits</v>
      </c>
      <c r="M666" t="s">
        <v>83</v>
      </c>
    </row>
    <row r="667" spans="1:13" hidden="1" x14ac:dyDescent="0.35">
      <c r="A667">
        <v>2000310123</v>
      </c>
      <c r="B667" t="s">
        <v>151</v>
      </c>
      <c r="C667">
        <v>600055</v>
      </c>
      <c r="D667" t="s">
        <v>92</v>
      </c>
      <c r="E667" s="81">
        <v>2</v>
      </c>
      <c r="F667" t="s">
        <v>21</v>
      </c>
      <c r="G667" s="55">
        <v>0</v>
      </c>
      <c r="H667" s="82">
        <v>0</v>
      </c>
      <c r="I667" s="83" t="str">
        <f>VLOOKUP(E667,[1]Mapping!$A$3:$B$14,2,FALSE)</f>
        <v>Aug</v>
      </c>
      <c r="J667" s="84">
        <f t="shared" ref="J667:J730" si="22">VALUE(A667)</f>
        <v>2000310123</v>
      </c>
      <c r="K667" s="84">
        <f t="shared" ref="K667:K730" si="23">VALUE(C667)</f>
        <v>600055</v>
      </c>
      <c r="L667" s="61" t="str">
        <f>VLOOKUP(K667,[1]Mapping!$J$3:$Q$351,8,FALSE)</f>
        <v>Fringe Benefits</v>
      </c>
      <c r="M667" t="s">
        <v>83</v>
      </c>
    </row>
    <row r="668" spans="1:13" hidden="1" x14ac:dyDescent="0.35">
      <c r="A668">
        <v>2000310123</v>
      </c>
      <c r="B668" t="s">
        <v>151</v>
      </c>
      <c r="C668">
        <v>501055</v>
      </c>
      <c r="D668" t="s">
        <v>132</v>
      </c>
      <c r="E668" s="81">
        <v>2</v>
      </c>
      <c r="F668" t="s">
        <v>19</v>
      </c>
      <c r="G668" s="55">
        <v>139.37</v>
      </c>
      <c r="H668" s="82">
        <v>139.37</v>
      </c>
      <c r="I668" s="83" t="str">
        <f>VLOOKUP(E668,[1]Mapping!$A$3:$B$14,2,FALSE)</f>
        <v>Aug</v>
      </c>
      <c r="J668" s="84">
        <f t="shared" si="22"/>
        <v>2000310123</v>
      </c>
      <c r="K668" s="84">
        <f t="shared" si="23"/>
        <v>501055</v>
      </c>
      <c r="L668" s="61" t="str">
        <f>VLOOKUP(K668,[1]Mapping!$J$3:$Q$351,8,FALSE)</f>
        <v>Wages &amp; Salaries</v>
      </c>
      <c r="M668" t="s">
        <v>83</v>
      </c>
    </row>
    <row r="669" spans="1:13" hidden="1" x14ac:dyDescent="0.35">
      <c r="A669">
        <v>2000310123</v>
      </c>
      <c r="B669" t="s">
        <v>151</v>
      </c>
      <c r="C669">
        <v>501654</v>
      </c>
      <c r="D669" t="s">
        <v>126</v>
      </c>
      <c r="E669" s="81">
        <v>2</v>
      </c>
      <c r="F669" t="s">
        <v>24</v>
      </c>
      <c r="G669" s="55">
        <v>154.88</v>
      </c>
      <c r="H669" s="82">
        <v>154.88</v>
      </c>
      <c r="I669" s="83" t="str">
        <f>VLOOKUP(E669,[1]Mapping!$A$3:$B$14,2,FALSE)</f>
        <v>Aug</v>
      </c>
      <c r="J669" s="84">
        <f t="shared" si="22"/>
        <v>2000310123</v>
      </c>
      <c r="K669" s="84">
        <f t="shared" si="23"/>
        <v>501654</v>
      </c>
      <c r="L669" s="61" t="str">
        <f>VLOOKUP(K669,[1]Mapping!$J$3:$Q$351,8,FALSE)</f>
        <v>Supplies Expenses</v>
      </c>
      <c r="M669" t="s">
        <v>83</v>
      </c>
    </row>
    <row r="670" spans="1:13" hidden="1" x14ac:dyDescent="0.35">
      <c r="A670">
        <v>2000310123</v>
      </c>
      <c r="B670" t="s">
        <v>151</v>
      </c>
      <c r="C670">
        <v>501716</v>
      </c>
      <c r="D670" t="s">
        <v>139</v>
      </c>
      <c r="E670" s="81">
        <v>2</v>
      </c>
      <c r="F670" t="s">
        <v>117</v>
      </c>
      <c r="G670" s="55">
        <v>-235260.49</v>
      </c>
      <c r="H670" s="82">
        <v>-235260.49</v>
      </c>
      <c r="I670" s="83" t="str">
        <f>VLOOKUP(E670,[1]Mapping!$A$3:$B$14,2,FALSE)</f>
        <v>Aug</v>
      </c>
      <c r="J670" s="84">
        <f t="shared" si="22"/>
        <v>2000310123</v>
      </c>
      <c r="K670" s="84">
        <f t="shared" si="23"/>
        <v>501716</v>
      </c>
      <c r="L670" s="61" t="e">
        <f>VLOOKUP(K670,[1]Mapping!$J$3:$Q$351,8,FALSE)</f>
        <v>#N/A</v>
      </c>
      <c r="M670" t="s">
        <v>83</v>
      </c>
    </row>
    <row r="671" spans="1:13" hidden="1" x14ac:dyDescent="0.35">
      <c r="A671">
        <v>2000310123</v>
      </c>
      <c r="B671" t="s">
        <v>151</v>
      </c>
      <c r="C671">
        <v>501257</v>
      </c>
      <c r="D671" t="s">
        <v>153</v>
      </c>
      <c r="E671" s="81">
        <v>2</v>
      </c>
      <c r="F671" t="s">
        <v>29</v>
      </c>
      <c r="G671" s="55">
        <v>573.79</v>
      </c>
      <c r="H671" s="82">
        <v>573.79</v>
      </c>
      <c r="I671" s="83" t="str">
        <f>VLOOKUP(E671,[1]Mapping!$A$3:$B$14,2,FALSE)</f>
        <v>Aug</v>
      </c>
      <c r="J671" s="84">
        <f t="shared" si="22"/>
        <v>2000310123</v>
      </c>
      <c r="K671" s="84">
        <f t="shared" si="23"/>
        <v>501257</v>
      </c>
      <c r="L671" s="61" t="e">
        <f>VLOOKUP(K671,[1]Mapping!$J$3:$Q$351,8,FALSE)</f>
        <v>#N/A</v>
      </c>
      <c r="M671" t="s">
        <v>83</v>
      </c>
    </row>
    <row r="672" spans="1:13" hidden="1" x14ac:dyDescent="0.35">
      <c r="A672">
        <v>1110551</v>
      </c>
      <c r="B672" t="s">
        <v>154</v>
      </c>
      <c r="C672">
        <v>501050</v>
      </c>
      <c r="D672" t="s">
        <v>39</v>
      </c>
      <c r="E672" s="81">
        <v>2</v>
      </c>
      <c r="F672" t="s">
        <v>19</v>
      </c>
      <c r="G672" s="55">
        <v>68724.240000000005</v>
      </c>
      <c r="H672" s="82">
        <v>68724.240000000005</v>
      </c>
      <c r="I672" s="83" t="str">
        <f>VLOOKUP(E672,[1]Mapping!$A$3:$B$14,2,FALSE)</f>
        <v>Aug</v>
      </c>
      <c r="J672" s="84">
        <f t="shared" si="22"/>
        <v>1110551</v>
      </c>
      <c r="K672" s="84">
        <f t="shared" si="23"/>
        <v>501050</v>
      </c>
      <c r="L672" s="61" t="str">
        <f>VLOOKUP(K672,[1]Mapping!$J$3:$Q$351,8,FALSE)</f>
        <v>Wages &amp; Salaries</v>
      </c>
      <c r="M672" t="s">
        <v>83</v>
      </c>
    </row>
    <row r="673" spans="1:13" hidden="1" x14ac:dyDescent="0.35">
      <c r="A673">
        <v>1110551</v>
      </c>
      <c r="B673" t="s">
        <v>154</v>
      </c>
      <c r="C673">
        <v>501051</v>
      </c>
      <c r="D673" t="s">
        <v>121</v>
      </c>
      <c r="E673" s="81">
        <v>2</v>
      </c>
      <c r="F673" t="s">
        <v>19</v>
      </c>
      <c r="G673" s="55">
        <v>495.06999999999971</v>
      </c>
      <c r="H673" s="82">
        <v>495.06999999999971</v>
      </c>
      <c r="I673" s="83" t="str">
        <f>VLOOKUP(E673,[1]Mapping!$A$3:$B$14,2,FALSE)</f>
        <v>Aug</v>
      </c>
      <c r="J673" s="84">
        <f t="shared" si="22"/>
        <v>1110551</v>
      </c>
      <c r="K673" s="84">
        <f t="shared" si="23"/>
        <v>501051</v>
      </c>
      <c r="L673" s="61" t="str">
        <f>VLOOKUP(K673,[1]Mapping!$J$3:$Q$351,8,FALSE)</f>
        <v>Wages &amp; Salaries</v>
      </c>
      <c r="M673" t="s">
        <v>83</v>
      </c>
    </row>
    <row r="674" spans="1:13" hidden="1" x14ac:dyDescent="0.35">
      <c r="A674">
        <v>1110551</v>
      </c>
      <c r="B674" t="s">
        <v>154</v>
      </c>
      <c r="C674">
        <v>501058</v>
      </c>
      <c r="D674" t="s">
        <v>122</v>
      </c>
      <c r="E674" s="81">
        <v>2</v>
      </c>
      <c r="F674" t="s">
        <v>21</v>
      </c>
      <c r="G674" s="55">
        <v>5011.32</v>
      </c>
      <c r="H674" s="82">
        <v>5011.32</v>
      </c>
      <c r="I674" s="83" t="str">
        <f>VLOOKUP(E674,[1]Mapping!$A$3:$B$14,2,FALSE)</f>
        <v>Aug</v>
      </c>
      <c r="J674" s="84">
        <f t="shared" si="22"/>
        <v>1110551</v>
      </c>
      <c r="K674" s="84">
        <f t="shared" si="23"/>
        <v>501058</v>
      </c>
      <c r="L674" s="61" t="str">
        <f>VLOOKUP(K674,[1]Mapping!$J$3:$Q$351,8,FALSE)</f>
        <v>Fringe Benefits</v>
      </c>
      <c r="M674" t="s">
        <v>83</v>
      </c>
    </row>
    <row r="675" spans="1:13" hidden="1" x14ac:dyDescent="0.35">
      <c r="A675">
        <v>1110551</v>
      </c>
      <c r="B675" t="s">
        <v>154</v>
      </c>
      <c r="C675">
        <v>501062</v>
      </c>
      <c r="D675" t="s">
        <v>41</v>
      </c>
      <c r="E675" s="81">
        <v>2</v>
      </c>
      <c r="F675" t="s">
        <v>21</v>
      </c>
      <c r="G675" s="55">
        <v>102.18999999999998</v>
      </c>
      <c r="H675" s="82">
        <v>102.18999999999998</v>
      </c>
      <c r="I675" s="83" t="str">
        <f>VLOOKUP(E675,[1]Mapping!$A$3:$B$14,2,FALSE)</f>
        <v>Aug</v>
      </c>
      <c r="J675" s="84">
        <f t="shared" si="22"/>
        <v>1110551</v>
      </c>
      <c r="K675" s="84">
        <f t="shared" si="23"/>
        <v>501062</v>
      </c>
      <c r="L675" s="61" t="str">
        <f>VLOOKUP(K675,[1]Mapping!$J$3:$Q$351,8,FALSE)</f>
        <v>Fringe Benefits</v>
      </c>
      <c r="M675" t="s">
        <v>83</v>
      </c>
    </row>
    <row r="676" spans="1:13" hidden="1" x14ac:dyDescent="0.35">
      <c r="A676">
        <v>1110551</v>
      </c>
      <c r="B676" t="s">
        <v>154</v>
      </c>
      <c r="C676">
        <v>501063</v>
      </c>
      <c r="D676" t="s">
        <v>123</v>
      </c>
      <c r="E676" s="81">
        <v>2</v>
      </c>
      <c r="F676" t="s">
        <v>21</v>
      </c>
      <c r="G676" s="55">
        <v>5151.2799999999988</v>
      </c>
      <c r="H676" s="82">
        <v>5151.2799999999988</v>
      </c>
      <c r="I676" s="83" t="str">
        <f>VLOOKUP(E676,[1]Mapping!$A$3:$B$14,2,FALSE)</f>
        <v>Aug</v>
      </c>
      <c r="J676" s="84">
        <f t="shared" si="22"/>
        <v>1110551</v>
      </c>
      <c r="K676" s="84">
        <f t="shared" si="23"/>
        <v>501063</v>
      </c>
      <c r="L676" s="61" t="str">
        <f>VLOOKUP(K676,[1]Mapping!$J$3:$Q$351,8,FALSE)</f>
        <v>Fringe Benefits</v>
      </c>
      <c r="M676" t="s">
        <v>83</v>
      </c>
    </row>
    <row r="677" spans="1:13" hidden="1" x14ac:dyDescent="0.35">
      <c r="A677">
        <v>1110551</v>
      </c>
      <c r="B677" t="s">
        <v>154</v>
      </c>
      <c r="C677">
        <v>501065</v>
      </c>
      <c r="D677" t="s">
        <v>124</v>
      </c>
      <c r="E677" s="81">
        <v>2</v>
      </c>
      <c r="F677" t="s">
        <v>21</v>
      </c>
      <c r="G677" s="55">
        <v>156.77000000000001</v>
      </c>
      <c r="H677" s="82">
        <v>156.77000000000001</v>
      </c>
      <c r="I677" s="83" t="str">
        <f>VLOOKUP(E677,[1]Mapping!$A$3:$B$14,2,FALSE)</f>
        <v>Aug</v>
      </c>
      <c r="J677" s="84">
        <f t="shared" si="22"/>
        <v>1110551</v>
      </c>
      <c r="K677" s="84">
        <f t="shared" si="23"/>
        <v>501065</v>
      </c>
      <c r="L677" s="61" t="str">
        <f>VLOOKUP(K677,[1]Mapping!$J$3:$Q$351,8,FALSE)</f>
        <v>Fringe Benefits</v>
      </c>
      <c r="M677" t="s">
        <v>83</v>
      </c>
    </row>
    <row r="678" spans="1:13" hidden="1" x14ac:dyDescent="0.35">
      <c r="A678">
        <v>1110551</v>
      </c>
      <c r="B678" t="s">
        <v>154</v>
      </c>
      <c r="C678">
        <v>501069</v>
      </c>
      <c r="D678" t="s">
        <v>125</v>
      </c>
      <c r="E678" s="81">
        <v>2</v>
      </c>
      <c r="F678" t="s">
        <v>21</v>
      </c>
      <c r="G678" s="55">
        <v>2955.86</v>
      </c>
      <c r="H678" s="82">
        <v>2955.86</v>
      </c>
      <c r="I678" s="83" t="str">
        <f>VLOOKUP(E678,[1]Mapping!$A$3:$B$14,2,FALSE)</f>
        <v>Aug</v>
      </c>
      <c r="J678" s="84">
        <f t="shared" si="22"/>
        <v>1110551</v>
      </c>
      <c r="K678" s="84">
        <f t="shared" si="23"/>
        <v>501069</v>
      </c>
      <c r="L678" s="61" t="str">
        <f>VLOOKUP(K678,[1]Mapping!$J$3:$Q$351,8,FALSE)</f>
        <v>Fringe Benefits</v>
      </c>
      <c r="M678" t="s">
        <v>83</v>
      </c>
    </row>
    <row r="679" spans="1:13" x14ac:dyDescent="0.35">
      <c r="A679">
        <v>1110551</v>
      </c>
      <c r="B679" t="s">
        <v>154</v>
      </c>
      <c r="C679">
        <v>501710</v>
      </c>
      <c r="D679" t="s">
        <v>45</v>
      </c>
      <c r="E679" s="81">
        <v>2</v>
      </c>
      <c r="F679" t="s">
        <v>27</v>
      </c>
      <c r="G679" s="55">
        <v>9245</v>
      </c>
      <c r="H679" s="82">
        <v>9245</v>
      </c>
      <c r="I679" s="83" t="str">
        <f>VLOOKUP(E679,[1]Mapping!$A$3:$B$14,2,FALSE)</f>
        <v>Aug</v>
      </c>
      <c r="J679" s="84">
        <f t="shared" si="22"/>
        <v>1110551</v>
      </c>
      <c r="K679" s="84">
        <f t="shared" si="23"/>
        <v>501710</v>
      </c>
      <c r="L679" s="61" t="str">
        <f>VLOOKUP(K679,[1]Mapping!$J$3:$Q$351,8,FALSE)</f>
        <v>Outside Services</v>
      </c>
      <c r="M679" t="s">
        <v>83</v>
      </c>
    </row>
    <row r="680" spans="1:13" hidden="1" x14ac:dyDescent="0.35">
      <c r="A680">
        <v>1110551</v>
      </c>
      <c r="B680" t="s">
        <v>154</v>
      </c>
      <c r="C680">
        <v>600030</v>
      </c>
      <c r="D680" t="s">
        <v>110</v>
      </c>
      <c r="E680" s="81">
        <v>2</v>
      </c>
      <c r="F680" t="s">
        <v>23</v>
      </c>
      <c r="G680" s="55">
        <v>287.45999999999998</v>
      </c>
      <c r="H680" s="82">
        <v>287.45999999999998</v>
      </c>
      <c r="I680" s="83" t="str">
        <f>VLOOKUP(E680,[1]Mapping!$A$3:$B$14,2,FALSE)</f>
        <v>Aug</v>
      </c>
      <c r="J680" s="84">
        <f t="shared" si="22"/>
        <v>1110551</v>
      </c>
      <c r="K680" s="84">
        <f t="shared" si="23"/>
        <v>600030</v>
      </c>
      <c r="L680" s="61" t="str">
        <f>VLOOKUP(K680,[1]Mapping!$J$3:$Q$351,8,FALSE)</f>
        <v>Travel &amp; Entertainment</v>
      </c>
      <c r="M680" t="s">
        <v>83</v>
      </c>
    </row>
    <row r="681" spans="1:13" hidden="1" x14ac:dyDescent="0.35">
      <c r="A681">
        <v>1110551</v>
      </c>
      <c r="B681" t="s">
        <v>154</v>
      </c>
      <c r="C681">
        <v>600043</v>
      </c>
      <c r="D681" t="s">
        <v>102</v>
      </c>
      <c r="E681" s="81">
        <v>2</v>
      </c>
      <c r="F681" t="s">
        <v>23</v>
      </c>
      <c r="G681" s="55">
        <v>318.66000000000003</v>
      </c>
      <c r="H681" s="82">
        <v>318.66000000000003</v>
      </c>
      <c r="I681" s="83" t="str">
        <f>VLOOKUP(E681,[1]Mapping!$A$3:$B$14,2,FALSE)</f>
        <v>Aug</v>
      </c>
      <c r="J681" s="84">
        <f t="shared" si="22"/>
        <v>1110551</v>
      </c>
      <c r="K681" s="84">
        <f t="shared" si="23"/>
        <v>600043</v>
      </c>
      <c r="L681" s="61" t="str">
        <f>VLOOKUP(K681,[1]Mapping!$J$3:$Q$351,8,FALSE)</f>
        <v>Travel &amp; Entertainment</v>
      </c>
      <c r="M681" t="s">
        <v>83</v>
      </c>
    </row>
    <row r="682" spans="1:13" hidden="1" x14ac:dyDescent="0.35">
      <c r="A682">
        <v>1110551</v>
      </c>
      <c r="B682" t="s">
        <v>154</v>
      </c>
      <c r="C682">
        <v>600029</v>
      </c>
      <c r="D682" t="s">
        <v>113</v>
      </c>
      <c r="E682" s="81">
        <v>2</v>
      </c>
      <c r="F682" t="s">
        <v>23</v>
      </c>
      <c r="G682" s="55">
        <v>1306.05</v>
      </c>
      <c r="H682" s="82">
        <v>1306.05</v>
      </c>
      <c r="I682" s="83" t="str">
        <f>VLOOKUP(E682,[1]Mapping!$A$3:$B$14,2,FALSE)</f>
        <v>Aug</v>
      </c>
      <c r="J682" s="84">
        <f t="shared" si="22"/>
        <v>1110551</v>
      </c>
      <c r="K682" s="84">
        <f t="shared" si="23"/>
        <v>600029</v>
      </c>
      <c r="L682" s="61" t="str">
        <f>VLOOKUP(K682,[1]Mapping!$J$3:$Q$351,8,FALSE)</f>
        <v>Travel &amp; Entertainment</v>
      </c>
      <c r="M682" t="s">
        <v>83</v>
      </c>
    </row>
    <row r="683" spans="1:13" x14ac:dyDescent="0.35">
      <c r="A683">
        <v>1110551</v>
      </c>
      <c r="B683" t="s">
        <v>154</v>
      </c>
      <c r="C683">
        <v>501709</v>
      </c>
      <c r="D683" t="s">
        <v>85</v>
      </c>
      <c r="E683" s="81">
        <v>2</v>
      </c>
      <c r="F683" t="s">
        <v>27</v>
      </c>
      <c r="G683" s="55">
        <v>431.38</v>
      </c>
      <c r="H683" s="82">
        <v>431.38</v>
      </c>
      <c r="I683" s="83" t="str">
        <f>VLOOKUP(E683,[1]Mapping!$A$3:$B$14,2,FALSE)</f>
        <v>Aug</v>
      </c>
      <c r="J683" s="84">
        <f t="shared" si="22"/>
        <v>1110551</v>
      </c>
      <c r="K683" s="84">
        <f t="shared" si="23"/>
        <v>501709</v>
      </c>
      <c r="L683" s="61" t="str">
        <f>VLOOKUP(K683,[1]Mapping!$J$3:$Q$351,8,FALSE)</f>
        <v>Outside Services</v>
      </c>
      <c r="M683" t="s">
        <v>83</v>
      </c>
    </row>
    <row r="684" spans="1:13" hidden="1" x14ac:dyDescent="0.35">
      <c r="A684">
        <v>1110551</v>
      </c>
      <c r="B684" t="s">
        <v>154</v>
      </c>
      <c r="C684">
        <v>501609</v>
      </c>
      <c r="D684" t="s">
        <v>47</v>
      </c>
      <c r="E684" s="81">
        <v>2</v>
      </c>
      <c r="F684" t="s">
        <v>24</v>
      </c>
      <c r="G684" s="55">
        <v>0</v>
      </c>
      <c r="H684" s="82">
        <v>0</v>
      </c>
      <c r="I684" s="83" t="str">
        <f>VLOOKUP(E684,[1]Mapping!$A$3:$B$14,2,FALSE)</f>
        <v>Aug</v>
      </c>
      <c r="J684" s="84">
        <f t="shared" si="22"/>
        <v>1110551</v>
      </c>
      <c r="K684" s="84">
        <f t="shared" si="23"/>
        <v>501609</v>
      </c>
      <c r="L684" s="61" t="str">
        <f>VLOOKUP(K684,[1]Mapping!$J$3:$Q$351,8,FALSE)</f>
        <v>Supplies Expenses</v>
      </c>
      <c r="M684" t="s">
        <v>83</v>
      </c>
    </row>
    <row r="685" spans="1:13" hidden="1" x14ac:dyDescent="0.35">
      <c r="A685">
        <v>1110551</v>
      </c>
      <c r="B685" t="s">
        <v>154</v>
      </c>
      <c r="C685">
        <v>501053</v>
      </c>
      <c r="D685" t="s">
        <v>40</v>
      </c>
      <c r="E685" s="81">
        <v>2</v>
      </c>
      <c r="F685" t="s">
        <v>20</v>
      </c>
      <c r="G685" s="55">
        <v>27.749999999999972</v>
      </c>
      <c r="H685" s="82">
        <v>27.749999999999972</v>
      </c>
      <c r="I685" s="83" t="str">
        <f>VLOOKUP(E685,[1]Mapping!$A$3:$B$14,2,FALSE)</f>
        <v>Aug</v>
      </c>
      <c r="J685" s="84">
        <f t="shared" si="22"/>
        <v>1110551</v>
      </c>
      <c r="K685" s="84">
        <f t="shared" si="23"/>
        <v>501053</v>
      </c>
      <c r="L685" s="61" t="str">
        <f>VLOOKUP(K685,[1]Mapping!$J$3:$Q$351,8,FALSE)</f>
        <v>Overtime</v>
      </c>
      <c r="M685" t="s">
        <v>83</v>
      </c>
    </row>
    <row r="686" spans="1:13" hidden="1" x14ac:dyDescent="0.35">
      <c r="A686">
        <v>1110551</v>
      </c>
      <c r="B686" t="s">
        <v>154</v>
      </c>
      <c r="C686">
        <v>600020</v>
      </c>
      <c r="D686" t="s">
        <v>91</v>
      </c>
      <c r="E686" s="81">
        <v>2</v>
      </c>
      <c r="F686" t="s">
        <v>21</v>
      </c>
      <c r="G686" s="55">
        <v>9347.5400000000009</v>
      </c>
      <c r="H686" s="82">
        <v>9347.5400000000009</v>
      </c>
      <c r="I686" s="83" t="str">
        <f>VLOOKUP(E686,[1]Mapping!$A$3:$B$14,2,FALSE)</f>
        <v>Aug</v>
      </c>
      <c r="J686" s="84">
        <f t="shared" si="22"/>
        <v>1110551</v>
      </c>
      <c r="K686" s="84">
        <f t="shared" si="23"/>
        <v>600020</v>
      </c>
      <c r="L686" s="61" t="str">
        <f>VLOOKUP(K686,[1]Mapping!$J$3:$Q$351,8,FALSE)</f>
        <v>Fringe Benefits</v>
      </c>
      <c r="M686" t="s">
        <v>83</v>
      </c>
    </row>
    <row r="687" spans="1:13" hidden="1" x14ac:dyDescent="0.35">
      <c r="A687">
        <v>1110551</v>
      </c>
      <c r="B687" t="s">
        <v>154</v>
      </c>
      <c r="C687">
        <v>600055</v>
      </c>
      <c r="D687" t="s">
        <v>92</v>
      </c>
      <c r="E687" s="81">
        <v>2</v>
      </c>
      <c r="F687" t="s">
        <v>21</v>
      </c>
      <c r="G687" s="55">
        <v>747.81</v>
      </c>
      <c r="H687" s="82">
        <v>747.81</v>
      </c>
      <c r="I687" s="83" t="str">
        <f>VLOOKUP(E687,[1]Mapping!$A$3:$B$14,2,FALSE)</f>
        <v>Aug</v>
      </c>
      <c r="J687" s="84">
        <f t="shared" si="22"/>
        <v>1110551</v>
      </c>
      <c r="K687" s="84">
        <f t="shared" si="23"/>
        <v>600055</v>
      </c>
      <c r="L687" s="61" t="str">
        <f>VLOOKUP(K687,[1]Mapping!$J$3:$Q$351,8,FALSE)</f>
        <v>Fringe Benefits</v>
      </c>
      <c r="M687" t="s">
        <v>83</v>
      </c>
    </row>
    <row r="688" spans="1:13" hidden="1" x14ac:dyDescent="0.35">
      <c r="A688">
        <v>1110551</v>
      </c>
      <c r="B688" t="s">
        <v>154</v>
      </c>
      <c r="C688">
        <v>508004</v>
      </c>
      <c r="D688" t="s">
        <v>130</v>
      </c>
      <c r="E688" s="81">
        <v>2</v>
      </c>
      <c r="F688" t="s">
        <v>31</v>
      </c>
      <c r="G688" s="55">
        <v>1545.12</v>
      </c>
      <c r="H688" s="82">
        <v>1545.12</v>
      </c>
      <c r="I688" s="83" t="str">
        <f>VLOOKUP(E688,[1]Mapping!$A$3:$B$14,2,FALSE)</f>
        <v>Aug</v>
      </c>
      <c r="J688" s="84">
        <f t="shared" si="22"/>
        <v>1110551</v>
      </c>
      <c r="K688" s="84">
        <f t="shared" si="23"/>
        <v>508004</v>
      </c>
      <c r="L688" s="61" t="str">
        <f>VLOOKUP(K688,[1]Mapping!$J$3:$Q$351,8,FALSE)</f>
        <v>Depreciation</v>
      </c>
      <c r="M688" t="s">
        <v>83</v>
      </c>
    </row>
    <row r="689" spans="1:13" hidden="1" x14ac:dyDescent="0.35">
      <c r="A689">
        <v>1110551</v>
      </c>
      <c r="B689" t="s">
        <v>154</v>
      </c>
      <c r="C689">
        <v>600051</v>
      </c>
      <c r="D689" t="s">
        <v>157</v>
      </c>
      <c r="E689" s="81">
        <v>2</v>
      </c>
      <c r="F689" t="s">
        <v>23</v>
      </c>
      <c r="G689" s="55">
        <v>377.24</v>
      </c>
      <c r="H689" s="82">
        <v>377.24</v>
      </c>
      <c r="I689" s="83" t="str">
        <f>VLOOKUP(E689,[1]Mapping!$A$3:$B$14,2,FALSE)</f>
        <v>Aug</v>
      </c>
      <c r="J689" s="84">
        <f t="shared" si="22"/>
        <v>1110551</v>
      </c>
      <c r="K689" s="84">
        <f t="shared" si="23"/>
        <v>600051</v>
      </c>
      <c r="L689" s="61" t="str">
        <f>VLOOKUP(K689,[1]Mapping!$J$3:$Q$351,8,FALSE)</f>
        <v>Travel &amp; Entertainment</v>
      </c>
      <c r="M689" t="s">
        <v>83</v>
      </c>
    </row>
    <row r="690" spans="1:13" hidden="1" x14ac:dyDescent="0.35">
      <c r="A690">
        <v>1110551</v>
      </c>
      <c r="B690" t="s">
        <v>154</v>
      </c>
      <c r="C690">
        <v>600028</v>
      </c>
      <c r="D690" t="s">
        <v>115</v>
      </c>
      <c r="E690" s="81">
        <v>2</v>
      </c>
      <c r="F690" t="s">
        <v>23</v>
      </c>
      <c r="G690" s="55">
        <v>73.5</v>
      </c>
      <c r="H690" s="82">
        <v>73.5</v>
      </c>
      <c r="I690" s="83" t="str">
        <f>VLOOKUP(E690,[1]Mapping!$A$3:$B$14,2,FALSE)</f>
        <v>Aug</v>
      </c>
      <c r="J690" s="84">
        <f t="shared" si="22"/>
        <v>1110551</v>
      </c>
      <c r="K690" s="84">
        <f t="shared" si="23"/>
        <v>600028</v>
      </c>
      <c r="L690" s="61" t="str">
        <f>VLOOKUP(K690,[1]Mapping!$J$3:$Q$351,8,FALSE)</f>
        <v>Travel &amp; Entertainment</v>
      </c>
      <c r="M690" t="s">
        <v>83</v>
      </c>
    </row>
    <row r="691" spans="1:13" hidden="1" x14ac:dyDescent="0.35">
      <c r="A691">
        <v>1110551</v>
      </c>
      <c r="B691" t="s">
        <v>154</v>
      </c>
      <c r="C691">
        <v>501223</v>
      </c>
      <c r="D691" t="s">
        <v>51</v>
      </c>
      <c r="E691" s="81">
        <v>2</v>
      </c>
      <c r="F691" t="s">
        <v>34</v>
      </c>
      <c r="G691" s="55">
        <v>-8553.9</v>
      </c>
      <c r="H691" s="82">
        <v>-8553.9</v>
      </c>
      <c r="I691" s="83" t="str">
        <f>VLOOKUP(E691,[1]Mapping!$A$3:$B$14,2,FALSE)</f>
        <v>Aug</v>
      </c>
      <c r="J691" s="84">
        <f t="shared" si="22"/>
        <v>1110551</v>
      </c>
      <c r="K691" s="84">
        <f t="shared" si="23"/>
        <v>501223</v>
      </c>
      <c r="L691" s="61" t="str">
        <f>VLOOKUP(K691,[1]Mapping!$J$3:$Q$351,8,FALSE)</f>
        <v>Allocations</v>
      </c>
      <c r="M691" t="s">
        <v>83</v>
      </c>
    </row>
    <row r="692" spans="1:13" hidden="1" x14ac:dyDescent="0.35">
      <c r="A692">
        <v>1110551</v>
      </c>
      <c r="B692" t="s">
        <v>154</v>
      </c>
      <c r="C692">
        <v>501714</v>
      </c>
      <c r="D692" t="s">
        <v>134</v>
      </c>
      <c r="E692" s="81">
        <v>2</v>
      </c>
      <c r="F692" t="s">
        <v>24</v>
      </c>
      <c r="G692" s="55">
        <v>5983.6900000000005</v>
      </c>
      <c r="H692" s="82">
        <v>5983.6900000000005</v>
      </c>
      <c r="I692" s="83" t="str">
        <f>VLOOKUP(E692,[1]Mapping!$A$3:$B$14,2,FALSE)</f>
        <v>Aug</v>
      </c>
      <c r="J692" s="84">
        <f t="shared" si="22"/>
        <v>1110551</v>
      </c>
      <c r="K692" s="84">
        <f t="shared" si="23"/>
        <v>501714</v>
      </c>
      <c r="L692" s="61" t="str">
        <f>VLOOKUP(K692,[1]Mapping!$J$3:$Q$351,8,FALSE)</f>
        <v>Supplies Expenses</v>
      </c>
      <c r="M692" t="s">
        <v>83</v>
      </c>
    </row>
    <row r="693" spans="1:13" hidden="1" x14ac:dyDescent="0.35">
      <c r="A693">
        <v>1110551</v>
      </c>
      <c r="B693" t="s">
        <v>154</v>
      </c>
      <c r="C693">
        <v>501070</v>
      </c>
      <c r="D693" t="s">
        <v>135</v>
      </c>
      <c r="E693" s="81">
        <v>2</v>
      </c>
      <c r="F693" t="s">
        <v>21</v>
      </c>
      <c r="G693" s="55">
        <v>-1260</v>
      </c>
      <c r="H693" s="82">
        <v>-1260</v>
      </c>
      <c r="I693" s="83" t="str">
        <f>VLOOKUP(E693,[1]Mapping!$A$3:$B$14,2,FALSE)</f>
        <v>Aug</v>
      </c>
      <c r="J693" s="84">
        <f t="shared" si="22"/>
        <v>1110551</v>
      </c>
      <c r="K693" s="84">
        <f t="shared" si="23"/>
        <v>501070</v>
      </c>
      <c r="L693" s="61" t="str">
        <f>VLOOKUP(K693,[1]Mapping!$J$3:$Q$351,8,FALSE)</f>
        <v>Fringe Benefits</v>
      </c>
      <c r="M693" t="s">
        <v>83</v>
      </c>
    </row>
    <row r="694" spans="1:13" hidden="1" x14ac:dyDescent="0.35">
      <c r="A694">
        <v>1110065</v>
      </c>
      <c r="B694" t="s">
        <v>158</v>
      </c>
      <c r="C694">
        <v>501050</v>
      </c>
      <c r="D694" t="s">
        <v>39</v>
      </c>
      <c r="E694" s="81">
        <v>2</v>
      </c>
      <c r="F694" t="s">
        <v>19</v>
      </c>
      <c r="G694" s="55">
        <v>74105.47</v>
      </c>
      <c r="H694" s="82">
        <v>74105.47</v>
      </c>
      <c r="I694" s="83" t="str">
        <f>VLOOKUP(E694,[1]Mapping!$A$3:$B$14,2,FALSE)</f>
        <v>Aug</v>
      </c>
      <c r="J694" s="84">
        <f t="shared" si="22"/>
        <v>1110065</v>
      </c>
      <c r="K694" s="84">
        <f t="shared" si="23"/>
        <v>501050</v>
      </c>
      <c r="L694" s="61" t="str">
        <f>VLOOKUP(K694,[1]Mapping!$J$3:$Q$351,8,FALSE)</f>
        <v>Wages &amp; Salaries</v>
      </c>
      <c r="M694" t="s">
        <v>83</v>
      </c>
    </row>
    <row r="695" spans="1:13" hidden="1" x14ac:dyDescent="0.35">
      <c r="A695">
        <v>1110065</v>
      </c>
      <c r="B695" t="s">
        <v>158</v>
      </c>
      <c r="C695">
        <v>501051</v>
      </c>
      <c r="D695" t="s">
        <v>121</v>
      </c>
      <c r="E695" s="81">
        <v>2</v>
      </c>
      <c r="F695" t="s">
        <v>19</v>
      </c>
      <c r="G695" s="55">
        <v>4643.3799999999992</v>
      </c>
      <c r="H695" s="82">
        <v>4643.3799999999992</v>
      </c>
      <c r="I695" s="83" t="str">
        <f>VLOOKUP(E695,[1]Mapping!$A$3:$B$14,2,FALSE)</f>
        <v>Aug</v>
      </c>
      <c r="J695" s="84">
        <f t="shared" si="22"/>
        <v>1110065</v>
      </c>
      <c r="K695" s="84">
        <f t="shared" si="23"/>
        <v>501051</v>
      </c>
      <c r="L695" s="61" t="str">
        <f>VLOOKUP(K695,[1]Mapping!$J$3:$Q$351,8,FALSE)</f>
        <v>Wages &amp; Salaries</v>
      </c>
      <c r="M695" t="s">
        <v>83</v>
      </c>
    </row>
    <row r="696" spans="1:13" hidden="1" x14ac:dyDescent="0.35">
      <c r="A696">
        <v>1110065</v>
      </c>
      <c r="B696" t="s">
        <v>158</v>
      </c>
      <c r="C696">
        <v>501058</v>
      </c>
      <c r="D696" t="s">
        <v>122</v>
      </c>
      <c r="E696" s="81">
        <v>2</v>
      </c>
      <c r="F696" t="s">
        <v>21</v>
      </c>
      <c r="G696" s="55">
        <v>5605.7199999999993</v>
      </c>
      <c r="H696" s="82">
        <v>5605.7199999999993</v>
      </c>
      <c r="I696" s="83" t="str">
        <f>VLOOKUP(E696,[1]Mapping!$A$3:$B$14,2,FALSE)</f>
        <v>Aug</v>
      </c>
      <c r="J696" s="84">
        <f t="shared" si="22"/>
        <v>1110065</v>
      </c>
      <c r="K696" s="84">
        <f t="shared" si="23"/>
        <v>501058</v>
      </c>
      <c r="L696" s="61" t="str">
        <f>VLOOKUP(K696,[1]Mapping!$J$3:$Q$351,8,FALSE)</f>
        <v>Fringe Benefits</v>
      </c>
      <c r="M696" t="s">
        <v>83</v>
      </c>
    </row>
    <row r="697" spans="1:13" hidden="1" x14ac:dyDescent="0.35">
      <c r="A697">
        <v>1110065</v>
      </c>
      <c r="B697" t="s">
        <v>158</v>
      </c>
      <c r="C697">
        <v>501062</v>
      </c>
      <c r="D697" t="s">
        <v>41</v>
      </c>
      <c r="E697" s="81">
        <v>2</v>
      </c>
      <c r="F697" t="s">
        <v>21</v>
      </c>
      <c r="G697" s="55">
        <v>118.63</v>
      </c>
      <c r="H697" s="82">
        <v>118.63</v>
      </c>
      <c r="I697" s="83" t="str">
        <f>VLOOKUP(E697,[1]Mapping!$A$3:$B$14,2,FALSE)</f>
        <v>Aug</v>
      </c>
      <c r="J697" s="84">
        <f t="shared" si="22"/>
        <v>1110065</v>
      </c>
      <c r="K697" s="84">
        <f t="shared" si="23"/>
        <v>501062</v>
      </c>
      <c r="L697" s="61" t="str">
        <f>VLOOKUP(K697,[1]Mapping!$J$3:$Q$351,8,FALSE)</f>
        <v>Fringe Benefits</v>
      </c>
      <c r="M697" t="s">
        <v>83</v>
      </c>
    </row>
    <row r="698" spans="1:13" hidden="1" x14ac:dyDescent="0.35">
      <c r="A698">
        <v>1110065</v>
      </c>
      <c r="B698" t="s">
        <v>158</v>
      </c>
      <c r="C698">
        <v>501804</v>
      </c>
      <c r="D698" t="s">
        <v>43</v>
      </c>
      <c r="E698" s="81">
        <v>2</v>
      </c>
      <c r="F698" t="s">
        <v>22</v>
      </c>
      <c r="G698" s="55">
        <v>160.38</v>
      </c>
      <c r="H698" s="82">
        <v>160.38</v>
      </c>
      <c r="I698" s="83" t="str">
        <f>VLOOKUP(E698,[1]Mapping!$A$3:$B$14,2,FALSE)</f>
        <v>Aug</v>
      </c>
      <c r="J698" s="84">
        <f t="shared" si="22"/>
        <v>1110065</v>
      </c>
      <c r="K698" s="84">
        <f t="shared" si="23"/>
        <v>501804</v>
      </c>
      <c r="L698" s="61" t="str">
        <f>VLOOKUP(K698,[1]Mapping!$J$3:$Q$351,8,FALSE)</f>
        <v>Employee Related Expenses</v>
      </c>
      <c r="M698" t="s">
        <v>83</v>
      </c>
    </row>
    <row r="699" spans="1:13" hidden="1" x14ac:dyDescent="0.35">
      <c r="A699">
        <v>1110065</v>
      </c>
      <c r="B699" t="s">
        <v>158</v>
      </c>
      <c r="C699">
        <v>501063</v>
      </c>
      <c r="D699" t="s">
        <v>123</v>
      </c>
      <c r="E699" s="81">
        <v>2</v>
      </c>
      <c r="F699" t="s">
        <v>21</v>
      </c>
      <c r="G699" s="55">
        <v>9882.8799999999992</v>
      </c>
      <c r="H699" s="82">
        <v>9882.8799999999992</v>
      </c>
      <c r="I699" s="83" t="str">
        <f>VLOOKUP(E699,[1]Mapping!$A$3:$B$14,2,FALSE)</f>
        <v>Aug</v>
      </c>
      <c r="J699" s="84">
        <f t="shared" si="22"/>
        <v>1110065</v>
      </c>
      <c r="K699" s="84">
        <f t="shared" si="23"/>
        <v>501063</v>
      </c>
      <c r="L699" s="61" t="str">
        <f>VLOOKUP(K699,[1]Mapping!$J$3:$Q$351,8,FALSE)</f>
        <v>Fringe Benefits</v>
      </c>
      <c r="M699" t="s">
        <v>83</v>
      </c>
    </row>
    <row r="700" spans="1:13" hidden="1" x14ac:dyDescent="0.35">
      <c r="A700">
        <v>1110065</v>
      </c>
      <c r="B700" t="s">
        <v>158</v>
      </c>
      <c r="C700">
        <v>501065</v>
      </c>
      <c r="D700" t="s">
        <v>124</v>
      </c>
      <c r="E700" s="81">
        <v>2</v>
      </c>
      <c r="F700" t="s">
        <v>21</v>
      </c>
      <c r="G700" s="55">
        <v>178.16000000000003</v>
      </c>
      <c r="H700" s="82">
        <v>178.16000000000003</v>
      </c>
      <c r="I700" s="83" t="str">
        <f>VLOOKUP(E700,[1]Mapping!$A$3:$B$14,2,FALSE)</f>
        <v>Aug</v>
      </c>
      <c r="J700" s="84">
        <f t="shared" si="22"/>
        <v>1110065</v>
      </c>
      <c r="K700" s="84">
        <f t="shared" si="23"/>
        <v>501065</v>
      </c>
      <c r="L700" s="61" t="str">
        <f>VLOOKUP(K700,[1]Mapping!$J$3:$Q$351,8,FALSE)</f>
        <v>Fringe Benefits</v>
      </c>
      <c r="M700" t="s">
        <v>83</v>
      </c>
    </row>
    <row r="701" spans="1:13" hidden="1" x14ac:dyDescent="0.35">
      <c r="A701">
        <v>1110065</v>
      </c>
      <c r="B701" t="s">
        <v>158</v>
      </c>
      <c r="C701">
        <v>501069</v>
      </c>
      <c r="D701" t="s">
        <v>125</v>
      </c>
      <c r="E701" s="81">
        <v>2</v>
      </c>
      <c r="F701" t="s">
        <v>21</v>
      </c>
      <c r="G701" s="55">
        <v>3256.2200000000003</v>
      </c>
      <c r="H701" s="82">
        <v>3256.2200000000003</v>
      </c>
      <c r="I701" s="83" t="str">
        <f>VLOOKUP(E701,[1]Mapping!$A$3:$B$14,2,FALSE)</f>
        <v>Aug</v>
      </c>
      <c r="J701" s="84">
        <f t="shared" si="22"/>
        <v>1110065</v>
      </c>
      <c r="K701" s="84">
        <f t="shared" si="23"/>
        <v>501069</v>
      </c>
      <c r="L701" s="61" t="str">
        <f>VLOOKUP(K701,[1]Mapping!$J$3:$Q$351,8,FALSE)</f>
        <v>Fringe Benefits</v>
      </c>
      <c r="M701" t="s">
        <v>83</v>
      </c>
    </row>
    <row r="702" spans="1:13" hidden="1" x14ac:dyDescent="0.35">
      <c r="A702">
        <v>1110065</v>
      </c>
      <c r="B702" t="s">
        <v>158</v>
      </c>
      <c r="C702">
        <v>607082</v>
      </c>
      <c r="D702" t="s">
        <v>126</v>
      </c>
      <c r="E702" s="81">
        <v>2</v>
      </c>
      <c r="F702" t="s">
        <v>24</v>
      </c>
      <c r="G702" s="55">
        <v>355.92</v>
      </c>
      <c r="H702" s="82">
        <v>355.92</v>
      </c>
      <c r="I702" s="83" t="str">
        <f>VLOOKUP(E702,[1]Mapping!$A$3:$B$14,2,FALSE)</f>
        <v>Aug</v>
      </c>
      <c r="J702" s="84">
        <f t="shared" si="22"/>
        <v>1110065</v>
      </c>
      <c r="K702" s="84">
        <f t="shared" si="23"/>
        <v>607082</v>
      </c>
      <c r="L702" s="61" t="str">
        <f>VLOOKUP(K702,[1]Mapping!$J$3:$Q$351,8,FALSE)</f>
        <v>Supplies Expenses</v>
      </c>
      <c r="M702" t="s">
        <v>83</v>
      </c>
    </row>
    <row r="703" spans="1:13" hidden="1" x14ac:dyDescent="0.35">
      <c r="A703">
        <v>1110065</v>
      </c>
      <c r="B703" t="s">
        <v>158</v>
      </c>
      <c r="C703">
        <v>501053</v>
      </c>
      <c r="D703" t="s">
        <v>40</v>
      </c>
      <c r="E703" s="81">
        <v>2</v>
      </c>
      <c r="F703" t="s">
        <v>20</v>
      </c>
      <c r="G703" s="55">
        <v>8062.4699999999993</v>
      </c>
      <c r="H703" s="82">
        <v>8062.4699999999993</v>
      </c>
      <c r="I703" s="83" t="str">
        <f>VLOOKUP(E703,[1]Mapping!$A$3:$B$14,2,FALSE)</f>
        <v>Aug</v>
      </c>
      <c r="J703" s="84">
        <f t="shared" si="22"/>
        <v>1110065</v>
      </c>
      <c r="K703" s="84">
        <f t="shared" si="23"/>
        <v>501053</v>
      </c>
      <c r="L703" s="61" t="str">
        <f>VLOOKUP(K703,[1]Mapping!$J$3:$Q$351,8,FALSE)</f>
        <v>Overtime</v>
      </c>
      <c r="M703" t="s">
        <v>83</v>
      </c>
    </row>
    <row r="704" spans="1:13" hidden="1" x14ac:dyDescent="0.35">
      <c r="A704">
        <v>1110065</v>
      </c>
      <c r="B704" t="s">
        <v>158</v>
      </c>
      <c r="C704">
        <v>600045</v>
      </c>
      <c r="D704" t="s">
        <v>127</v>
      </c>
      <c r="E704" s="81">
        <v>2</v>
      </c>
      <c r="F704" t="s">
        <v>23</v>
      </c>
      <c r="G704" s="55">
        <v>238.34</v>
      </c>
      <c r="H704" s="82">
        <v>238.34</v>
      </c>
      <c r="I704" s="83" t="str">
        <f>VLOOKUP(E704,[1]Mapping!$A$3:$B$14,2,FALSE)</f>
        <v>Aug</v>
      </c>
      <c r="J704" s="84">
        <f t="shared" si="22"/>
        <v>1110065</v>
      </c>
      <c r="K704" s="84">
        <f t="shared" si="23"/>
        <v>600045</v>
      </c>
      <c r="L704" s="61" t="str">
        <f>VLOOKUP(K704,[1]Mapping!$J$3:$Q$351,8,FALSE)</f>
        <v>Travel &amp; Entertainment</v>
      </c>
      <c r="M704" t="s">
        <v>83</v>
      </c>
    </row>
    <row r="705" spans="1:13" hidden="1" x14ac:dyDescent="0.35">
      <c r="A705">
        <v>1110065</v>
      </c>
      <c r="B705" t="s">
        <v>158</v>
      </c>
      <c r="C705">
        <v>501059</v>
      </c>
      <c r="D705" t="s">
        <v>138</v>
      </c>
      <c r="E705" s="81">
        <v>2</v>
      </c>
      <c r="F705" t="s">
        <v>21</v>
      </c>
      <c r="G705" s="55">
        <v>25</v>
      </c>
      <c r="H705" s="82">
        <v>25</v>
      </c>
      <c r="I705" s="83" t="str">
        <f>VLOOKUP(E705,[1]Mapping!$A$3:$B$14,2,FALSE)</f>
        <v>Aug</v>
      </c>
      <c r="J705" s="84">
        <f t="shared" si="22"/>
        <v>1110065</v>
      </c>
      <c r="K705" s="84">
        <f t="shared" si="23"/>
        <v>501059</v>
      </c>
      <c r="L705" s="61" t="str">
        <f>VLOOKUP(K705,[1]Mapping!$J$3:$Q$351,8,FALSE)</f>
        <v>Fringe Benefits</v>
      </c>
      <c r="M705" t="s">
        <v>83</v>
      </c>
    </row>
    <row r="706" spans="1:13" hidden="1" x14ac:dyDescent="0.35">
      <c r="A706">
        <v>1110065</v>
      </c>
      <c r="B706" t="s">
        <v>158</v>
      </c>
      <c r="C706">
        <v>600020</v>
      </c>
      <c r="D706" t="s">
        <v>91</v>
      </c>
      <c r="E706" s="81">
        <v>2</v>
      </c>
      <c r="F706" t="s">
        <v>21</v>
      </c>
      <c r="G706" s="55">
        <v>5136.2</v>
      </c>
      <c r="H706" s="82">
        <v>5136.2</v>
      </c>
      <c r="I706" s="83" t="str">
        <f>VLOOKUP(E706,[1]Mapping!$A$3:$B$14,2,FALSE)</f>
        <v>Aug</v>
      </c>
      <c r="J706" s="84">
        <f t="shared" si="22"/>
        <v>1110065</v>
      </c>
      <c r="K706" s="84">
        <f t="shared" si="23"/>
        <v>600020</v>
      </c>
      <c r="L706" s="61" t="str">
        <f>VLOOKUP(K706,[1]Mapping!$J$3:$Q$351,8,FALSE)</f>
        <v>Fringe Benefits</v>
      </c>
      <c r="M706" t="s">
        <v>83</v>
      </c>
    </row>
    <row r="707" spans="1:13" hidden="1" x14ac:dyDescent="0.35">
      <c r="A707">
        <v>1110065</v>
      </c>
      <c r="B707" t="s">
        <v>158</v>
      </c>
      <c r="C707">
        <v>600055</v>
      </c>
      <c r="D707" t="s">
        <v>92</v>
      </c>
      <c r="E707" s="81">
        <v>2</v>
      </c>
      <c r="F707" t="s">
        <v>21</v>
      </c>
      <c r="G707" s="55">
        <v>410.89</v>
      </c>
      <c r="H707" s="82">
        <v>410.89</v>
      </c>
      <c r="I707" s="83" t="str">
        <f>VLOOKUP(E707,[1]Mapping!$A$3:$B$14,2,FALSE)</f>
        <v>Aug</v>
      </c>
      <c r="J707" s="84">
        <f t="shared" si="22"/>
        <v>1110065</v>
      </c>
      <c r="K707" s="84">
        <f t="shared" si="23"/>
        <v>600055</v>
      </c>
      <c r="L707" s="61" t="str">
        <f>VLOOKUP(K707,[1]Mapping!$J$3:$Q$351,8,FALSE)</f>
        <v>Fringe Benefits</v>
      </c>
      <c r="M707" t="s">
        <v>83</v>
      </c>
    </row>
    <row r="708" spans="1:13" hidden="1" x14ac:dyDescent="0.35">
      <c r="A708">
        <v>1110065</v>
      </c>
      <c r="B708" t="s">
        <v>158</v>
      </c>
      <c r="C708">
        <v>501809</v>
      </c>
      <c r="D708" t="s">
        <v>159</v>
      </c>
      <c r="E708" s="81">
        <v>2</v>
      </c>
      <c r="F708" t="s">
        <v>117</v>
      </c>
      <c r="G708" s="55">
        <v>6196.29</v>
      </c>
      <c r="H708" s="82">
        <v>6196.29</v>
      </c>
      <c r="I708" s="83" t="str">
        <f>VLOOKUP(E708,[1]Mapping!$A$3:$B$14,2,FALSE)</f>
        <v>Aug</v>
      </c>
      <c r="J708" s="84">
        <f t="shared" si="22"/>
        <v>1110065</v>
      </c>
      <c r="K708" s="84">
        <f t="shared" si="23"/>
        <v>501809</v>
      </c>
      <c r="L708" s="61" t="e">
        <f>VLOOKUP(K708,[1]Mapping!$J$3:$Q$351,8,FALSE)</f>
        <v>#N/A</v>
      </c>
      <c r="M708" t="s">
        <v>83</v>
      </c>
    </row>
    <row r="709" spans="1:13" hidden="1" x14ac:dyDescent="0.35">
      <c r="A709">
        <v>1110065</v>
      </c>
      <c r="B709" t="s">
        <v>158</v>
      </c>
      <c r="C709">
        <v>501070</v>
      </c>
      <c r="D709" t="s">
        <v>135</v>
      </c>
      <c r="E709" s="81">
        <v>2</v>
      </c>
      <c r="F709" t="s">
        <v>21</v>
      </c>
      <c r="G709" s="55">
        <v>-1470</v>
      </c>
      <c r="H709" s="82">
        <v>-1470</v>
      </c>
      <c r="I709" s="83" t="str">
        <f>VLOOKUP(E709,[1]Mapping!$A$3:$B$14,2,FALSE)</f>
        <v>Aug</v>
      </c>
      <c r="J709" s="84">
        <f t="shared" si="22"/>
        <v>1110065</v>
      </c>
      <c r="K709" s="84">
        <f t="shared" si="23"/>
        <v>501070</v>
      </c>
      <c r="L709" s="61" t="str">
        <f>VLOOKUP(K709,[1]Mapping!$J$3:$Q$351,8,FALSE)</f>
        <v>Fringe Benefits</v>
      </c>
      <c r="M709" t="s">
        <v>83</v>
      </c>
    </row>
    <row r="710" spans="1:13" hidden="1" x14ac:dyDescent="0.35">
      <c r="A710">
        <v>1110065</v>
      </c>
      <c r="B710" t="s">
        <v>158</v>
      </c>
      <c r="C710">
        <v>501605</v>
      </c>
      <c r="D710" t="s">
        <v>198</v>
      </c>
      <c r="E710" s="81">
        <v>2</v>
      </c>
      <c r="F710" t="s">
        <v>24</v>
      </c>
      <c r="G710" s="55">
        <v>288.8</v>
      </c>
      <c r="H710" s="82">
        <v>288.8</v>
      </c>
      <c r="I710" s="83" t="str">
        <f>VLOOKUP(E710,[1]Mapping!$A$3:$B$14,2,FALSE)</f>
        <v>Aug</v>
      </c>
      <c r="J710" s="84">
        <f t="shared" si="22"/>
        <v>1110065</v>
      </c>
      <c r="K710" s="84">
        <f t="shared" si="23"/>
        <v>501605</v>
      </c>
      <c r="L710" s="61" t="str">
        <f>VLOOKUP(K710,[1]Mapping!$J$3:$Q$351,8,FALSE)</f>
        <v>Supplies Expenses</v>
      </c>
      <c r="M710" t="s">
        <v>83</v>
      </c>
    </row>
    <row r="711" spans="1:13" hidden="1" x14ac:dyDescent="0.35">
      <c r="A711">
        <v>1110077</v>
      </c>
      <c r="B711" t="s">
        <v>162</v>
      </c>
      <c r="C711">
        <v>501058</v>
      </c>
      <c r="D711" t="s">
        <v>122</v>
      </c>
      <c r="E711" s="81">
        <v>2</v>
      </c>
      <c r="F711" t="s">
        <v>21</v>
      </c>
      <c r="G711" s="55">
        <v>316.21999999999991</v>
      </c>
      <c r="H711" s="82">
        <v>316.21999999999991</v>
      </c>
      <c r="I711" s="83" t="str">
        <f>VLOOKUP(E711,[1]Mapping!$A$3:$B$14,2,FALSE)</f>
        <v>Aug</v>
      </c>
      <c r="J711" s="84">
        <f t="shared" si="22"/>
        <v>1110077</v>
      </c>
      <c r="K711" s="84">
        <f t="shared" si="23"/>
        <v>501058</v>
      </c>
      <c r="L711" s="61" t="str">
        <f>VLOOKUP(K711,[1]Mapping!$J$3:$Q$351,8,FALSE)</f>
        <v>Fringe Benefits</v>
      </c>
      <c r="M711" t="s">
        <v>83</v>
      </c>
    </row>
    <row r="712" spans="1:13" hidden="1" x14ac:dyDescent="0.35">
      <c r="A712">
        <v>1110077</v>
      </c>
      <c r="B712" t="s">
        <v>162</v>
      </c>
      <c r="C712">
        <v>600050</v>
      </c>
      <c r="D712" t="s">
        <v>101</v>
      </c>
      <c r="E712" s="81">
        <v>2</v>
      </c>
      <c r="F712" t="s">
        <v>23</v>
      </c>
      <c r="G712" s="55">
        <v>0</v>
      </c>
      <c r="H712" s="82">
        <v>0</v>
      </c>
      <c r="I712" s="83" t="str">
        <f>VLOOKUP(E712,[1]Mapping!$A$3:$B$14,2,FALSE)</f>
        <v>Aug</v>
      </c>
      <c r="J712" s="84">
        <f t="shared" si="22"/>
        <v>1110077</v>
      </c>
      <c r="K712" s="84">
        <f t="shared" si="23"/>
        <v>600050</v>
      </c>
      <c r="L712" s="61" t="str">
        <f>VLOOKUP(K712,[1]Mapping!$J$3:$Q$351,8,FALSE)</f>
        <v>Travel &amp; Entertainment</v>
      </c>
      <c r="M712" t="s">
        <v>83</v>
      </c>
    </row>
    <row r="713" spans="1:13" hidden="1" x14ac:dyDescent="0.35">
      <c r="A713">
        <v>1110077</v>
      </c>
      <c r="B713" t="s">
        <v>162</v>
      </c>
      <c r="C713">
        <v>600020</v>
      </c>
      <c r="D713" t="s">
        <v>91</v>
      </c>
      <c r="E713" s="81">
        <v>2</v>
      </c>
      <c r="F713" t="s">
        <v>21</v>
      </c>
      <c r="G713" s="55">
        <v>6147.4</v>
      </c>
      <c r="H713" s="82">
        <v>6147.4</v>
      </c>
      <c r="I713" s="83" t="str">
        <f>VLOOKUP(E713,[1]Mapping!$A$3:$B$14,2,FALSE)</f>
        <v>Aug</v>
      </c>
      <c r="J713" s="84">
        <f t="shared" si="22"/>
        <v>1110077</v>
      </c>
      <c r="K713" s="84">
        <f t="shared" si="23"/>
        <v>600020</v>
      </c>
      <c r="L713" s="61" t="str">
        <f>VLOOKUP(K713,[1]Mapping!$J$3:$Q$351,8,FALSE)</f>
        <v>Fringe Benefits</v>
      </c>
      <c r="M713" t="s">
        <v>83</v>
      </c>
    </row>
    <row r="714" spans="1:13" hidden="1" x14ac:dyDescent="0.35">
      <c r="A714">
        <v>1110077</v>
      </c>
      <c r="B714" t="s">
        <v>162</v>
      </c>
      <c r="C714">
        <v>600055</v>
      </c>
      <c r="D714" t="s">
        <v>92</v>
      </c>
      <c r="E714" s="81">
        <v>2</v>
      </c>
      <c r="F714" t="s">
        <v>21</v>
      </c>
      <c r="G714" s="55">
        <v>491.79</v>
      </c>
      <c r="H714" s="82">
        <v>491.79</v>
      </c>
      <c r="I714" s="83" t="str">
        <f>VLOOKUP(E714,[1]Mapping!$A$3:$B$14,2,FALSE)</f>
        <v>Aug</v>
      </c>
      <c r="J714" s="84">
        <f t="shared" si="22"/>
        <v>1110077</v>
      </c>
      <c r="K714" s="84">
        <f t="shared" si="23"/>
        <v>600055</v>
      </c>
      <c r="L714" s="61" t="str">
        <f>VLOOKUP(K714,[1]Mapping!$J$3:$Q$351,8,FALSE)</f>
        <v>Fringe Benefits</v>
      </c>
      <c r="M714" t="s">
        <v>83</v>
      </c>
    </row>
    <row r="715" spans="1:13" hidden="1" x14ac:dyDescent="0.35">
      <c r="A715">
        <v>1110077</v>
      </c>
      <c r="B715" t="s">
        <v>162</v>
      </c>
      <c r="C715">
        <v>501054</v>
      </c>
      <c r="D715" t="s">
        <v>199</v>
      </c>
      <c r="E715" s="81">
        <v>2</v>
      </c>
      <c r="F715" t="s">
        <v>21</v>
      </c>
      <c r="G715" s="55">
        <v>13778.76</v>
      </c>
      <c r="H715" s="82">
        <v>13778.76</v>
      </c>
      <c r="I715" s="83" t="str">
        <f>VLOOKUP(E715,[1]Mapping!$A$3:$B$14,2,FALSE)</f>
        <v>Aug</v>
      </c>
      <c r="J715" s="84">
        <f t="shared" si="22"/>
        <v>1110077</v>
      </c>
      <c r="K715" s="84">
        <f t="shared" si="23"/>
        <v>501054</v>
      </c>
      <c r="L715" s="61" t="str">
        <f>VLOOKUP(K715,[1]Mapping!$J$3:$Q$351,8,FALSE)</f>
        <v>Fringe Benefits</v>
      </c>
      <c r="M715" t="s">
        <v>83</v>
      </c>
    </row>
    <row r="716" spans="1:13" hidden="1" x14ac:dyDescent="0.35">
      <c r="A716">
        <v>1110082</v>
      </c>
      <c r="B716" t="s">
        <v>163</v>
      </c>
      <c r="C716">
        <v>501050</v>
      </c>
      <c r="D716" t="s">
        <v>39</v>
      </c>
      <c r="E716" s="81">
        <v>2</v>
      </c>
      <c r="F716" t="s">
        <v>19</v>
      </c>
      <c r="G716" s="55">
        <v>45478.87</v>
      </c>
      <c r="H716" s="82">
        <v>45478.87</v>
      </c>
      <c r="I716" s="83" t="str">
        <f>VLOOKUP(E716,[1]Mapping!$A$3:$B$14,2,FALSE)</f>
        <v>Aug</v>
      </c>
      <c r="J716" s="84">
        <f t="shared" si="22"/>
        <v>1110082</v>
      </c>
      <c r="K716" s="84">
        <f t="shared" si="23"/>
        <v>501050</v>
      </c>
      <c r="L716" s="61" t="str">
        <f>VLOOKUP(K716,[1]Mapping!$J$3:$Q$351,8,FALSE)</f>
        <v>Wages &amp; Salaries</v>
      </c>
      <c r="M716" t="s">
        <v>83</v>
      </c>
    </row>
    <row r="717" spans="1:13" hidden="1" x14ac:dyDescent="0.35">
      <c r="A717">
        <v>1110082</v>
      </c>
      <c r="B717" t="s">
        <v>163</v>
      </c>
      <c r="C717">
        <v>501051</v>
      </c>
      <c r="D717" t="s">
        <v>121</v>
      </c>
      <c r="E717" s="81">
        <v>2</v>
      </c>
      <c r="F717" t="s">
        <v>19</v>
      </c>
      <c r="G717" s="55">
        <v>760.50000000000011</v>
      </c>
      <c r="H717" s="82">
        <v>760.50000000000011</v>
      </c>
      <c r="I717" s="83" t="str">
        <f>VLOOKUP(E717,[1]Mapping!$A$3:$B$14,2,FALSE)</f>
        <v>Aug</v>
      </c>
      <c r="J717" s="84">
        <f t="shared" si="22"/>
        <v>1110082</v>
      </c>
      <c r="K717" s="84">
        <f t="shared" si="23"/>
        <v>501051</v>
      </c>
      <c r="L717" s="61" t="str">
        <f>VLOOKUP(K717,[1]Mapping!$J$3:$Q$351,8,FALSE)</f>
        <v>Wages &amp; Salaries</v>
      </c>
      <c r="M717" t="s">
        <v>83</v>
      </c>
    </row>
    <row r="718" spans="1:13" hidden="1" x14ac:dyDescent="0.35">
      <c r="A718">
        <v>1110082</v>
      </c>
      <c r="B718" t="s">
        <v>163</v>
      </c>
      <c r="C718">
        <v>501058</v>
      </c>
      <c r="D718" t="s">
        <v>122</v>
      </c>
      <c r="E718" s="81">
        <v>2</v>
      </c>
      <c r="F718" t="s">
        <v>21</v>
      </c>
      <c r="G718" s="55">
        <v>3320.8</v>
      </c>
      <c r="H718" s="82">
        <v>3320.8</v>
      </c>
      <c r="I718" s="83" t="str">
        <f>VLOOKUP(E718,[1]Mapping!$A$3:$B$14,2,FALSE)</f>
        <v>Aug</v>
      </c>
      <c r="J718" s="84">
        <f t="shared" si="22"/>
        <v>1110082</v>
      </c>
      <c r="K718" s="84">
        <f t="shared" si="23"/>
        <v>501058</v>
      </c>
      <c r="L718" s="61" t="str">
        <f>VLOOKUP(K718,[1]Mapping!$J$3:$Q$351,8,FALSE)</f>
        <v>Fringe Benefits</v>
      </c>
      <c r="M718" t="s">
        <v>83</v>
      </c>
    </row>
    <row r="719" spans="1:13" hidden="1" x14ac:dyDescent="0.35">
      <c r="A719">
        <v>1110082</v>
      </c>
      <c r="B719" t="s">
        <v>163</v>
      </c>
      <c r="C719">
        <v>501062</v>
      </c>
      <c r="D719" t="s">
        <v>41</v>
      </c>
      <c r="E719" s="81">
        <v>2</v>
      </c>
      <c r="F719" t="s">
        <v>21</v>
      </c>
      <c r="G719" s="55">
        <v>80.199999999999989</v>
      </c>
      <c r="H719" s="82">
        <v>80.199999999999989</v>
      </c>
      <c r="I719" s="83" t="str">
        <f>VLOOKUP(E719,[1]Mapping!$A$3:$B$14,2,FALSE)</f>
        <v>Aug</v>
      </c>
      <c r="J719" s="84">
        <f t="shared" si="22"/>
        <v>1110082</v>
      </c>
      <c r="K719" s="84">
        <f t="shared" si="23"/>
        <v>501062</v>
      </c>
      <c r="L719" s="61" t="str">
        <f>VLOOKUP(K719,[1]Mapping!$J$3:$Q$351,8,FALSE)</f>
        <v>Fringe Benefits</v>
      </c>
      <c r="M719" t="s">
        <v>83</v>
      </c>
    </row>
    <row r="720" spans="1:13" hidden="1" x14ac:dyDescent="0.35">
      <c r="A720">
        <v>1110082</v>
      </c>
      <c r="B720" t="s">
        <v>163</v>
      </c>
      <c r="C720">
        <v>501063</v>
      </c>
      <c r="D720" t="s">
        <v>123</v>
      </c>
      <c r="E720" s="81">
        <v>2</v>
      </c>
      <c r="F720" t="s">
        <v>21</v>
      </c>
      <c r="G720" s="55">
        <v>6776.43</v>
      </c>
      <c r="H720" s="82">
        <v>6776.43</v>
      </c>
      <c r="I720" s="83" t="str">
        <f>VLOOKUP(E720,[1]Mapping!$A$3:$B$14,2,FALSE)</f>
        <v>Aug</v>
      </c>
      <c r="J720" s="84">
        <f t="shared" si="22"/>
        <v>1110082</v>
      </c>
      <c r="K720" s="84">
        <f t="shared" si="23"/>
        <v>501063</v>
      </c>
      <c r="L720" s="61" t="str">
        <f>VLOOKUP(K720,[1]Mapping!$J$3:$Q$351,8,FALSE)</f>
        <v>Fringe Benefits</v>
      </c>
      <c r="M720" t="s">
        <v>83</v>
      </c>
    </row>
    <row r="721" spans="1:13" hidden="1" x14ac:dyDescent="0.35">
      <c r="A721">
        <v>1110082</v>
      </c>
      <c r="B721" t="s">
        <v>163</v>
      </c>
      <c r="C721">
        <v>501065</v>
      </c>
      <c r="D721" t="s">
        <v>124</v>
      </c>
      <c r="E721" s="81">
        <v>2</v>
      </c>
      <c r="F721" t="s">
        <v>21</v>
      </c>
      <c r="G721" s="55">
        <v>115</v>
      </c>
      <c r="H721" s="82">
        <v>115</v>
      </c>
      <c r="I721" s="83" t="str">
        <f>VLOOKUP(E721,[1]Mapping!$A$3:$B$14,2,FALSE)</f>
        <v>Aug</v>
      </c>
      <c r="J721" s="84">
        <f t="shared" si="22"/>
        <v>1110082</v>
      </c>
      <c r="K721" s="84">
        <f t="shared" si="23"/>
        <v>501065</v>
      </c>
      <c r="L721" s="61" t="str">
        <f>VLOOKUP(K721,[1]Mapping!$J$3:$Q$351,8,FALSE)</f>
        <v>Fringe Benefits</v>
      </c>
      <c r="M721" t="s">
        <v>83</v>
      </c>
    </row>
    <row r="722" spans="1:13" hidden="1" x14ac:dyDescent="0.35">
      <c r="A722">
        <v>1110082</v>
      </c>
      <c r="B722" t="s">
        <v>163</v>
      </c>
      <c r="C722">
        <v>501069</v>
      </c>
      <c r="D722" t="s">
        <v>125</v>
      </c>
      <c r="E722" s="81">
        <v>2</v>
      </c>
      <c r="F722" t="s">
        <v>21</v>
      </c>
      <c r="G722" s="55">
        <v>1750.8700000000001</v>
      </c>
      <c r="H722" s="82">
        <v>1750.8700000000001</v>
      </c>
      <c r="I722" s="83" t="str">
        <f>VLOOKUP(E722,[1]Mapping!$A$3:$B$14,2,FALSE)</f>
        <v>Aug</v>
      </c>
      <c r="J722" s="84">
        <f t="shared" si="22"/>
        <v>1110082</v>
      </c>
      <c r="K722" s="84">
        <f t="shared" si="23"/>
        <v>501069</v>
      </c>
      <c r="L722" s="61" t="str">
        <f>VLOOKUP(K722,[1]Mapping!$J$3:$Q$351,8,FALSE)</f>
        <v>Fringe Benefits</v>
      </c>
      <c r="M722" t="s">
        <v>83</v>
      </c>
    </row>
    <row r="723" spans="1:13" hidden="1" x14ac:dyDescent="0.35">
      <c r="A723">
        <v>1110082</v>
      </c>
      <c r="B723" t="s">
        <v>163</v>
      </c>
      <c r="C723">
        <v>501710</v>
      </c>
      <c r="D723" t="s">
        <v>45</v>
      </c>
      <c r="E723" s="81">
        <v>2</v>
      </c>
      <c r="F723" t="s">
        <v>27</v>
      </c>
      <c r="G723" s="55">
        <v>1076.17</v>
      </c>
      <c r="H723" s="82">
        <v>1076.17</v>
      </c>
      <c r="I723" s="83" t="str">
        <f>VLOOKUP(E723,[1]Mapping!$A$3:$B$14,2,FALSE)</f>
        <v>Aug</v>
      </c>
      <c r="J723" s="84">
        <f t="shared" si="22"/>
        <v>1110082</v>
      </c>
      <c r="K723" s="84">
        <f t="shared" si="23"/>
        <v>501710</v>
      </c>
      <c r="L723" s="61" t="str">
        <f>VLOOKUP(K723,[1]Mapping!$J$3:$Q$351,8,FALSE)</f>
        <v>Outside Services</v>
      </c>
      <c r="M723" t="s">
        <v>83</v>
      </c>
    </row>
    <row r="724" spans="1:13" hidden="1" x14ac:dyDescent="0.35">
      <c r="A724">
        <v>1110082</v>
      </c>
      <c r="B724" t="s">
        <v>163</v>
      </c>
      <c r="C724">
        <v>501709</v>
      </c>
      <c r="D724" t="s">
        <v>85</v>
      </c>
      <c r="E724" s="81">
        <v>2</v>
      </c>
      <c r="F724" t="s">
        <v>27</v>
      </c>
      <c r="G724" s="55">
        <v>14406.359999999999</v>
      </c>
      <c r="H724" s="82">
        <v>14406.359999999999</v>
      </c>
      <c r="I724" s="83" t="str">
        <f>VLOOKUP(E724,[1]Mapping!$A$3:$B$14,2,FALSE)</f>
        <v>Aug</v>
      </c>
      <c r="J724" s="84">
        <f t="shared" si="22"/>
        <v>1110082</v>
      </c>
      <c r="K724" s="84">
        <f t="shared" si="23"/>
        <v>501709</v>
      </c>
      <c r="L724" s="61" t="str">
        <f>VLOOKUP(K724,[1]Mapping!$J$3:$Q$351,8,FALSE)</f>
        <v>Outside Services</v>
      </c>
      <c r="M724" t="s">
        <v>83</v>
      </c>
    </row>
    <row r="725" spans="1:13" hidden="1" x14ac:dyDescent="0.35">
      <c r="A725">
        <v>1110082</v>
      </c>
      <c r="B725" t="s">
        <v>163</v>
      </c>
      <c r="C725">
        <v>501609</v>
      </c>
      <c r="D725" t="s">
        <v>47</v>
      </c>
      <c r="E725" s="81">
        <v>2</v>
      </c>
      <c r="F725" t="s">
        <v>24</v>
      </c>
      <c r="G725" s="55">
        <v>1716.98</v>
      </c>
      <c r="H725" s="82">
        <v>1716.98</v>
      </c>
      <c r="I725" s="83" t="str">
        <f>VLOOKUP(E725,[1]Mapping!$A$3:$B$14,2,FALSE)</f>
        <v>Aug</v>
      </c>
      <c r="J725" s="84">
        <f t="shared" si="22"/>
        <v>1110082</v>
      </c>
      <c r="K725" s="84">
        <f t="shared" si="23"/>
        <v>501609</v>
      </c>
      <c r="L725" s="61" t="str">
        <f>VLOOKUP(K725,[1]Mapping!$J$3:$Q$351,8,FALSE)</f>
        <v>Supplies Expenses</v>
      </c>
      <c r="M725" t="s">
        <v>83</v>
      </c>
    </row>
    <row r="726" spans="1:13" hidden="1" x14ac:dyDescent="0.35">
      <c r="A726">
        <v>1110082</v>
      </c>
      <c r="B726" t="s">
        <v>163</v>
      </c>
      <c r="C726">
        <v>501053</v>
      </c>
      <c r="D726" t="s">
        <v>40</v>
      </c>
      <c r="E726" s="81">
        <v>2</v>
      </c>
      <c r="F726" t="s">
        <v>20</v>
      </c>
      <c r="G726" s="55">
        <v>244.95999999999998</v>
      </c>
      <c r="H726" s="82">
        <v>244.95999999999998</v>
      </c>
      <c r="I726" s="83" t="str">
        <f>VLOOKUP(E726,[1]Mapping!$A$3:$B$14,2,FALSE)</f>
        <v>Aug</v>
      </c>
      <c r="J726" s="84">
        <f t="shared" si="22"/>
        <v>1110082</v>
      </c>
      <c r="K726" s="84">
        <f t="shared" si="23"/>
        <v>501053</v>
      </c>
      <c r="L726" s="61" t="str">
        <f>VLOOKUP(K726,[1]Mapping!$J$3:$Q$351,8,FALSE)</f>
        <v>Overtime</v>
      </c>
      <c r="M726" t="s">
        <v>83</v>
      </c>
    </row>
    <row r="727" spans="1:13" hidden="1" x14ac:dyDescent="0.35">
      <c r="A727">
        <v>1110082</v>
      </c>
      <c r="B727" t="s">
        <v>163</v>
      </c>
      <c r="C727">
        <v>607130</v>
      </c>
      <c r="D727" t="s">
        <v>155</v>
      </c>
      <c r="E727" s="81">
        <v>2</v>
      </c>
      <c r="F727" t="s">
        <v>29</v>
      </c>
      <c r="G727" s="55">
        <v>2321.4899999999998</v>
      </c>
      <c r="H727" s="82">
        <v>2321.4899999999998</v>
      </c>
      <c r="I727" s="83" t="str">
        <f>VLOOKUP(E727,[1]Mapping!$A$3:$B$14,2,FALSE)</f>
        <v>Aug</v>
      </c>
      <c r="J727" s="84">
        <f t="shared" si="22"/>
        <v>1110082</v>
      </c>
      <c r="K727" s="84">
        <f t="shared" si="23"/>
        <v>607130</v>
      </c>
      <c r="L727" s="61" t="str">
        <f>VLOOKUP(K727,[1]Mapping!$J$3:$Q$351,8,FALSE)</f>
        <v>Other</v>
      </c>
      <c r="M727" t="s">
        <v>83</v>
      </c>
    </row>
    <row r="728" spans="1:13" hidden="1" x14ac:dyDescent="0.35">
      <c r="A728">
        <v>1110082</v>
      </c>
      <c r="B728" t="s">
        <v>163</v>
      </c>
      <c r="C728">
        <v>600020</v>
      </c>
      <c r="D728" t="s">
        <v>91</v>
      </c>
      <c r="E728" s="81">
        <v>2</v>
      </c>
      <c r="F728" t="s">
        <v>21</v>
      </c>
      <c r="G728" s="55">
        <v>4752.46</v>
      </c>
      <c r="H728" s="82">
        <v>4752.46</v>
      </c>
      <c r="I728" s="83" t="str">
        <f>VLOOKUP(E728,[1]Mapping!$A$3:$B$14,2,FALSE)</f>
        <v>Aug</v>
      </c>
      <c r="J728" s="84">
        <f t="shared" si="22"/>
        <v>1110082</v>
      </c>
      <c r="K728" s="84">
        <f t="shared" si="23"/>
        <v>600020</v>
      </c>
      <c r="L728" s="61" t="str">
        <f>VLOOKUP(K728,[1]Mapping!$J$3:$Q$351,8,FALSE)</f>
        <v>Fringe Benefits</v>
      </c>
      <c r="M728" t="s">
        <v>83</v>
      </c>
    </row>
    <row r="729" spans="1:13" hidden="1" x14ac:dyDescent="0.35">
      <c r="A729">
        <v>1110082</v>
      </c>
      <c r="B729" t="s">
        <v>163</v>
      </c>
      <c r="C729">
        <v>600055</v>
      </c>
      <c r="D729" t="s">
        <v>92</v>
      </c>
      <c r="E729" s="81">
        <v>2</v>
      </c>
      <c r="F729" t="s">
        <v>21</v>
      </c>
      <c r="G729" s="55">
        <v>380.19</v>
      </c>
      <c r="H729" s="82">
        <v>380.19</v>
      </c>
      <c r="I729" s="83" t="str">
        <f>VLOOKUP(E729,[1]Mapping!$A$3:$B$14,2,FALSE)</f>
        <v>Aug</v>
      </c>
      <c r="J729" s="84">
        <f t="shared" si="22"/>
        <v>1110082</v>
      </c>
      <c r="K729" s="84">
        <f t="shared" si="23"/>
        <v>600055</v>
      </c>
      <c r="L729" s="61" t="str">
        <f>VLOOKUP(K729,[1]Mapping!$J$3:$Q$351,8,FALSE)</f>
        <v>Fringe Benefits</v>
      </c>
      <c r="M729" t="s">
        <v>83</v>
      </c>
    </row>
    <row r="730" spans="1:13" hidden="1" x14ac:dyDescent="0.35">
      <c r="A730">
        <v>1110082</v>
      </c>
      <c r="B730" t="s">
        <v>163</v>
      </c>
      <c r="C730">
        <v>607091</v>
      </c>
      <c r="D730" t="s">
        <v>156</v>
      </c>
      <c r="E730" s="81">
        <v>2</v>
      </c>
      <c r="F730" t="s">
        <v>28</v>
      </c>
      <c r="G730" s="55">
        <v>134.11000000000001</v>
      </c>
      <c r="H730" s="82">
        <v>134.11000000000001</v>
      </c>
      <c r="I730" s="83" t="str">
        <f>VLOOKUP(E730,[1]Mapping!$A$3:$B$14,2,FALSE)</f>
        <v>Aug</v>
      </c>
      <c r="J730" s="84">
        <f t="shared" si="22"/>
        <v>1110082</v>
      </c>
      <c r="K730" s="84">
        <f t="shared" si="23"/>
        <v>607091</v>
      </c>
      <c r="L730" s="61" t="str">
        <f>VLOOKUP(K730,[1]Mapping!$J$3:$Q$351,8,FALSE)</f>
        <v>Inbound Freight</v>
      </c>
      <c r="M730" t="s">
        <v>83</v>
      </c>
    </row>
    <row r="731" spans="1:13" hidden="1" x14ac:dyDescent="0.35">
      <c r="A731">
        <v>1110082</v>
      </c>
      <c r="B731" t="s">
        <v>163</v>
      </c>
      <c r="C731">
        <v>508004</v>
      </c>
      <c r="D731" t="s">
        <v>130</v>
      </c>
      <c r="E731" s="81">
        <v>2</v>
      </c>
      <c r="F731" t="s">
        <v>31</v>
      </c>
      <c r="G731" s="55">
        <v>3620.6400000000003</v>
      </c>
      <c r="H731" s="82">
        <v>3620.6400000000003</v>
      </c>
      <c r="I731" s="83" t="str">
        <f>VLOOKUP(E731,[1]Mapping!$A$3:$B$14,2,FALSE)</f>
        <v>Aug</v>
      </c>
      <c r="J731" s="84">
        <f t="shared" ref="J731:J794" si="24">VALUE(A731)</f>
        <v>1110082</v>
      </c>
      <c r="K731" s="84">
        <f t="shared" ref="K731:K794" si="25">VALUE(C731)</f>
        <v>508004</v>
      </c>
      <c r="L731" s="61" t="str">
        <f>VLOOKUP(K731,[1]Mapping!$J$3:$Q$351,8,FALSE)</f>
        <v>Depreciation</v>
      </c>
      <c r="M731" t="s">
        <v>83</v>
      </c>
    </row>
    <row r="732" spans="1:13" hidden="1" x14ac:dyDescent="0.35">
      <c r="A732">
        <v>1110082</v>
      </c>
      <c r="B732" t="s">
        <v>163</v>
      </c>
      <c r="C732">
        <v>501070</v>
      </c>
      <c r="D732" t="s">
        <v>135</v>
      </c>
      <c r="E732" s="81">
        <v>2</v>
      </c>
      <c r="F732" t="s">
        <v>21</v>
      </c>
      <c r="G732" s="55">
        <v>-2940</v>
      </c>
      <c r="H732" s="82">
        <v>-2940</v>
      </c>
      <c r="I732" s="83" t="str">
        <f>VLOOKUP(E732,[1]Mapping!$A$3:$B$14,2,FALSE)</f>
        <v>Aug</v>
      </c>
      <c r="J732" s="84">
        <f t="shared" si="24"/>
        <v>1110082</v>
      </c>
      <c r="K732" s="84">
        <f t="shared" si="25"/>
        <v>501070</v>
      </c>
      <c r="L732" s="61" t="str">
        <f>VLOOKUP(K732,[1]Mapping!$J$3:$Q$351,8,FALSE)</f>
        <v>Fringe Benefits</v>
      </c>
      <c r="M732" t="s">
        <v>83</v>
      </c>
    </row>
    <row r="733" spans="1:13" hidden="1" x14ac:dyDescent="0.35">
      <c r="A733">
        <v>1110088</v>
      </c>
      <c r="B733" t="s">
        <v>164</v>
      </c>
      <c r="C733">
        <v>501050</v>
      </c>
      <c r="D733" t="s">
        <v>39</v>
      </c>
      <c r="E733" s="81">
        <v>2</v>
      </c>
      <c r="F733" t="s">
        <v>19</v>
      </c>
      <c r="G733" s="55">
        <v>133886.85999999999</v>
      </c>
      <c r="H733" s="82">
        <v>133886.85999999999</v>
      </c>
      <c r="I733" s="83" t="str">
        <f>VLOOKUP(E733,[1]Mapping!$A$3:$B$14,2,FALSE)</f>
        <v>Aug</v>
      </c>
      <c r="J733" s="84">
        <f t="shared" si="24"/>
        <v>1110088</v>
      </c>
      <c r="K733" s="84">
        <f t="shared" si="25"/>
        <v>501050</v>
      </c>
      <c r="L733" s="61" t="str">
        <f>VLOOKUP(K733,[1]Mapping!$J$3:$Q$351,8,FALSE)</f>
        <v>Wages &amp; Salaries</v>
      </c>
      <c r="M733" t="s">
        <v>83</v>
      </c>
    </row>
    <row r="734" spans="1:13" hidden="1" x14ac:dyDescent="0.35">
      <c r="A734">
        <v>1110088</v>
      </c>
      <c r="B734" t="s">
        <v>164</v>
      </c>
      <c r="C734">
        <v>501058</v>
      </c>
      <c r="D734" t="s">
        <v>122</v>
      </c>
      <c r="E734" s="81">
        <v>2</v>
      </c>
      <c r="F734" t="s">
        <v>21</v>
      </c>
      <c r="G734" s="55">
        <v>7317.2999999999984</v>
      </c>
      <c r="H734" s="82">
        <v>7317.2999999999984</v>
      </c>
      <c r="I734" s="83" t="str">
        <f>VLOOKUP(E734,[1]Mapping!$A$3:$B$14,2,FALSE)</f>
        <v>Aug</v>
      </c>
      <c r="J734" s="84">
        <f t="shared" si="24"/>
        <v>1110088</v>
      </c>
      <c r="K734" s="84">
        <f t="shared" si="25"/>
        <v>501058</v>
      </c>
      <c r="L734" s="61" t="str">
        <f>VLOOKUP(K734,[1]Mapping!$J$3:$Q$351,8,FALSE)</f>
        <v>Fringe Benefits</v>
      </c>
      <c r="M734" t="s">
        <v>83</v>
      </c>
    </row>
    <row r="735" spans="1:13" hidden="1" x14ac:dyDescent="0.35">
      <c r="A735">
        <v>1110088</v>
      </c>
      <c r="B735" t="s">
        <v>164</v>
      </c>
      <c r="C735" s="87">
        <v>501062</v>
      </c>
      <c r="D735" t="s">
        <v>41</v>
      </c>
      <c r="E735" s="81">
        <v>2</v>
      </c>
      <c r="F735" t="s">
        <v>21</v>
      </c>
      <c r="G735" s="55">
        <v>210.92</v>
      </c>
      <c r="H735" s="82">
        <v>210.92</v>
      </c>
      <c r="I735" s="83" t="str">
        <f>VLOOKUP(E735,[1]Mapping!$A$3:$B$14,2,FALSE)</f>
        <v>Aug</v>
      </c>
      <c r="J735" s="84">
        <f t="shared" si="24"/>
        <v>1110088</v>
      </c>
      <c r="K735" s="84">
        <f t="shared" si="25"/>
        <v>501062</v>
      </c>
      <c r="L735" s="61" t="str">
        <f>VLOOKUP(K735,[1]Mapping!$J$3:$Q$351,8,FALSE)</f>
        <v>Fringe Benefits</v>
      </c>
      <c r="M735" t="s">
        <v>83</v>
      </c>
    </row>
    <row r="736" spans="1:13" hidden="1" x14ac:dyDescent="0.35">
      <c r="A736">
        <v>1110088</v>
      </c>
      <c r="B736" t="s">
        <v>164</v>
      </c>
      <c r="C736">
        <v>501063</v>
      </c>
      <c r="D736" t="s">
        <v>123</v>
      </c>
      <c r="E736" s="81">
        <v>2</v>
      </c>
      <c r="F736" t="s">
        <v>21</v>
      </c>
      <c r="G736" s="55">
        <v>3250.45</v>
      </c>
      <c r="H736" s="82">
        <v>3250.45</v>
      </c>
      <c r="I736" s="83" t="str">
        <f>VLOOKUP(E736,[1]Mapping!$A$3:$B$14,2,FALSE)</f>
        <v>Aug</v>
      </c>
      <c r="J736" s="84">
        <f t="shared" si="24"/>
        <v>1110088</v>
      </c>
      <c r="K736" s="84">
        <f t="shared" si="25"/>
        <v>501063</v>
      </c>
      <c r="L736" s="61" t="str">
        <f>VLOOKUP(K736,[1]Mapping!$J$3:$Q$351,8,FALSE)</f>
        <v>Fringe Benefits</v>
      </c>
      <c r="M736" t="s">
        <v>83</v>
      </c>
    </row>
    <row r="737" spans="1:13" hidden="1" x14ac:dyDescent="0.35">
      <c r="A737">
        <v>1110088</v>
      </c>
      <c r="B737" t="s">
        <v>164</v>
      </c>
      <c r="C737">
        <v>501065</v>
      </c>
      <c r="D737" t="s">
        <v>124</v>
      </c>
      <c r="E737" s="81">
        <v>2</v>
      </c>
      <c r="F737" t="s">
        <v>21</v>
      </c>
      <c r="G737" s="55">
        <v>250.51000000000002</v>
      </c>
      <c r="H737" s="82">
        <v>250.51000000000002</v>
      </c>
      <c r="I737" s="83" t="str">
        <f>VLOOKUP(E737,[1]Mapping!$A$3:$B$14,2,FALSE)</f>
        <v>Aug</v>
      </c>
      <c r="J737" s="84">
        <f t="shared" si="24"/>
        <v>1110088</v>
      </c>
      <c r="K737" s="84">
        <f t="shared" si="25"/>
        <v>501065</v>
      </c>
      <c r="L737" s="61" t="str">
        <f>VLOOKUP(K737,[1]Mapping!$J$3:$Q$351,8,FALSE)</f>
        <v>Fringe Benefits</v>
      </c>
      <c r="M737" t="s">
        <v>83</v>
      </c>
    </row>
    <row r="738" spans="1:13" hidden="1" x14ac:dyDescent="0.35">
      <c r="A738">
        <v>1110088</v>
      </c>
      <c r="B738" t="s">
        <v>164</v>
      </c>
      <c r="C738">
        <v>501069</v>
      </c>
      <c r="D738" t="s">
        <v>125</v>
      </c>
      <c r="E738" s="81">
        <v>2</v>
      </c>
      <c r="F738" t="s">
        <v>21</v>
      </c>
      <c r="G738" s="55">
        <v>3691.2200000000007</v>
      </c>
      <c r="H738" s="82">
        <v>3691.2200000000007</v>
      </c>
      <c r="I738" s="83" t="str">
        <f>VLOOKUP(E738,[1]Mapping!$A$3:$B$14,2,FALSE)</f>
        <v>Aug</v>
      </c>
      <c r="J738" s="84">
        <f t="shared" si="24"/>
        <v>1110088</v>
      </c>
      <c r="K738" s="84">
        <f t="shared" si="25"/>
        <v>501069</v>
      </c>
      <c r="L738" s="61" t="str">
        <f>VLOOKUP(K738,[1]Mapping!$J$3:$Q$351,8,FALSE)</f>
        <v>Fringe Benefits</v>
      </c>
      <c r="M738" t="s">
        <v>83</v>
      </c>
    </row>
    <row r="739" spans="1:13" hidden="1" x14ac:dyDescent="0.35">
      <c r="A739">
        <v>1110088</v>
      </c>
      <c r="B739" t="s">
        <v>164</v>
      </c>
      <c r="C739">
        <v>600030</v>
      </c>
      <c r="D739" t="s">
        <v>110</v>
      </c>
      <c r="E739" s="81">
        <v>2</v>
      </c>
      <c r="F739" t="s">
        <v>23</v>
      </c>
      <c r="G739" s="55">
        <v>1706.31</v>
      </c>
      <c r="H739" s="82">
        <v>1706.31</v>
      </c>
      <c r="I739" s="83" t="str">
        <f>VLOOKUP(E739,[1]Mapping!$A$3:$B$14,2,FALSE)</f>
        <v>Aug</v>
      </c>
      <c r="J739" s="84">
        <f t="shared" si="24"/>
        <v>1110088</v>
      </c>
      <c r="K739" s="84">
        <f t="shared" si="25"/>
        <v>600030</v>
      </c>
      <c r="L739" s="61" t="str">
        <f>VLOOKUP(K739,[1]Mapping!$J$3:$Q$351,8,FALSE)</f>
        <v>Travel &amp; Entertainment</v>
      </c>
      <c r="M739" t="s">
        <v>83</v>
      </c>
    </row>
    <row r="740" spans="1:13" hidden="1" x14ac:dyDescent="0.35">
      <c r="A740">
        <v>1110088</v>
      </c>
      <c r="B740" t="s">
        <v>164</v>
      </c>
      <c r="C740">
        <v>600044</v>
      </c>
      <c r="D740" t="s">
        <v>111</v>
      </c>
      <c r="E740" s="81">
        <v>2</v>
      </c>
      <c r="F740" t="s">
        <v>23</v>
      </c>
      <c r="G740" s="55">
        <v>15.369999999999997</v>
      </c>
      <c r="H740" s="82">
        <v>15.369999999999997</v>
      </c>
      <c r="I740" s="83" t="str">
        <f>VLOOKUP(E740,[1]Mapping!$A$3:$B$14,2,FALSE)</f>
        <v>Aug</v>
      </c>
      <c r="J740" s="84">
        <f t="shared" si="24"/>
        <v>1110088</v>
      </c>
      <c r="K740" s="84">
        <f t="shared" si="25"/>
        <v>600044</v>
      </c>
      <c r="L740" s="61" t="str">
        <f>VLOOKUP(K740,[1]Mapping!$J$3:$Q$351,8,FALSE)</f>
        <v>Travel &amp; Entertainment</v>
      </c>
      <c r="M740" t="s">
        <v>83</v>
      </c>
    </row>
    <row r="741" spans="1:13" hidden="1" x14ac:dyDescent="0.35">
      <c r="A741">
        <v>1110088</v>
      </c>
      <c r="B741" t="s">
        <v>164</v>
      </c>
      <c r="C741">
        <v>600050</v>
      </c>
      <c r="D741" t="s">
        <v>101</v>
      </c>
      <c r="E741" s="81">
        <v>2</v>
      </c>
      <c r="F741" t="s">
        <v>23</v>
      </c>
      <c r="G741" s="55">
        <v>370</v>
      </c>
      <c r="H741" s="82">
        <v>370</v>
      </c>
      <c r="I741" s="83" t="str">
        <f>VLOOKUP(E741,[1]Mapping!$A$3:$B$14,2,FALSE)</f>
        <v>Aug</v>
      </c>
      <c r="J741" s="84">
        <f t="shared" si="24"/>
        <v>1110088</v>
      </c>
      <c r="K741" s="84">
        <f t="shared" si="25"/>
        <v>600050</v>
      </c>
      <c r="L741" s="61" t="str">
        <f>VLOOKUP(K741,[1]Mapping!$J$3:$Q$351,8,FALSE)</f>
        <v>Travel &amp; Entertainment</v>
      </c>
      <c r="M741" t="s">
        <v>83</v>
      </c>
    </row>
    <row r="742" spans="1:13" hidden="1" x14ac:dyDescent="0.35">
      <c r="A742">
        <v>1110088</v>
      </c>
      <c r="B742" t="s">
        <v>164</v>
      </c>
      <c r="C742">
        <v>600043</v>
      </c>
      <c r="D742" t="s">
        <v>102</v>
      </c>
      <c r="E742" s="81">
        <v>2</v>
      </c>
      <c r="F742" t="s">
        <v>23</v>
      </c>
      <c r="G742" s="55">
        <v>8029.16</v>
      </c>
      <c r="H742" s="82">
        <v>8029.16</v>
      </c>
      <c r="I742" s="83" t="str">
        <f>VLOOKUP(E742,[1]Mapping!$A$3:$B$14,2,FALSE)</f>
        <v>Aug</v>
      </c>
      <c r="J742" s="84">
        <f t="shared" si="24"/>
        <v>1110088</v>
      </c>
      <c r="K742" s="84">
        <f t="shared" si="25"/>
        <v>600043</v>
      </c>
      <c r="L742" s="61" t="str">
        <f>VLOOKUP(K742,[1]Mapping!$J$3:$Q$351,8,FALSE)</f>
        <v>Travel &amp; Entertainment</v>
      </c>
      <c r="M742" t="s">
        <v>83</v>
      </c>
    </row>
    <row r="743" spans="1:13" hidden="1" x14ac:dyDescent="0.35">
      <c r="A743">
        <v>1110088</v>
      </c>
      <c r="B743" t="s">
        <v>164</v>
      </c>
      <c r="C743">
        <v>600027</v>
      </c>
      <c r="D743" t="s">
        <v>112</v>
      </c>
      <c r="E743" s="81">
        <v>2</v>
      </c>
      <c r="F743" t="s">
        <v>23</v>
      </c>
      <c r="G743" s="55">
        <v>260.77999999999997</v>
      </c>
      <c r="H743" s="82">
        <v>260.77999999999997</v>
      </c>
      <c r="I743" s="83" t="str">
        <f>VLOOKUP(E743,[1]Mapping!$A$3:$B$14,2,FALSE)</f>
        <v>Aug</v>
      </c>
      <c r="J743" s="84">
        <f t="shared" si="24"/>
        <v>1110088</v>
      </c>
      <c r="K743" s="84">
        <f t="shared" si="25"/>
        <v>600027</v>
      </c>
      <c r="L743" s="61" t="str">
        <f>VLOOKUP(K743,[1]Mapping!$J$3:$Q$351,8,FALSE)</f>
        <v>Travel &amp; Entertainment</v>
      </c>
      <c r="M743" t="s">
        <v>83</v>
      </c>
    </row>
    <row r="744" spans="1:13" hidden="1" x14ac:dyDescent="0.35">
      <c r="A744">
        <v>1110088</v>
      </c>
      <c r="B744" t="s">
        <v>164</v>
      </c>
      <c r="C744">
        <v>600029</v>
      </c>
      <c r="D744" t="s">
        <v>113</v>
      </c>
      <c r="E744" s="81">
        <v>2</v>
      </c>
      <c r="F744" t="s">
        <v>23</v>
      </c>
      <c r="G744" s="55">
        <v>-128</v>
      </c>
      <c r="H744" s="82">
        <v>-128</v>
      </c>
      <c r="I744" s="83" t="str">
        <f>VLOOKUP(E744,[1]Mapping!$A$3:$B$14,2,FALSE)</f>
        <v>Aug</v>
      </c>
      <c r="J744" s="84">
        <f t="shared" si="24"/>
        <v>1110088</v>
      </c>
      <c r="K744" s="84">
        <f t="shared" si="25"/>
        <v>600029</v>
      </c>
      <c r="L744" s="61" t="str">
        <f>VLOOKUP(K744,[1]Mapping!$J$3:$Q$351,8,FALSE)</f>
        <v>Travel &amp; Entertainment</v>
      </c>
      <c r="M744" t="s">
        <v>83</v>
      </c>
    </row>
    <row r="745" spans="1:13" hidden="1" x14ac:dyDescent="0.35">
      <c r="A745">
        <v>1110088</v>
      </c>
      <c r="B745" t="s">
        <v>164</v>
      </c>
      <c r="C745">
        <v>600045</v>
      </c>
      <c r="D745" t="s">
        <v>127</v>
      </c>
      <c r="E745" s="81">
        <v>2</v>
      </c>
      <c r="F745" t="s">
        <v>23</v>
      </c>
      <c r="G745" s="55">
        <v>2121.9699999999998</v>
      </c>
      <c r="H745" s="82">
        <v>2121.9699999999998</v>
      </c>
      <c r="I745" s="83" t="str">
        <f>VLOOKUP(E745,[1]Mapping!$A$3:$B$14,2,FALSE)</f>
        <v>Aug</v>
      </c>
      <c r="J745" s="84">
        <f t="shared" si="24"/>
        <v>1110088</v>
      </c>
      <c r="K745" s="84">
        <f t="shared" si="25"/>
        <v>600045</v>
      </c>
      <c r="L745" s="61" t="str">
        <f>VLOOKUP(K745,[1]Mapping!$J$3:$Q$351,8,FALSE)</f>
        <v>Travel &amp; Entertainment</v>
      </c>
      <c r="M745" t="s">
        <v>83</v>
      </c>
    </row>
    <row r="746" spans="1:13" hidden="1" x14ac:dyDescent="0.35">
      <c r="A746">
        <v>1110088</v>
      </c>
      <c r="B746" t="s">
        <v>164</v>
      </c>
      <c r="C746">
        <v>600020</v>
      </c>
      <c r="D746" t="s">
        <v>91</v>
      </c>
      <c r="E746" s="81">
        <v>2</v>
      </c>
      <c r="F746" t="s">
        <v>21</v>
      </c>
      <c r="G746" s="55">
        <v>34415.599999999999</v>
      </c>
      <c r="H746" s="82">
        <v>34415.599999999999</v>
      </c>
      <c r="I746" s="83" t="str">
        <f>VLOOKUP(E746,[1]Mapping!$A$3:$B$14,2,FALSE)</f>
        <v>Aug</v>
      </c>
      <c r="J746" s="84">
        <f t="shared" si="24"/>
        <v>1110088</v>
      </c>
      <c r="K746" s="84">
        <f t="shared" si="25"/>
        <v>600020</v>
      </c>
      <c r="L746" s="61" t="str">
        <f>VLOOKUP(K746,[1]Mapping!$J$3:$Q$351,8,FALSE)</f>
        <v>Fringe Benefits</v>
      </c>
      <c r="M746" t="s">
        <v>83</v>
      </c>
    </row>
    <row r="747" spans="1:13" hidden="1" x14ac:dyDescent="0.35">
      <c r="A747">
        <v>1110088</v>
      </c>
      <c r="B747" t="s">
        <v>164</v>
      </c>
      <c r="C747">
        <v>600055</v>
      </c>
      <c r="D747" t="s">
        <v>92</v>
      </c>
      <c r="E747" s="81">
        <v>2</v>
      </c>
      <c r="F747" t="s">
        <v>21</v>
      </c>
      <c r="G747" s="55">
        <v>2753.25</v>
      </c>
      <c r="H747" s="82">
        <v>2753.25</v>
      </c>
      <c r="I747" s="83" t="str">
        <f>VLOOKUP(E747,[1]Mapping!$A$3:$B$14,2,FALSE)</f>
        <v>Aug</v>
      </c>
      <c r="J747" s="84">
        <f t="shared" si="24"/>
        <v>1110088</v>
      </c>
      <c r="K747" s="84">
        <f t="shared" si="25"/>
        <v>600055</v>
      </c>
      <c r="L747" s="61" t="str">
        <f>VLOOKUP(K747,[1]Mapping!$J$3:$Q$351,8,FALSE)</f>
        <v>Fringe Benefits</v>
      </c>
      <c r="M747" t="s">
        <v>83</v>
      </c>
    </row>
    <row r="748" spans="1:13" hidden="1" x14ac:dyDescent="0.35">
      <c r="A748">
        <v>1110088</v>
      </c>
      <c r="B748" t="s">
        <v>164</v>
      </c>
      <c r="C748">
        <v>600051</v>
      </c>
      <c r="D748" t="s">
        <v>157</v>
      </c>
      <c r="E748" s="81">
        <v>2</v>
      </c>
      <c r="F748" t="s">
        <v>23</v>
      </c>
      <c r="G748" s="55">
        <v>0</v>
      </c>
      <c r="H748" s="82">
        <v>0</v>
      </c>
      <c r="I748" s="83" t="str">
        <f>VLOOKUP(E748,[1]Mapping!$A$3:$B$14,2,FALSE)</f>
        <v>Aug</v>
      </c>
      <c r="J748" s="84">
        <f t="shared" si="24"/>
        <v>1110088</v>
      </c>
      <c r="K748" s="84">
        <f t="shared" si="25"/>
        <v>600051</v>
      </c>
      <c r="L748" s="61" t="str">
        <f>VLOOKUP(K748,[1]Mapping!$J$3:$Q$351,8,FALSE)</f>
        <v>Travel &amp; Entertainment</v>
      </c>
      <c r="M748" t="s">
        <v>83</v>
      </c>
    </row>
    <row r="749" spans="1:13" hidden="1" x14ac:dyDescent="0.35">
      <c r="A749">
        <v>1110088</v>
      </c>
      <c r="B749" t="s">
        <v>164</v>
      </c>
      <c r="C749">
        <v>600048</v>
      </c>
      <c r="D749" t="s">
        <v>104</v>
      </c>
      <c r="E749" s="81">
        <v>2</v>
      </c>
      <c r="F749" t="s">
        <v>22</v>
      </c>
      <c r="G749" s="55">
        <v>41.38</v>
      </c>
      <c r="H749" s="82">
        <v>41.38</v>
      </c>
      <c r="I749" s="83" t="str">
        <f>VLOOKUP(E749,[1]Mapping!$A$3:$B$14,2,FALSE)</f>
        <v>Aug</v>
      </c>
      <c r="J749" s="84">
        <f t="shared" si="24"/>
        <v>1110088</v>
      </c>
      <c r="K749" s="84">
        <f t="shared" si="25"/>
        <v>600048</v>
      </c>
      <c r="L749" s="61" t="str">
        <f>VLOOKUP(K749,[1]Mapping!$J$3:$Q$351,8,FALSE)</f>
        <v>Employee Related Expenses</v>
      </c>
      <c r="M749" t="s">
        <v>83</v>
      </c>
    </row>
    <row r="750" spans="1:13" hidden="1" x14ac:dyDescent="0.35">
      <c r="A750">
        <v>1110088</v>
      </c>
      <c r="B750" t="s">
        <v>164</v>
      </c>
      <c r="C750">
        <v>501223</v>
      </c>
      <c r="D750" t="s">
        <v>51</v>
      </c>
      <c r="E750" s="81">
        <v>2</v>
      </c>
      <c r="F750" t="s">
        <v>34</v>
      </c>
      <c r="G750" s="55">
        <v>-16156.18</v>
      </c>
      <c r="H750" s="82">
        <v>-16156.18</v>
      </c>
      <c r="I750" s="83" t="str">
        <f>VLOOKUP(E750,[1]Mapping!$A$3:$B$14,2,FALSE)</f>
        <v>Aug</v>
      </c>
      <c r="J750" s="84">
        <f t="shared" si="24"/>
        <v>1110088</v>
      </c>
      <c r="K750" s="84">
        <f t="shared" si="25"/>
        <v>501223</v>
      </c>
      <c r="L750" s="61" t="str">
        <f>VLOOKUP(K750,[1]Mapping!$J$3:$Q$351,8,FALSE)</f>
        <v>Allocations</v>
      </c>
      <c r="M750" t="s">
        <v>83</v>
      </c>
    </row>
    <row r="751" spans="1:13" hidden="1" x14ac:dyDescent="0.35">
      <c r="A751">
        <v>1110088</v>
      </c>
      <c r="B751" t="s">
        <v>164</v>
      </c>
      <c r="C751">
        <v>600036</v>
      </c>
      <c r="D751" t="s">
        <v>173</v>
      </c>
      <c r="E751" s="81">
        <v>2</v>
      </c>
      <c r="F751" t="s">
        <v>22</v>
      </c>
      <c r="G751" s="55">
        <v>389.65</v>
      </c>
      <c r="H751" s="82">
        <v>389.65</v>
      </c>
      <c r="I751" s="83" t="str">
        <f>VLOOKUP(E751,[1]Mapping!$A$3:$B$14,2,FALSE)</f>
        <v>Aug</v>
      </c>
      <c r="J751" s="84">
        <f t="shared" si="24"/>
        <v>1110088</v>
      </c>
      <c r="K751" s="84">
        <f t="shared" si="25"/>
        <v>600036</v>
      </c>
      <c r="L751" s="61" t="str">
        <f>VLOOKUP(K751,[1]Mapping!$J$3:$Q$351,8,FALSE)</f>
        <v>Employee Related Expenses</v>
      </c>
      <c r="M751" t="s">
        <v>83</v>
      </c>
    </row>
    <row r="752" spans="1:13" hidden="1" x14ac:dyDescent="0.35">
      <c r="A752">
        <v>1110088</v>
      </c>
      <c r="B752" t="s">
        <v>164</v>
      </c>
      <c r="C752">
        <v>501056</v>
      </c>
      <c r="D752" t="s">
        <v>160</v>
      </c>
      <c r="E752" s="81">
        <v>2</v>
      </c>
      <c r="F752" t="s">
        <v>19</v>
      </c>
      <c r="G752" s="55">
        <v>5.0900000000000007</v>
      </c>
      <c r="H752" s="82">
        <v>5.0900000000000007</v>
      </c>
      <c r="I752" s="83" t="str">
        <f>VLOOKUP(E752,[1]Mapping!$A$3:$B$14,2,FALSE)</f>
        <v>Aug</v>
      </c>
      <c r="J752" s="84">
        <f t="shared" si="24"/>
        <v>1110088</v>
      </c>
      <c r="K752" s="84">
        <f t="shared" si="25"/>
        <v>501056</v>
      </c>
      <c r="L752" s="61" t="str">
        <f>VLOOKUP(K752,[1]Mapping!$J$3:$Q$351,8,FALSE)</f>
        <v>Wages &amp; Salaries</v>
      </c>
      <c r="M752" t="s">
        <v>83</v>
      </c>
    </row>
    <row r="753" spans="1:13" hidden="1" x14ac:dyDescent="0.35">
      <c r="A753">
        <v>1110088</v>
      </c>
      <c r="B753" t="s">
        <v>164</v>
      </c>
      <c r="C753">
        <v>501057</v>
      </c>
      <c r="D753" t="s">
        <v>161</v>
      </c>
      <c r="E753" s="81">
        <v>2</v>
      </c>
      <c r="F753" t="s">
        <v>21</v>
      </c>
      <c r="G753" s="55">
        <v>20.380000000000003</v>
      </c>
      <c r="H753" s="82">
        <v>20.380000000000003</v>
      </c>
      <c r="I753" s="83" t="str">
        <f>VLOOKUP(E753,[1]Mapping!$A$3:$B$14,2,FALSE)</f>
        <v>Aug</v>
      </c>
      <c r="J753" s="84">
        <f t="shared" si="24"/>
        <v>1110088</v>
      </c>
      <c r="K753" s="84">
        <f t="shared" si="25"/>
        <v>501057</v>
      </c>
      <c r="L753" s="61" t="str">
        <f>VLOOKUP(K753,[1]Mapping!$J$3:$Q$351,8,FALSE)</f>
        <v>Fringe Benefits</v>
      </c>
      <c r="M753" t="s">
        <v>83</v>
      </c>
    </row>
    <row r="754" spans="1:13" hidden="1" x14ac:dyDescent="0.35">
      <c r="A754">
        <v>1110088</v>
      </c>
      <c r="B754" t="s">
        <v>164</v>
      </c>
      <c r="C754">
        <v>501070</v>
      </c>
      <c r="D754" t="s">
        <v>135</v>
      </c>
      <c r="E754" s="81">
        <v>2</v>
      </c>
      <c r="F754" t="s">
        <v>21</v>
      </c>
      <c r="G754" s="55">
        <v>-1680</v>
      </c>
      <c r="H754" s="82">
        <v>-1680</v>
      </c>
      <c r="I754" s="83" t="str">
        <f>VLOOKUP(E754,[1]Mapping!$A$3:$B$14,2,FALSE)</f>
        <v>Aug</v>
      </c>
      <c r="J754" s="84">
        <f t="shared" si="24"/>
        <v>1110088</v>
      </c>
      <c r="K754" s="84">
        <f t="shared" si="25"/>
        <v>501070</v>
      </c>
      <c r="L754" s="61" t="str">
        <f>VLOOKUP(K754,[1]Mapping!$J$3:$Q$351,8,FALSE)</f>
        <v>Fringe Benefits</v>
      </c>
      <c r="M754" t="s">
        <v>83</v>
      </c>
    </row>
    <row r="755" spans="1:13" hidden="1" x14ac:dyDescent="0.35">
      <c r="A755">
        <v>1110095</v>
      </c>
      <c r="B755" t="s">
        <v>165</v>
      </c>
      <c r="C755">
        <v>501050</v>
      </c>
      <c r="D755" t="s">
        <v>39</v>
      </c>
      <c r="E755" s="81">
        <v>2</v>
      </c>
      <c r="F755" t="s">
        <v>19</v>
      </c>
      <c r="G755" s="55">
        <v>11573.589999999997</v>
      </c>
      <c r="H755" s="82">
        <v>11573.589999999997</v>
      </c>
      <c r="I755" s="83" t="str">
        <f>VLOOKUP(E755,[1]Mapping!$A$3:$B$14,2,FALSE)</f>
        <v>Aug</v>
      </c>
      <c r="J755" s="84">
        <f t="shared" si="24"/>
        <v>1110095</v>
      </c>
      <c r="K755" s="84">
        <f t="shared" si="25"/>
        <v>501050</v>
      </c>
      <c r="L755" s="61" t="str">
        <f>VLOOKUP(K755,[1]Mapping!$J$3:$Q$351,8,FALSE)</f>
        <v>Wages &amp; Salaries</v>
      </c>
      <c r="M755" t="s">
        <v>83</v>
      </c>
    </row>
    <row r="756" spans="1:13" hidden="1" x14ac:dyDescent="0.35">
      <c r="A756">
        <v>1110095</v>
      </c>
      <c r="B756" t="s">
        <v>165</v>
      </c>
      <c r="C756">
        <v>501058</v>
      </c>
      <c r="D756" t="s">
        <v>122</v>
      </c>
      <c r="E756" s="81">
        <v>2</v>
      </c>
      <c r="F756" t="s">
        <v>21</v>
      </c>
      <c r="G756" s="55">
        <v>997.54000000000019</v>
      </c>
      <c r="H756" s="82">
        <v>997.54000000000019</v>
      </c>
      <c r="I756" s="83" t="str">
        <f>VLOOKUP(E756,[1]Mapping!$A$3:$B$14,2,FALSE)</f>
        <v>Aug</v>
      </c>
      <c r="J756" s="84">
        <f t="shared" si="24"/>
        <v>1110095</v>
      </c>
      <c r="K756" s="84">
        <f t="shared" si="25"/>
        <v>501058</v>
      </c>
      <c r="L756" s="61" t="str">
        <f>VLOOKUP(K756,[1]Mapping!$J$3:$Q$351,8,FALSE)</f>
        <v>Fringe Benefits</v>
      </c>
      <c r="M756" t="s">
        <v>83</v>
      </c>
    </row>
    <row r="757" spans="1:13" hidden="1" x14ac:dyDescent="0.35">
      <c r="A757">
        <v>1110095</v>
      </c>
      <c r="B757" t="s">
        <v>165</v>
      </c>
      <c r="C757">
        <v>501062</v>
      </c>
      <c r="D757" t="s">
        <v>41</v>
      </c>
      <c r="E757" s="81">
        <v>2</v>
      </c>
      <c r="F757" t="s">
        <v>21</v>
      </c>
      <c r="G757" s="55">
        <v>21.759999999999998</v>
      </c>
      <c r="H757" s="82">
        <v>21.759999999999998</v>
      </c>
      <c r="I757" s="83" t="str">
        <f>VLOOKUP(E757,[1]Mapping!$A$3:$B$14,2,FALSE)</f>
        <v>Aug</v>
      </c>
      <c r="J757" s="84">
        <f t="shared" si="24"/>
        <v>1110095</v>
      </c>
      <c r="K757" s="84">
        <f t="shared" si="25"/>
        <v>501062</v>
      </c>
      <c r="L757" s="61" t="str">
        <f>VLOOKUP(K757,[1]Mapping!$J$3:$Q$351,8,FALSE)</f>
        <v>Fringe Benefits</v>
      </c>
      <c r="M757" t="s">
        <v>83</v>
      </c>
    </row>
    <row r="758" spans="1:13" hidden="1" x14ac:dyDescent="0.35">
      <c r="A758">
        <v>1110095</v>
      </c>
      <c r="B758" t="s">
        <v>165</v>
      </c>
      <c r="C758">
        <v>501063</v>
      </c>
      <c r="D758" t="s">
        <v>123</v>
      </c>
      <c r="E758" s="81">
        <v>2</v>
      </c>
      <c r="F758" t="s">
        <v>21</v>
      </c>
      <c r="G758" s="55">
        <v>2062.54</v>
      </c>
      <c r="H758" s="82">
        <v>2062.54</v>
      </c>
      <c r="I758" s="83" t="str">
        <f>VLOOKUP(E758,[1]Mapping!$A$3:$B$14,2,FALSE)</f>
        <v>Aug</v>
      </c>
      <c r="J758" s="84">
        <f t="shared" si="24"/>
        <v>1110095</v>
      </c>
      <c r="K758" s="84">
        <f t="shared" si="25"/>
        <v>501063</v>
      </c>
      <c r="L758" s="61" t="str">
        <f>VLOOKUP(K758,[1]Mapping!$J$3:$Q$351,8,FALSE)</f>
        <v>Fringe Benefits</v>
      </c>
      <c r="M758" t="s">
        <v>83</v>
      </c>
    </row>
    <row r="759" spans="1:13" hidden="1" x14ac:dyDescent="0.35">
      <c r="A759">
        <v>1110095</v>
      </c>
      <c r="B759" t="s">
        <v>165</v>
      </c>
      <c r="C759">
        <v>501065</v>
      </c>
      <c r="D759" t="s">
        <v>124</v>
      </c>
      <c r="E759" s="81">
        <v>2</v>
      </c>
      <c r="F759" t="s">
        <v>21</v>
      </c>
      <c r="G759" s="55">
        <v>31.209999999999997</v>
      </c>
      <c r="H759" s="82">
        <v>31.209999999999997</v>
      </c>
      <c r="I759" s="83" t="str">
        <f>VLOOKUP(E759,[1]Mapping!$A$3:$B$14,2,FALSE)</f>
        <v>Aug</v>
      </c>
      <c r="J759" s="84">
        <f t="shared" si="24"/>
        <v>1110095</v>
      </c>
      <c r="K759" s="84">
        <f t="shared" si="25"/>
        <v>501065</v>
      </c>
      <c r="L759" s="61" t="str">
        <f>VLOOKUP(K759,[1]Mapping!$J$3:$Q$351,8,FALSE)</f>
        <v>Fringe Benefits</v>
      </c>
      <c r="M759" t="s">
        <v>83</v>
      </c>
    </row>
    <row r="760" spans="1:13" hidden="1" x14ac:dyDescent="0.35">
      <c r="A760">
        <v>1110095</v>
      </c>
      <c r="B760" t="s">
        <v>165</v>
      </c>
      <c r="C760">
        <v>501069</v>
      </c>
      <c r="D760" t="s">
        <v>125</v>
      </c>
      <c r="E760" s="81">
        <v>2</v>
      </c>
      <c r="F760" t="s">
        <v>21</v>
      </c>
      <c r="G760" s="55">
        <v>578.68000000000006</v>
      </c>
      <c r="H760" s="82">
        <v>578.68000000000006</v>
      </c>
      <c r="I760" s="83" t="str">
        <f>VLOOKUP(E760,[1]Mapping!$A$3:$B$14,2,FALSE)</f>
        <v>Aug</v>
      </c>
      <c r="J760" s="84">
        <f t="shared" si="24"/>
        <v>1110095</v>
      </c>
      <c r="K760" s="84">
        <f t="shared" si="25"/>
        <v>501069</v>
      </c>
      <c r="L760" s="61" t="str">
        <f>VLOOKUP(K760,[1]Mapping!$J$3:$Q$351,8,FALSE)</f>
        <v>Fringe Benefits</v>
      </c>
      <c r="M760" t="s">
        <v>83</v>
      </c>
    </row>
    <row r="761" spans="1:13" hidden="1" x14ac:dyDescent="0.35">
      <c r="A761">
        <v>1110095</v>
      </c>
      <c r="B761" t="s">
        <v>165</v>
      </c>
      <c r="C761">
        <v>600020</v>
      </c>
      <c r="D761" t="s">
        <v>91</v>
      </c>
      <c r="E761" s="81">
        <v>2</v>
      </c>
      <c r="F761" t="s">
        <v>21</v>
      </c>
      <c r="G761" s="55">
        <v>1194.0999999999999</v>
      </c>
      <c r="H761" s="82">
        <v>1194.0999999999999</v>
      </c>
      <c r="I761" s="83" t="str">
        <f>VLOOKUP(E761,[1]Mapping!$A$3:$B$14,2,FALSE)</f>
        <v>Aug</v>
      </c>
      <c r="J761" s="84">
        <f t="shared" si="24"/>
        <v>1110095</v>
      </c>
      <c r="K761" s="84">
        <f t="shared" si="25"/>
        <v>600020</v>
      </c>
      <c r="L761" s="61" t="str">
        <f>VLOOKUP(K761,[1]Mapping!$J$3:$Q$351,8,FALSE)</f>
        <v>Fringe Benefits</v>
      </c>
      <c r="M761" t="s">
        <v>83</v>
      </c>
    </row>
    <row r="762" spans="1:13" hidden="1" x14ac:dyDescent="0.35">
      <c r="A762">
        <v>1110095</v>
      </c>
      <c r="B762" t="s">
        <v>165</v>
      </c>
      <c r="C762">
        <v>600055</v>
      </c>
      <c r="D762" t="s">
        <v>92</v>
      </c>
      <c r="E762" s="81">
        <v>2</v>
      </c>
      <c r="F762" t="s">
        <v>21</v>
      </c>
      <c r="G762" s="55">
        <v>95.53</v>
      </c>
      <c r="H762" s="82">
        <v>95.53</v>
      </c>
      <c r="I762" s="83" t="str">
        <f>VLOOKUP(E762,[1]Mapping!$A$3:$B$14,2,FALSE)</f>
        <v>Aug</v>
      </c>
      <c r="J762" s="84">
        <f t="shared" si="24"/>
        <v>1110095</v>
      </c>
      <c r="K762" s="84">
        <f t="shared" si="25"/>
        <v>600055</v>
      </c>
      <c r="L762" s="61" t="str">
        <f>VLOOKUP(K762,[1]Mapping!$J$3:$Q$351,8,FALSE)</f>
        <v>Fringe Benefits</v>
      </c>
      <c r="M762" t="s">
        <v>83</v>
      </c>
    </row>
    <row r="763" spans="1:13" hidden="1" x14ac:dyDescent="0.35">
      <c r="A763">
        <v>1110095</v>
      </c>
      <c r="B763" t="s">
        <v>165</v>
      </c>
      <c r="C763">
        <v>501070</v>
      </c>
      <c r="D763" t="s">
        <v>135</v>
      </c>
      <c r="E763" s="81">
        <v>2</v>
      </c>
      <c r="F763" t="s">
        <v>21</v>
      </c>
      <c r="G763" s="55">
        <v>-420</v>
      </c>
      <c r="H763" s="82">
        <v>-420</v>
      </c>
      <c r="I763" s="83" t="str">
        <f>VLOOKUP(E763,[1]Mapping!$A$3:$B$14,2,FALSE)</f>
        <v>Aug</v>
      </c>
      <c r="J763" s="84">
        <f t="shared" si="24"/>
        <v>1110095</v>
      </c>
      <c r="K763" s="84">
        <f t="shared" si="25"/>
        <v>501070</v>
      </c>
      <c r="L763" s="61" t="str">
        <f>VLOOKUP(K763,[1]Mapping!$J$3:$Q$351,8,FALSE)</f>
        <v>Fringe Benefits</v>
      </c>
      <c r="M763" t="s">
        <v>83</v>
      </c>
    </row>
    <row r="764" spans="1:13" hidden="1" x14ac:dyDescent="0.35">
      <c r="A764">
        <v>1110095</v>
      </c>
      <c r="B764" t="s">
        <v>165</v>
      </c>
      <c r="C764">
        <v>501054</v>
      </c>
      <c r="D764" t="s">
        <v>199</v>
      </c>
      <c r="E764" s="81">
        <v>2</v>
      </c>
      <c r="F764" t="s">
        <v>21</v>
      </c>
      <c r="G764" s="55">
        <v>6696</v>
      </c>
      <c r="H764" s="82">
        <v>6696</v>
      </c>
      <c r="I764" s="83" t="str">
        <f>VLOOKUP(E764,[1]Mapping!$A$3:$B$14,2,FALSE)</f>
        <v>Aug</v>
      </c>
      <c r="J764" s="84">
        <f t="shared" si="24"/>
        <v>1110095</v>
      </c>
      <c r="K764" s="84">
        <f t="shared" si="25"/>
        <v>501054</v>
      </c>
      <c r="L764" s="61" t="str">
        <f>VLOOKUP(K764,[1]Mapping!$J$3:$Q$351,8,FALSE)</f>
        <v>Fringe Benefits</v>
      </c>
      <c r="M764" t="s">
        <v>83</v>
      </c>
    </row>
    <row r="765" spans="1:13" hidden="1" x14ac:dyDescent="0.35">
      <c r="A765">
        <v>1110360</v>
      </c>
      <c r="B765" t="s">
        <v>166</v>
      </c>
      <c r="C765">
        <v>501050</v>
      </c>
      <c r="D765" t="s">
        <v>39</v>
      </c>
      <c r="E765" s="81">
        <v>2</v>
      </c>
      <c r="F765" t="s">
        <v>19</v>
      </c>
      <c r="G765" s="55">
        <v>42716.17</v>
      </c>
      <c r="H765" s="82">
        <v>42716.17</v>
      </c>
      <c r="I765" s="83" t="str">
        <f>VLOOKUP(E765,[1]Mapping!$A$3:$B$14,2,FALSE)</f>
        <v>Aug</v>
      </c>
      <c r="J765" s="84">
        <f t="shared" si="24"/>
        <v>1110360</v>
      </c>
      <c r="K765" s="84">
        <f t="shared" si="25"/>
        <v>501050</v>
      </c>
      <c r="L765" s="61" t="str">
        <f>VLOOKUP(K765,[1]Mapping!$J$3:$Q$351,8,FALSE)</f>
        <v>Wages &amp; Salaries</v>
      </c>
      <c r="M765" t="s">
        <v>83</v>
      </c>
    </row>
    <row r="766" spans="1:13" hidden="1" x14ac:dyDescent="0.35">
      <c r="A766">
        <v>1110360</v>
      </c>
      <c r="B766" t="s">
        <v>166</v>
      </c>
      <c r="C766">
        <v>501058</v>
      </c>
      <c r="D766" t="s">
        <v>122</v>
      </c>
      <c r="E766" s="81">
        <v>2</v>
      </c>
      <c r="F766" t="s">
        <v>21</v>
      </c>
      <c r="G766" s="55">
        <v>3170.68</v>
      </c>
      <c r="H766" s="82">
        <v>3170.68</v>
      </c>
      <c r="I766" s="83" t="str">
        <f>VLOOKUP(E766,[1]Mapping!$A$3:$B$14,2,FALSE)</f>
        <v>Aug</v>
      </c>
      <c r="J766" s="84">
        <f t="shared" si="24"/>
        <v>1110360</v>
      </c>
      <c r="K766" s="84">
        <f t="shared" si="25"/>
        <v>501058</v>
      </c>
      <c r="L766" s="61" t="str">
        <f>VLOOKUP(K766,[1]Mapping!$J$3:$Q$351,8,FALSE)</f>
        <v>Fringe Benefits</v>
      </c>
      <c r="M766" t="s">
        <v>83</v>
      </c>
    </row>
    <row r="767" spans="1:13" hidden="1" x14ac:dyDescent="0.35">
      <c r="A767">
        <v>1110360</v>
      </c>
      <c r="B767" t="s">
        <v>166</v>
      </c>
      <c r="C767">
        <v>501062</v>
      </c>
      <c r="D767" t="s">
        <v>41</v>
      </c>
      <c r="E767" s="81">
        <v>2</v>
      </c>
      <c r="F767" t="s">
        <v>21</v>
      </c>
      <c r="G767" s="55">
        <v>69.37</v>
      </c>
      <c r="H767" s="82">
        <v>69.37</v>
      </c>
      <c r="I767" s="83" t="str">
        <f>VLOOKUP(E767,[1]Mapping!$A$3:$B$14,2,FALSE)</f>
        <v>Aug</v>
      </c>
      <c r="J767" s="84">
        <f t="shared" si="24"/>
        <v>1110360</v>
      </c>
      <c r="K767" s="84">
        <f t="shared" si="25"/>
        <v>501062</v>
      </c>
      <c r="L767" s="61" t="str">
        <f>VLOOKUP(K767,[1]Mapping!$J$3:$Q$351,8,FALSE)</f>
        <v>Fringe Benefits</v>
      </c>
      <c r="M767" t="s">
        <v>83</v>
      </c>
    </row>
    <row r="768" spans="1:13" hidden="1" x14ac:dyDescent="0.35">
      <c r="A768">
        <v>1110360</v>
      </c>
      <c r="B768" t="s">
        <v>166</v>
      </c>
      <c r="C768">
        <v>501063</v>
      </c>
      <c r="D768" t="s">
        <v>123</v>
      </c>
      <c r="E768" s="81">
        <v>2</v>
      </c>
      <c r="F768" t="s">
        <v>21</v>
      </c>
      <c r="G768" s="55">
        <v>1327.1200000000001</v>
      </c>
      <c r="H768" s="82">
        <v>1327.1200000000001</v>
      </c>
      <c r="I768" s="83" t="str">
        <f>VLOOKUP(E768,[1]Mapping!$A$3:$B$14,2,FALSE)</f>
        <v>Aug</v>
      </c>
      <c r="J768" s="84">
        <f t="shared" si="24"/>
        <v>1110360</v>
      </c>
      <c r="K768" s="84">
        <f t="shared" si="25"/>
        <v>501063</v>
      </c>
      <c r="L768" s="61" t="str">
        <f>VLOOKUP(K768,[1]Mapping!$J$3:$Q$351,8,FALSE)</f>
        <v>Fringe Benefits</v>
      </c>
      <c r="M768" t="s">
        <v>83</v>
      </c>
    </row>
    <row r="769" spans="1:13" hidden="1" x14ac:dyDescent="0.35">
      <c r="A769">
        <v>1110360</v>
      </c>
      <c r="B769" t="s">
        <v>166</v>
      </c>
      <c r="C769">
        <v>501065</v>
      </c>
      <c r="D769" t="s">
        <v>124</v>
      </c>
      <c r="E769" s="81">
        <v>2</v>
      </c>
      <c r="F769" t="s">
        <v>21</v>
      </c>
      <c r="G769" s="55">
        <v>99.83</v>
      </c>
      <c r="H769" s="82">
        <v>99.83</v>
      </c>
      <c r="I769" s="83" t="str">
        <f>VLOOKUP(E769,[1]Mapping!$A$3:$B$14,2,FALSE)</f>
        <v>Aug</v>
      </c>
      <c r="J769" s="84">
        <f t="shared" si="24"/>
        <v>1110360</v>
      </c>
      <c r="K769" s="84">
        <f t="shared" si="25"/>
        <v>501065</v>
      </c>
      <c r="L769" s="61" t="str">
        <f>VLOOKUP(K769,[1]Mapping!$J$3:$Q$351,8,FALSE)</f>
        <v>Fringe Benefits</v>
      </c>
      <c r="M769" t="s">
        <v>83</v>
      </c>
    </row>
    <row r="770" spans="1:13" hidden="1" x14ac:dyDescent="0.35">
      <c r="A770">
        <v>1110360</v>
      </c>
      <c r="B770" t="s">
        <v>166</v>
      </c>
      <c r="C770">
        <v>501069</v>
      </c>
      <c r="D770" t="s">
        <v>125</v>
      </c>
      <c r="E770" s="81">
        <v>2</v>
      </c>
      <c r="F770" t="s">
        <v>21</v>
      </c>
      <c r="G770" s="55">
        <v>2100.31</v>
      </c>
      <c r="H770" s="82">
        <v>2100.31</v>
      </c>
      <c r="I770" s="83" t="str">
        <f>VLOOKUP(E770,[1]Mapping!$A$3:$B$14,2,FALSE)</f>
        <v>Aug</v>
      </c>
      <c r="J770" s="84">
        <f t="shared" si="24"/>
        <v>1110360</v>
      </c>
      <c r="K770" s="84">
        <f t="shared" si="25"/>
        <v>501069</v>
      </c>
      <c r="L770" s="61" t="str">
        <f>VLOOKUP(K770,[1]Mapping!$J$3:$Q$351,8,FALSE)</f>
        <v>Fringe Benefits</v>
      </c>
      <c r="M770" t="s">
        <v>83</v>
      </c>
    </row>
    <row r="771" spans="1:13" hidden="1" x14ac:dyDescent="0.35">
      <c r="A771">
        <v>1110360</v>
      </c>
      <c r="B771" t="s">
        <v>166</v>
      </c>
      <c r="C771">
        <v>501710</v>
      </c>
      <c r="D771" t="s">
        <v>45</v>
      </c>
      <c r="E771" s="81">
        <v>2</v>
      </c>
      <c r="F771" t="s">
        <v>27</v>
      </c>
      <c r="G771" s="55">
        <v>40000</v>
      </c>
      <c r="H771" s="82">
        <v>40000</v>
      </c>
      <c r="I771" s="83" t="str">
        <f>VLOOKUP(E771,[1]Mapping!$A$3:$B$14,2,FALSE)</f>
        <v>Aug</v>
      </c>
      <c r="J771" s="84">
        <f t="shared" si="24"/>
        <v>1110360</v>
      </c>
      <c r="K771" s="84">
        <f t="shared" si="25"/>
        <v>501710</v>
      </c>
      <c r="L771" s="61" t="str">
        <f>VLOOKUP(K771,[1]Mapping!$J$3:$Q$351,8,FALSE)</f>
        <v>Outside Services</v>
      </c>
      <c r="M771" t="s">
        <v>83</v>
      </c>
    </row>
    <row r="772" spans="1:13" hidden="1" x14ac:dyDescent="0.35">
      <c r="A772">
        <v>1110360</v>
      </c>
      <c r="B772" t="s">
        <v>166</v>
      </c>
      <c r="C772">
        <v>608533</v>
      </c>
      <c r="D772" t="s">
        <v>167</v>
      </c>
      <c r="E772" s="81">
        <v>2</v>
      </c>
      <c r="F772" t="s">
        <v>29</v>
      </c>
      <c r="G772" s="55">
        <v>7331.71</v>
      </c>
      <c r="H772" s="82">
        <v>7331.71</v>
      </c>
      <c r="I772" s="83" t="str">
        <f>VLOOKUP(E772,[1]Mapping!$A$3:$B$14,2,FALSE)</f>
        <v>Aug</v>
      </c>
      <c r="J772" s="84">
        <f t="shared" si="24"/>
        <v>1110360</v>
      </c>
      <c r="K772" s="84">
        <f t="shared" si="25"/>
        <v>608533</v>
      </c>
      <c r="L772" s="61" t="str">
        <f>VLOOKUP(K772,[1]Mapping!$J$3:$Q$351,8,FALSE)</f>
        <v>Other</v>
      </c>
      <c r="M772" t="s">
        <v>83</v>
      </c>
    </row>
    <row r="773" spans="1:13" hidden="1" x14ac:dyDescent="0.35">
      <c r="A773">
        <v>1110360</v>
      </c>
      <c r="B773" t="s">
        <v>166</v>
      </c>
      <c r="C773">
        <v>600030</v>
      </c>
      <c r="D773" t="s">
        <v>110</v>
      </c>
      <c r="E773" s="81">
        <v>2</v>
      </c>
      <c r="F773" t="s">
        <v>23</v>
      </c>
      <c r="G773" s="55">
        <v>366.96000000000004</v>
      </c>
      <c r="H773" s="82">
        <v>366.96000000000004</v>
      </c>
      <c r="I773" s="83" t="str">
        <f>VLOOKUP(E773,[1]Mapping!$A$3:$B$14,2,FALSE)</f>
        <v>Aug</v>
      </c>
      <c r="J773" s="84">
        <f t="shared" si="24"/>
        <v>1110360</v>
      </c>
      <c r="K773" s="84">
        <f t="shared" si="25"/>
        <v>600030</v>
      </c>
      <c r="L773" s="61" t="str">
        <f>VLOOKUP(K773,[1]Mapping!$J$3:$Q$351,8,FALSE)</f>
        <v>Travel &amp; Entertainment</v>
      </c>
      <c r="M773" t="s">
        <v>83</v>
      </c>
    </row>
    <row r="774" spans="1:13" hidden="1" x14ac:dyDescent="0.35">
      <c r="A774">
        <v>1110360</v>
      </c>
      <c r="B774" t="s">
        <v>166</v>
      </c>
      <c r="C774">
        <v>600044</v>
      </c>
      <c r="D774" t="s">
        <v>111</v>
      </c>
      <c r="E774" s="81">
        <v>2</v>
      </c>
      <c r="F774" t="s">
        <v>23</v>
      </c>
      <c r="G774" s="55">
        <v>304.55</v>
      </c>
      <c r="H774" s="82">
        <v>304.55</v>
      </c>
      <c r="I774" s="83" t="str">
        <f>VLOOKUP(E774,[1]Mapping!$A$3:$B$14,2,FALSE)</f>
        <v>Aug</v>
      </c>
      <c r="J774" s="84">
        <f t="shared" si="24"/>
        <v>1110360</v>
      </c>
      <c r="K774" s="84">
        <f t="shared" si="25"/>
        <v>600044</v>
      </c>
      <c r="L774" s="61" t="str">
        <f>VLOOKUP(K774,[1]Mapping!$J$3:$Q$351,8,FALSE)</f>
        <v>Travel &amp; Entertainment</v>
      </c>
      <c r="M774" t="s">
        <v>83</v>
      </c>
    </row>
    <row r="775" spans="1:13" hidden="1" x14ac:dyDescent="0.35">
      <c r="A775">
        <v>1110360</v>
      </c>
      <c r="B775" t="s">
        <v>166</v>
      </c>
      <c r="C775">
        <v>600043</v>
      </c>
      <c r="D775" t="s">
        <v>102</v>
      </c>
      <c r="E775" s="81">
        <v>2</v>
      </c>
      <c r="F775" t="s">
        <v>23</v>
      </c>
      <c r="G775" s="55">
        <v>1864.0500000000002</v>
      </c>
      <c r="H775" s="82">
        <v>1864.0500000000002</v>
      </c>
      <c r="I775" s="83" t="str">
        <f>VLOOKUP(E775,[1]Mapping!$A$3:$B$14,2,FALSE)</f>
        <v>Aug</v>
      </c>
      <c r="J775" s="84">
        <f t="shared" si="24"/>
        <v>1110360</v>
      </c>
      <c r="K775" s="84">
        <f t="shared" si="25"/>
        <v>600043</v>
      </c>
      <c r="L775" s="61" t="str">
        <f>VLOOKUP(K775,[1]Mapping!$J$3:$Q$351,8,FALSE)</f>
        <v>Travel &amp; Entertainment</v>
      </c>
      <c r="M775" t="s">
        <v>83</v>
      </c>
    </row>
    <row r="776" spans="1:13" hidden="1" x14ac:dyDescent="0.35">
      <c r="A776">
        <v>1110360</v>
      </c>
      <c r="B776" t="s">
        <v>166</v>
      </c>
      <c r="C776">
        <v>600027</v>
      </c>
      <c r="D776" t="s">
        <v>112</v>
      </c>
      <c r="E776" s="81">
        <v>2</v>
      </c>
      <c r="F776" t="s">
        <v>23</v>
      </c>
      <c r="G776" s="55">
        <v>44.61</v>
      </c>
      <c r="H776" s="82">
        <v>44.61</v>
      </c>
      <c r="I776" s="83" t="str">
        <f>VLOOKUP(E776,[1]Mapping!$A$3:$B$14,2,FALSE)</f>
        <v>Aug</v>
      </c>
      <c r="J776" s="84">
        <f t="shared" si="24"/>
        <v>1110360</v>
      </c>
      <c r="K776" s="84">
        <f t="shared" si="25"/>
        <v>600027</v>
      </c>
      <c r="L776" s="61" t="str">
        <f>VLOOKUP(K776,[1]Mapping!$J$3:$Q$351,8,FALSE)</f>
        <v>Travel &amp; Entertainment</v>
      </c>
      <c r="M776" t="s">
        <v>83</v>
      </c>
    </row>
    <row r="777" spans="1:13" hidden="1" x14ac:dyDescent="0.35">
      <c r="A777">
        <v>1110360</v>
      </c>
      <c r="B777" t="s">
        <v>166</v>
      </c>
      <c r="C777">
        <v>600029</v>
      </c>
      <c r="D777" t="s">
        <v>113</v>
      </c>
      <c r="E777" s="81">
        <v>2</v>
      </c>
      <c r="F777" t="s">
        <v>23</v>
      </c>
      <c r="G777" s="55">
        <v>919.12</v>
      </c>
      <c r="H777" s="82">
        <v>919.12</v>
      </c>
      <c r="I777" s="83" t="str">
        <f>VLOOKUP(E777,[1]Mapping!$A$3:$B$14,2,FALSE)</f>
        <v>Aug</v>
      </c>
      <c r="J777" s="84">
        <f t="shared" si="24"/>
        <v>1110360</v>
      </c>
      <c r="K777" s="84">
        <f t="shared" si="25"/>
        <v>600029</v>
      </c>
      <c r="L777" s="61" t="str">
        <f>VLOOKUP(K777,[1]Mapping!$J$3:$Q$351,8,FALSE)</f>
        <v>Travel &amp; Entertainment</v>
      </c>
      <c r="M777" t="s">
        <v>83</v>
      </c>
    </row>
    <row r="778" spans="1:13" hidden="1" x14ac:dyDescent="0.35">
      <c r="A778">
        <v>1110360</v>
      </c>
      <c r="B778" t="s">
        <v>166</v>
      </c>
      <c r="C778">
        <v>600042</v>
      </c>
      <c r="D778" t="s">
        <v>43</v>
      </c>
      <c r="E778" s="81">
        <v>2</v>
      </c>
      <c r="F778" t="s">
        <v>22</v>
      </c>
      <c r="G778" s="55">
        <v>20</v>
      </c>
      <c r="H778" s="82">
        <v>20</v>
      </c>
      <c r="I778" s="83" t="str">
        <f>VLOOKUP(E778,[1]Mapping!$A$3:$B$14,2,FALSE)</f>
        <v>Aug</v>
      </c>
      <c r="J778" s="84">
        <f t="shared" si="24"/>
        <v>1110360</v>
      </c>
      <c r="K778" s="84">
        <f t="shared" si="25"/>
        <v>600042</v>
      </c>
      <c r="L778" s="61" t="str">
        <f>VLOOKUP(K778,[1]Mapping!$J$3:$Q$351,8,FALSE)</f>
        <v>Employee Related Expenses</v>
      </c>
      <c r="M778" t="s">
        <v>83</v>
      </c>
    </row>
    <row r="779" spans="1:13" hidden="1" x14ac:dyDescent="0.35">
      <c r="A779">
        <v>1110360</v>
      </c>
      <c r="B779" t="s">
        <v>166</v>
      </c>
      <c r="C779">
        <v>501059</v>
      </c>
      <c r="D779" t="s">
        <v>138</v>
      </c>
      <c r="E779" s="81">
        <v>2</v>
      </c>
      <c r="F779" t="s">
        <v>21</v>
      </c>
      <c r="G779" s="55">
        <v>600</v>
      </c>
      <c r="H779" s="82">
        <v>600</v>
      </c>
      <c r="I779" s="83" t="str">
        <f>VLOOKUP(E779,[1]Mapping!$A$3:$B$14,2,FALSE)</f>
        <v>Aug</v>
      </c>
      <c r="J779" s="84">
        <f t="shared" si="24"/>
        <v>1110360</v>
      </c>
      <c r="K779" s="84">
        <f t="shared" si="25"/>
        <v>501059</v>
      </c>
      <c r="L779" s="61" t="str">
        <f>VLOOKUP(K779,[1]Mapping!$J$3:$Q$351,8,FALSE)</f>
        <v>Fringe Benefits</v>
      </c>
      <c r="M779" t="s">
        <v>83</v>
      </c>
    </row>
    <row r="780" spans="1:13" hidden="1" x14ac:dyDescent="0.35">
      <c r="A780">
        <v>1110360</v>
      </c>
      <c r="B780" t="s">
        <v>166</v>
      </c>
      <c r="C780">
        <v>600020</v>
      </c>
      <c r="D780" t="s">
        <v>91</v>
      </c>
      <c r="E780" s="81">
        <v>2</v>
      </c>
      <c r="F780" t="s">
        <v>21</v>
      </c>
      <c r="G780" s="55">
        <v>5502.3</v>
      </c>
      <c r="H780" s="82">
        <v>5502.3</v>
      </c>
      <c r="I780" s="83" t="str">
        <f>VLOOKUP(E780,[1]Mapping!$A$3:$B$14,2,FALSE)</f>
        <v>Aug</v>
      </c>
      <c r="J780" s="84">
        <f t="shared" si="24"/>
        <v>1110360</v>
      </c>
      <c r="K780" s="84">
        <f t="shared" si="25"/>
        <v>600020</v>
      </c>
      <c r="L780" s="61" t="str">
        <f>VLOOKUP(K780,[1]Mapping!$J$3:$Q$351,8,FALSE)</f>
        <v>Fringe Benefits</v>
      </c>
      <c r="M780" t="s">
        <v>83</v>
      </c>
    </row>
    <row r="781" spans="1:13" hidden="1" x14ac:dyDescent="0.35">
      <c r="A781">
        <v>1110360</v>
      </c>
      <c r="B781" t="s">
        <v>166</v>
      </c>
      <c r="C781">
        <v>600055</v>
      </c>
      <c r="D781" t="s">
        <v>92</v>
      </c>
      <c r="E781" s="81">
        <v>2</v>
      </c>
      <c r="F781" t="s">
        <v>21</v>
      </c>
      <c r="G781" s="55">
        <v>440.19</v>
      </c>
      <c r="H781" s="82">
        <v>440.19</v>
      </c>
      <c r="I781" s="83" t="str">
        <f>VLOOKUP(E781,[1]Mapping!$A$3:$B$14,2,FALSE)</f>
        <v>Aug</v>
      </c>
      <c r="J781" s="84">
        <f t="shared" si="24"/>
        <v>1110360</v>
      </c>
      <c r="K781" s="84">
        <f t="shared" si="25"/>
        <v>600055</v>
      </c>
      <c r="L781" s="61" t="str">
        <f>VLOOKUP(K781,[1]Mapping!$J$3:$Q$351,8,FALSE)</f>
        <v>Fringe Benefits</v>
      </c>
      <c r="M781" t="s">
        <v>83</v>
      </c>
    </row>
    <row r="782" spans="1:13" hidden="1" x14ac:dyDescent="0.35">
      <c r="A782">
        <v>1110360</v>
      </c>
      <c r="B782" t="s">
        <v>166</v>
      </c>
      <c r="C782">
        <v>600051</v>
      </c>
      <c r="D782" t="s">
        <v>157</v>
      </c>
      <c r="E782" s="81">
        <v>2</v>
      </c>
      <c r="F782" t="s">
        <v>23</v>
      </c>
      <c r="G782" s="55">
        <v>407.81</v>
      </c>
      <c r="H782" s="82">
        <v>407.81</v>
      </c>
      <c r="I782" s="83" t="str">
        <f>VLOOKUP(E782,[1]Mapping!$A$3:$B$14,2,FALSE)</f>
        <v>Aug</v>
      </c>
      <c r="J782" s="84">
        <f t="shared" si="24"/>
        <v>1110360</v>
      </c>
      <c r="K782" s="84">
        <f t="shared" si="25"/>
        <v>600051</v>
      </c>
      <c r="L782" s="61" t="str">
        <f>VLOOKUP(K782,[1]Mapping!$J$3:$Q$351,8,FALSE)</f>
        <v>Travel &amp; Entertainment</v>
      </c>
      <c r="M782" t="s">
        <v>83</v>
      </c>
    </row>
    <row r="783" spans="1:13" hidden="1" x14ac:dyDescent="0.35">
      <c r="A783">
        <v>1110360</v>
      </c>
      <c r="B783" t="s">
        <v>166</v>
      </c>
      <c r="C783">
        <v>600028</v>
      </c>
      <c r="D783" t="s">
        <v>115</v>
      </c>
      <c r="E783" s="81">
        <v>2</v>
      </c>
      <c r="F783" t="s">
        <v>23</v>
      </c>
      <c r="G783" s="55">
        <v>28</v>
      </c>
      <c r="H783" s="82">
        <v>28</v>
      </c>
      <c r="I783" s="83" t="str">
        <f>VLOOKUP(E783,[1]Mapping!$A$3:$B$14,2,FALSE)</f>
        <v>Aug</v>
      </c>
      <c r="J783" s="84">
        <f t="shared" si="24"/>
        <v>1110360</v>
      </c>
      <c r="K783" s="84">
        <f t="shared" si="25"/>
        <v>600028</v>
      </c>
      <c r="L783" s="61" t="str">
        <f>VLOOKUP(K783,[1]Mapping!$J$3:$Q$351,8,FALSE)</f>
        <v>Travel &amp; Entertainment</v>
      </c>
      <c r="M783" t="s">
        <v>83</v>
      </c>
    </row>
    <row r="784" spans="1:13" hidden="1" x14ac:dyDescent="0.35">
      <c r="A784">
        <v>1110478</v>
      </c>
      <c r="B784" t="s">
        <v>168</v>
      </c>
      <c r="C784">
        <v>600030</v>
      </c>
      <c r="D784" t="s">
        <v>110</v>
      </c>
      <c r="E784" s="81">
        <v>2</v>
      </c>
      <c r="F784" t="s">
        <v>23</v>
      </c>
      <c r="G784" s="55">
        <v>120</v>
      </c>
      <c r="H784" s="82">
        <v>120</v>
      </c>
      <c r="I784" s="83" t="str">
        <f>VLOOKUP(E784,[1]Mapping!$A$3:$B$14,2,FALSE)</f>
        <v>Aug</v>
      </c>
      <c r="J784" s="84">
        <f t="shared" si="24"/>
        <v>1110478</v>
      </c>
      <c r="K784" s="84">
        <f t="shared" si="25"/>
        <v>600030</v>
      </c>
      <c r="L784" s="61" t="str">
        <f>VLOOKUP(K784,[1]Mapping!$J$3:$Q$351,8,FALSE)</f>
        <v>Travel &amp; Entertainment</v>
      </c>
      <c r="M784" t="s">
        <v>83</v>
      </c>
    </row>
    <row r="785" spans="1:15" hidden="1" x14ac:dyDescent="0.35">
      <c r="A785">
        <v>1110556</v>
      </c>
      <c r="B785" t="s">
        <v>170</v>
      </c>
      <c r="C785">
        <v>501050</v>
      </c>
      <c r="D785" t="s">
        <v>39</v>
      </c>
      <c r="E785" s="81">
        <v>2</v>
      </c>
      <c r="F785" t="s">
        <v>19</v>
      </c>
      <c r="G785" s="55">
        <v>147090.69999999998</v>
      </c>
      <c r="H785" s="82">
        <v>147090.69999999998</v>
      </c>
      <c r="I785" s="83" t="str">
        <f>VLOOKUP(E785,[1]Mapping!$A$3:$B$14,2,FALSE)</f>
        <v>Aug</v>
      </c>
      <c r="J785" s="84">
        <f t="shared" si="24"/>
        <v>1110556</v>
      </c>
      <c r="K785" s="84">
        <f t="shared" si="25"/>
        <v>501050</v>
      </c>
      <c r="L785" s="61" t="str">
        <f>VLOOKUP(K785,[1]Mapping!$J$3:$Q$351,8,FALSE)</f>
        <v>Wages &amp; Salaries</v>
      </c>
      <c r="M785" t="s">
        <v>83</v>
      </c>
    </row>
    <row r="786" spans="1:15" hidden="1" x14ac:dyDescent="0.35">
      <c r="A786">
        <v>1110556</v>
      </c>
      <c r="B786" t="s">
        <v>170</v>
      </c>
      <c r="C786">
        <v>501058</v>
      </c>
      <c r="D786" t="s">
        <v>122</v>
      </c>
      <c r="E786" s="81">
        <v>2</v>
      </c>
      <c r="F786" t="s">
        <v>21</v>
      </c>
      <c r="G786" s="55">
        <v>10682.810000000001</v>
      </c>
      <c r="H786" s="82">
        <v>10682.810000000001</v>
      </c>
      <c r="I786" s="83" t="str">
        <f>VLOOKUP(E786,[1]Mapping!$A$3:$B$14,2,FALSE)</f>
        <v>Aug</v>
      </c>
      <c r="J786" s="84">
        <f t="shared" si="24"/>
        <v>1110556</v>
      </c>
      <c r="K786" s="84">
        <f t="shared" si="25"/>
        <v>501058</v>
      </c>
      <c r="L786" s="61" t="str">
        <f>VLOOKUP(K786,[1]Mapping!$J$3:$Q$351,8,FALSE)</f>
        <v>Fringe Benefits</v>
      </c>
      <c r="M786" t="s">
        <v>83</v>
      </c>
    </row>
    <row r="787" spans="1:15" hidden="1" x14ac:dyDescent="0.35">
      <c r="A787">
        <v>1110556</v>
      </c>
      <c r="B787" t="s">
        <v>170</v>
      </c>
      <c r="C787">
        <v>501062</v>
      </c>
      <c r="D787" t="s">
        <v>41</v>
      </c>
      <c r="E787" s="81">
        <v>2</v>
      </c>
      <c r="F787" t="s">
        <v>21</v>
      </c>
      <c r="G787" s="55">
        <v>233.30999999999995</v>
      </c>
      <c r="H787" s="82">
        <v>233.30999999999995</v>
      </c>
      <c r="I787" s="83" t="str">
        <f>VLOOKUP(E787,[1]Mapping!$A$3:$B$14,2,FALSE)</f>
        <v>Aug</v>
      </c>
      <c r="J787" s="84">
        <f t="shared" si="24"/>
        <v>1110556</v>
      </c>
      <c r="K787" s="84">
        <f t="shared" si="25"/>
        <v>501062</v>
      </c>
      <c r="L787" s="61" t="str">
        <f>VLOOKUP(K787,[1]Mapping!$J$3:$Q$351,8,FALSE)</f>
        <v>Fringe Benefits</v>
      </c>
      <c r="M787" t="s">
        <v>83</v>
      </c>
    </row>
    <row r="788" spans="1:15" hidden="1" x14ac:dyDescent="0.35">
      <c r="A788">
        <v>1110556</v>
      </c>
      <c r="B788" t="s">
        <v>170</v>
      </c>
      <c r="C788">
        <v>501063</v>
      </c>
      <c r="D788" t="s">
        <v>123</v>
      </c>
      <c r="E788" s="81">
        <v>2</v>
      </c>
      <c r="F788" t="s">
        <v>21</v>
      </c>
      <c r="G788" s="55">
        <v>9506.0300000000007</v>
      </c>
      <c r="H788" s="82">
        <v>9506.0300000000007</v>
      </c>
      <c r="I788" s="83" t="str">
        <f>VLOOKUP(E788,[1]Mapping!$A$3:$B$14,2,FALSE)</f>
        <v>Aug</v>
      </c>
      <c r="J788" s="84">
        <f t="shared" si="24"/>
        <v>1110556</v>
      </c>
      <c r="K788" s="84">
        <f t="shared" si="25"/>
        <v>501063</v>
      </c>
      <c r="L788" s="61" t="str">
        <f>VLOOKUP(K788,[1]Mapping!$J$3:$Q$351,8,FALSE)</f>
        <v>Fringe Benefits</v>
      </c>
      <c r="M788" t="s">
        <v>83</v>
      </c>
      <c r="N788" t="s">
        <v>177</v>
      </c>
      <c r="O788" t="s">
        <v>178</v>
      </c>
    </row>
    <row r="789" spans="1:15" hidden="1" x14ac:dyDescent="0.35">
      <c r="A789">
        <v>1110556</v>
      </c>
      <c r="B789" t="s">
        <v>170</v>
      </c>
      <c r="C789">
        <v>501065</v>
      </c>
      <c r="D789" t="s">
        <v>124</v>
      </c>
      <c r="E789" s="81">
        <v>2</v>
      </c>
      <c r="F789" t="s">
        <v>21</v>
      </c>
      <c r="G789" s="55">
        <v>304.02000000000004</v>
      </c>
      <c r="H789" s="82">
        <v>304.02000000000004</v>
      </c>
      <c r="I789" s="83" t="str">
        <f>VLOOKUP(E789,[1]Mapping!$A$3:$B$14,2,FALSE)</f>
        <v>Aug</v>
      </c>
      <c r="J789" s="84">
        <f t="shared" si="24"/>
        <v>1110556</v>
      </c>
      <c r="K789" s="84">
        <f t="shared" si="25"/>
        <v>501065</v>
      </c>
      <c r="L789" s="61" t="str">
        <f>VLOOKUP(K789,[1]Mapping!$J$3:$Q$351,8,FALSE)</f>
        <v>Fringe Benefits</v>
      </c>
      <c r="M789" t="s">
        <v>83</v>
      </c>
      <c r="N789" t="s">
        <v>177</v>
      </c>
      <c r="O789" t="s">
        <v>178</v>
      </c>
    </row>
    <row r="790" spans="1:15" hidden="1" x14ac:dyDescent="0.35">
      <c r="A790">
        <v>1110556</v>
      </c>
      <c r="B790" t="s">
        <v>170</v>
      </c>
      <c r="C790">
        <v>501069</v>
      </c>
      <c r="D790" t="s">
        <v>125</v>
      </c>
      <c r="E790" s="81">
        <v>2</v>
      </c>
      <c r="F790" t="s">
        <v>21</v>
      </c>
      <c r="G790" s="55">
        <v>5339.57</v>
      </c>
      <c r="H790" s="82">
        <v>5339.57</v>
      </c>
      <c r="I790" s="83" t="str">
        <f>VLOOKUP(E790,[1]Mapping!$A$3:$B$14,2,FALSE)</f>
        <v>Aug</v>
      </c>
      <c r="J790" s="84">
        <f t="shared" si="24"/>
        <v>1110556</v>
      </c>
      <c r="K790" s="84">
        <f t="shared" si="25"/>
        <v>501069</v>
      </c>
      <c r="L790" s="61" t="str">
        <f>VLOOKUP(K790,[1]Mapping!$J$3:$Q$351,8,FALSE)</f>
        <v>Fringe Benefits</v>
      </c>
      <c r="M790" t="s">
        <v>83</v>
      </c>
      <c r="N790" t="s">
        <v>177</v>
      </c>
      <c r="O790" t="s">
        <v>178</v>
      </c>
    </row>
    <row r="791" spans="1:15" hidden="1" x14ac:dyDescent="0.35">
      <c r="A791">
        <v>1110556</v>
      </c>
      <c r="B791" t="s">
        <v>170</v>
      </c>
      <c r="C791">
        <v>501710</v>
      </c>
      <c r="D791" t="s">
        <v>45</v>
      </c>
      <c r="E791" s="81">
        <v>2</v>
      </c>
      <c r="F791" t="s">
        <v>27</v>
      </c>
      <c r="G791" s="55">
        <v>7000</v>
      </c>
      <c r="H791" s="82">
        <v>7000</v>
      </c>
      <c r="I791" s="83" t="str">
        <f>VLOOKUP(E791,[1]Mapping!$A$3:$B$14,2,FALSE)</f>
        <v>Aug</v>
      </c>
      <c r="J791" s="84">
        <f t="shared" si="24"/>
        <v>1110556</v>
      </c>
      <c r="K791" s="84">
        <f t="shared" si="25"/>
        <v>501710</v>
      </c>
      <c r="L791" s="61" t="str">
        <f>VLOOKUP(K791,[1]Mapping!$J$3:$Q$351,8,FALSE)</f>
        <v>Outside Services</v>
      </c>
      <c r="M791" t="s">
        <v>83</v>
      </c>
      <c r="N791" t="s">
        <v>177</v>
      </c>
      <c r="O791" t="s">
        <v>178</v>
      </c>
    </row>
    <row r="792" spans="1:15" hidden="1" x14ac:dyDescent="0.35">
      <c r="A792">
        <v>1110556</v>
      </c>
      <c r="B792" t="s">
        <v>170</v>
      </c>
      <c r="C792">
        <v>600030</v>
      </c>
      <c r="D792" t="s">
        <v>110</v>
      </c>
      <c r="E792" s="81">
        <v>2</v>
      </c>
      <c r="F792" t="s">
        <v>23</v>
      </c>
      <c r="G792" s="55">
        <v>28</v>
      </c>
      <c r="H792" s="82">
        <v>28</v>
      </c>
      <c r="I792" s="83" t="str">
        <f>VLOOKUP(E792,[1]Mapping!$A$3:$B$14,2,FALSE)</f>
        <v>Aug</v>
      </c>
      <c r="J792" s="84">
        <f t="shared" si="24"/>
        <v>1110556</v>
      </c>
      <c r="K792" s="84">
        <f t="shared" si="25"/>
        <v>600030</v>
      </c>
      <c r="L792" s="61" t="str">
        <f>VLOOKUP(K792,[1]Mapping!$J$3:$Q$351,8,FALSE)</f>
        <v>Travel &amp; Entertainment</v>
      </c>
      <c r="M792" t="s">
        <v>83</v>
      </c>
      <c r="N792" t="s">
        <v>177</v>
      </c>
      <c r="O792" t="s">
        <v>178</v>
      </c>
    </row>
    <row r="793" spans="1:15" hidden="1" x14ac:dyDescent="0.35">
      <c r="A793">
        <v>1110556</v>
      </c>
      <c r="B793" t="s">
        <v>170</v>
      </c>
      <c r="C793">
        <v>600044</v>
      </c>
      <c r="D793" t="s">
        <v>111</v>
      </c>
      <c r="E793" s="81">
        <v>2</v>
      </c>
      <c r="F793" t="s">
        <v>23</v>
      </c>
      <c r="G793" s="55">
        <v>360.67</v>
      </c>
      <c r="H793" s="82">
        <v>360.67</v>
      </c>
      <c r="I793" s="83" t="str">
        <f>VLOOKUP(E793,[1]Mapping!$A$3:$B$14,2,FALSE)</f>
        <v>Aug</v>
      </c>
      <c r="J793" s="84">
        <f t="shared" si="24"/>
        <v>1110556</v>
      </c>
      <c r="K793" s="84">
        <f t="shared" si="25"/>
        <v>600044</v>
      </c>
      <c r="L793" s="61" t="str">
        <f>VLOOKUP(K793,[1]Mapping!$J$3:$Q$351,8,FALSE)</f>
        <v>Travel &amp; Entertainment</v>
      </c>
      <c r="M793" t="s">
        <v>83</v>
      </c>
      <c r="N793" t="s">
        <v>177</v>
      </c>
      <c r="O793" t="s">
        <v>178</v>
      </c>
    </row>
    <row r="794" spans="1:15" hidden="1" x14ac:dyDescent="0.35">
      <c r="A794">
        <v>1110556</v>
      </c>
      <c r="B794" t="s">
        <v>170</v>
      </c>
      <c r="C794">
        <v>600050</v>
      </c>
      <c r="D794" t="s">
        <v>101</v>
      </c>
      <c r="E794" s="81">
        <v>2</v>
      </c>
      <c r="F794" t="s">
        <v>23</v>
      </c>
      <c r="G794" s="55">
        <v>245</v>
      </c>
      <c r="H794" s="56">
        <v>245</v>
      </c>
      <c r="I794" s="83" t="str">
        <f>VLOOKUP(E794,[1]Mapping!$A$3:$B$14,2,FALSE)</f>
        <v>Aug</v>
      </c>
      <c r="J794" s="84">
        <f t="shared" si="24"/>
        <v>1110556</v>
      </c>
      <c r="K794" s="84">
        <f t="shared" si="25"/>
        <v>600050</v>
      </c>
      <c r="L794" s="61" t="str">
        <f>VLOOKUP(K794,[1]Mapping!$J$3:$Q$351,8,FALSE)</f>
        <v>Travel &amp; Entertainment</v>
      </c>
      <c r="M794" t="s">
        <v>83</v>
      </c>
    </row>
    <row r="795" spans="1:15" hidden="1" x14ac:dyDescent="0.35">
      <c r="A795">
        <v>1110556</v>
      </c>
      <c r="B795" t="s">
        <v>170</v>
      </c>
      <c r="C795">
        <v>600043</v>
      </c>
      <c r="D795" t="s">
        <v>102</v>
      </c>
      <c r="E795" s="81">
        <v>2</v>
      </c>
      <c r="F795" t="s">
        <v>23</v>
      </c>
      <c r="G795" s="55">
        <v>1905.5</v>
      </c>
      <c r="H795" s="56">
        <v>1905.5</v>
      </c>
      <c r="I795" s="83" t="str">
        <f>VLOOKUP(E795,[1]Mapping!$A$3:$B$14,2,FALSE)</f>
        <v>Aug</v>
      </c>
      <c r="J795" s="84">
        <f t="shared" ref="J795:J858" si="26">VALUE(A795)</f>
        <v>1110556</v>
      </c>
      <c r="K795" s="84">
        <f t="shared" ref="K795:K858" si="27">VALUE(C795)</f>
        <v>600043</v>
      </c>
      <c r="L795" s="61" t="str">
        <f>VLOOKUP(K795,[1]Mapping!$J$3:$Q$351,8,FALSE)</f>
        <v>Travel &amp; Entertainment</v>
      </c>
      <c r="M795" t="s">
        <v>83</v>
      </c>
    </row>
    <row r="796" spans="1:15" hidden="1" x14ac:dyDescent="0.35">
      <c r="A796">
        <v>1110556</v>
      </c>
      <c r="B796" t="s">
        <v>170</v>
      </c>
      <c r="C796">
        <v>600027</v>
      </c>
      <c r="D796" t="s">
        <v>112</v>
      </c>
      <c r="E796" s="81">
        <v>2</v>
      </c>
      <c r="F796" t="s">
        <v>23</v>
      </c>
      <c r="G796" s="55">
        <v>20.96</v>
      </c>
      <c r="H796" s="56">
        <v>20.96</v>
      </c>
      <c r="I796" s="83" t="str">
        <f>VLOOKUP(E796,[1]Mapping!$A$3:$B$14,2,FALSE)</f>
        <v>Aug</v>
      </c>
      <c r="J796" s="84">
        <f t="shared" si="26"/>
        <v>1110556</v>
      </c>
      <c r="K796" s="84">
        <f t="shared" si="27"/>
        <v>600027</v>
      </c>
      <c r="L796" s="61" t="str">
        <f>VLOOKUP(K796,[1]Mapping!$J$3:$Q$351,8,FALSE)</f>
        <v>Travel &amp; Entertainment</v>
      </c>
      <c r="M796" t="s">
        <v>83</v>
      </c>
    </row>
    <row r="797" spans="1:15" hidden="1" x14ac:dyDescent="0.35">
      <c r="A797">
        <v>1110556</v>
      </c>
      <c r="B797" t="s">
        <v>170</v>
      </c>
      <c r="C797">
        <v>600029</v>
      </c>
      <c r="D797" t="s">
        <v>113</v>
      </c>
      <c r="E797" s="81">
        <v>2</v>
      </c>
      <c r="F797" t="s">
        <v>23</v>
      </c>
      <c r="G797" s="55">
        <v>2995.92</v>
      </c>
      <c r="H797" s="56">
        <v>2995.92</v>
      </c>
      <c r="I797" s="83" t="str">
        <f>VLOOKUP(E797,[1]Mapping!$A$3:$B$14,2,FALSE)</f>
        <v>Aug</v>
      </c>
      <c r="J797" s="84">
        <f t="shared" si="26"/>
        <v>1110556</v>
      </c>
      <c r="K797" s="84">
        <f t="shared" si="27"/>
        <v>600029</v>
      </c>
      <c r="L797" s="61" t="str">
        <f>VLOOKUP(K797,[1]Mapping!$J$3:$Q$351,8,FALSE)</f>
        <v>Travel &amp; Entertainment</v>
      </c>
      <c r="M797" t="s">
        <v>83</v>
      </c>
    </row>
    <row r="798" spans="1:15" hidden="1" x14ac:dyDescent="0.35">
      <c r="A798">
        <v>1110556</v>
      </c>
      <c r="B798" t="s">
        <v>170</v>
      </c>
      <c r="C798">
        <v>600045</v>
      </c>
      <c r="D798" t="s">
        <v>127</v>
      </c>
      <c r="E798" s="81">
        <v>2</v>
      </c>
      <c r="F798" t="s">
        <v>23</v>
      </c>
      <c r="G798" s="55">
        <v>228.54</v>
      </c>
      <c r="H798" s="56">
        <v>228.54</v>
      </c>
      <c r="I798" s="83" t="str">
        <f>VLOOKUP(E798,[1]Mapping!$A$3:$B$14,2,FALSE)</f>
        <v>Aug</v>
      </c>
      <c r="J798" s="84">
        <f t="shared" si="26"/>
        <v>1110556</v>
      </c>
      <c r="K798" s="84">
        <f t="shared" si="27"/>
        <v>600045</v>
      </c>
      <c r="L798" s="61" t="str">
        <f>VLOOKUP(K798,[1]Mapping!$J$3:$Q$351,8,FALSE)</f>
        <v>Travel &amp; Entertainment</v>
      </c>
      <c r="M798" t="s">
        <v>83</v>
      </c>
    </row>
    <row r="799" spans="1:15" hidden="1" x14ac:dyDescent="0.35">
      <c r="A799">
        <v>1110556</v>
      </c>
      <c r="B799" t="s">
        <v>170</v>
      </c>
      <c r="C799">
        <v>501059</v>
      </c>
      <c r="D799" t="s">
        <v>138</v>
      </c>
      <c r="E799" s="81">
        <v>2</v>
      </c>
      <c r="F799" t="s">
        <v>21</v>
      </c>
      <c r="G799" s="55">
        <v>1450</v>
      </c>
      <c r="H799" s="56">
        <v>1450</v>
      </c>
      <c r="I799" s="83" t="str">
        <f>VLOOKUP(E799,[1]Mapping!$A$3:$B$14,2,FALSE)</f>
        <v>Aug</v>
      </c>
      <c r="J799" s="84">
        <f t="shared" si="26"/>
        <v>1110556</v>
      </c>
      <c r="K799" s="84">
        <f t="shared" si="27"/>
        <v>501059</v>
      </c>
      <c r="L799" s="61" t="str">
        <f>VLOOKUP(K799,[1]Mapping!$J$3:$Q$351,8,FALSE)</f>
        <v>Fringe Benefits</v>
      </c>
      <c r="M799" t="s">
        <v>83</v>
      </c>
    </row>
    <row r="800" spans="1:15" hidden="1" x14ac:dyDescent="0.35">
      <c r="A800">
        <v>1110556</v>
      </c>
      <c r="B800" t="s">
        <v>170</v>
      </c>
      <c r="C800">
        <v>600020</v>
      </c>
      <c r="D800" t="s">
        <v>91</v>
      </c>
      <c r="E800" s="81">
        <v>2</v>
      </c>
      <c r="F800" t="s">
        <v>21</v>
      </c>
      <c r="G800" s="55">
        <v>19659.57</v>
      </c>
      <c r="H800" s="56">
        <v>19659.57</v>
      </c>
      <c r="I800" s="83" t="str">
        <f>VLOOKUP(E800,[1]Mapping!$A$3:$B$14,2,FALSE)</f>
        <v>Aug</v>
      </c>
      <c r="J800" s="84">
        <f t="shared" si="26"/>
        <v>1110556</v>
      </c>
      <c r="K800" s="84">
        <f t="shared" si="27"/>
        <v>600020</v>
      </c>
      <c r="L800" s="61" t="str">
        <f>VLOOKUP(K800,[1]Mapping!$J$3:$Q$351,8,FALSE)</f>
        <v>Fringe Benefits</v>
      </c>
      <c r="M800" t="s">
        <v>83</v>
      </c>
    </row>
    <row r="801" spans="1:13" hidden="1" x14ac:dyDescent="0.35">
      <c r="A801">
        <v>1110556</v>
      </c>
      <c r="B801" t="s">
        <v>170</v>
      </c>
      <c r="C801">
        <v>600055</v>
      </c>
      <c r="D801" t="s">
        <v>92</v>
      </c>
      <c r="E801" s="81">
        <v>2</v>
      </c>
      <c r="F801" t="s">
        <v>21</v>
      </c>
      <c r="G801" s="55">
        <v>1572.7600000000002</v>
      </c>
      <c r="H801" s="56">
        <v>1572.7600000000002</v>
      </c>
      <c r="I801" s="83" t="str">
        <f>VLOOKUP(E801,[1]Mapping!$A$3:$B$14,2,FALSE)</f>
        <v>Aug</v>
      </c>
      <c r="J801" s="84">
        <f t="shared" si="26"/>
        <v>1110556</v>
      </c>
      <c r="K801" s="84">
        <f t="shared" si="27"/>
        <v>600055</v>
      </c>
      <c r="L801" s="61" t="str">
        <f>VLOOKUP(K801,[1]Mapping!$J$3:$Q$351,8,FALSE)</f>
        <v>Fringe Benefits</v>
      </c>
      <c r="M801" t="s">
        <v>83</v>
      </c>
    </row>
    <row r="802" spans="1:13" hidden="1" x14ac:dyDescent="0.35">
      <c r="A802">
        <v>1110556</v>
      </c>
      <c r="B802" t="s">
        <v>170</v>
      </c>
      <c r="C802">
        <v>501253</v>
      </c>
      <c r="D802" t="s">
        <v>171</v>
      </c>
      <c r="E802" s="81">
        <v>2</v>
      </c>
      <c r="F802" t="s">
        <v>27</v>
      </c>
      <c r="G802" s="55">
        <v>46857.57</v>
      </c>
      <c r="H802" s="56">
        <v>46857.57</v>
      </c>
      <c r="I802" s="83" t="str">
        <f>VLOOKUP(E802,[1]Mapping!$A$3:$B$14,2,FALSE)</f>
        <v>Aug</v>
      </c>
      <c r="J802" s="84">
        <f t="shared" si="26"/>
        <v>1110556</v>
      </c>
      <c r="K802" s="84">
        <f t="shared" si="27"/>
        <v>501253</v>
      </c>
      <c r="L802" s="61" t="str">
        <f>VLOOKUP(K802,[1]Mapping!$J$3:$Q$351,8,FALSE)</f>
        <v>Outside Services</v>
      </c>
      <c r="M802" t="s">
        <v>83</v>
      </c>
    </row>
    <row r="803" spans="1:13" hidden="1" x14ac:dyDescent="0.35">
      <c r="A803">
        <v>1110556</v>
      </c>
      <c r="B803" t="s">
        <v>170</v>
      </c>
      <c r="C803">
        <v>508002</v>
      </c>
      <c r="D803" t="s">
        <v>172</v>
      </c>
      <c r="E803" s="81">
        <v>2</v>
      </c>
      <c r="F803" t="s">
        <v>31</v>
      </c>
      <c r="G803" s="55">
        <v>107.33</v>
      </c>
      <c r="H803" s="56">
        <v>107.33</v>
      </c>
      <c r="I803" s="83" t="str">
        <f>VLOOKUP(E803,[1]Mapping!$A$3:$B$14,2,FALSE)</f>
        <v>Aug</v>
      </c>
      <c r="J803" s="84">
        <f t="shared" si="26"/>
        <v>1110556</v>
      </c>
      <c r="K803" s="84">
        <f t="shared" si="27"/>
        <v>508002</v>
      </c>
      <c r="L803" s="61" t="str">
        <f>VLOOKUP(K803,[1]Mapping!$J$3:$Q$351,8,FALSE)</f>
        <v>Depreciation</v>
      </c>
      <c r="M803" t="s">
        <v>83</v>
      </c>
    </row>
    <row r="804" spans="1:13" hidden="1" x14ac:dyDescent="0.35">
      <c r="A804">
        <v>1110556</v>
      </c>
      <c r="B804" t="s">
        <v>170</v>
      </c>
      <c r="C804">
        <v>600051</v>
      </c>
      <c r="D804" t="s">
        <v>157</v>
      </c>
      <c r="E804" s="81">
        <v>2</v>
      </c>
      <c r="F804" t="s">
        <v>23</v>
      </c>
      <c r="G804" s="55">
        <v>1181.5899999999999</v>
      </c>
      <c r="H804" s="56">
        <v>1181.5899999999999</v>
      </c>
      <c r="I804" s="83" t="str">
        <f>VLOOKUP(E804,[1]Mapping!$A$3:$B$14,2,FALSE)</f>
        <v>Aug</v>
      </c>
      <c r="J804" s="84">
        <f t="shared" si="26"/>
        <v>1110556</v>
      </c>
      <c r="K804" s="84">
        <f t="shared" si="27"/>
        <v>600051</v>
      </c>
      <c r="L804" s="61" t="str">
        <f>VLOOKUP(K804,[1]Mapping!$J$3:$Q$351,8,FALSE)</f>
        <v>Travel &amp; Entertainment</v>
      </c>
      <c r="M804" t="s">
        <v>83</v>
      </c>
    </row>
    <row r="805" spans="1:13" hidden="1" x14ac:dyDescent="0.35">
      <c r="A805">
        <v>1110556</v>
      </c>
      <c r="B805" t="s">
        <v>170</v>
      </c>
      <c r="C805">
        <v>501223</v>
      </c>
      <c r="D805" t="s">
        <v>51</v>
      </c>
      <c r="E805" s="81">
        <v>2</v>
      </c>
      <c r="F805" t="s">
        <v>34</v>
      </c>
      <c r="G805" s="55">
        <v>-59110.98</v>
      </c>
      <c r="H805" s="56">
        <v>-59110.98</v>
      </c>
      <c r="I805" s="83" t="str">
        <f>VLOOKUP(E805,[1]Mapping!$A$3:$B$14,2,FALSE)</f>
        <v>Aug</v>
      </c>
      <c r="J805" s="84">
        <f t="shared" si="26"/>
        <v>1110556</v>
      </c>
      <c r="K805" s="84">
        <f t="shared" si="27"/>
        <v>501223</v>
      </c>
      <c r="L805" s="61" t="str">
        <f>VLOOKUP(K805,[1]Mapping!$J$3:$Q$351,8,FALSE)</f>
        <v>Allocations</v>
      </c>
      <c r="M805" t="s">
        <v>83</v>
      </c>
    </row>
    <row r="806" spans="1:13" hidden="1" x14ac:dyDescent="0.35">
      <c r="A806">
        <v>1110556</v>
      </c>
      <c r="B806" t="s">
        <v>170</v>
      </c>
      <c r="C806">
        <v>600036</v>
      </c>
      <c r="D806" t="s">
        <v>173</v>
      </c>
      <c r="E806" s="81">
        <v>2</v>
      </c>
      <c r="F806" t="s">
        <v>22</v>
      </c>
      <c r="G806" s="55">
        <v>0</v>
      </c>
      <c r="H806" s="56">
        <v>0</v>
      </c>
      <c r="I806" s="83" t="str">
        <f>VLOOKUP(E806,[1]Mapping!$A$3:$B$14,2,FALSE)</f>
        <v>Aug</v>
      </c>
      <c r="J806" s="84">
        <f t="shared" si="26"/>
        <v>1110556</v>
      </c>
      <c r="K806" s="84">
        <f t="shared" si="27"/>
        <v>600036</v>
      </c>
      <c r="L806" s="61" t="str">
        <f>VLOOKUP(K806,[1]Mapping!$J$3:$Q$351,8,FALSE)</f>
        <v>Employee Related Expenses</v>
      </c>
      <c r="M806" t="s">
        <v>83</v>
      </c>
    </row>
    <row r="807" spans="1:13" hidden="1" x14ac:dyDescent="0.35">
      <c r="A807">
        <v>1110556</v>
      </c>
      <c r="B807" t="s">
        <v>170</v>
      </c>
      <c r="C807">
        <v>501070</v>
      </c>
      <c r="D807" t="s">
        <v>135</v>
      </c>
      <c r="E807" s="81">
        <v>2</v>
      </c>
      <c r="F807" t="s">
        <v>21</v>
      </c>
      <c r="G807" s="55">
        <v>-3780</v>
      </c>
      <c r="H807" s="56">
        <v>-3780</v>
      </c>
      <c r="I807" s="83" t="str">
        <f>VLOOKUP(E807,[1]Mapping!$A$3:$B$14,2,FALSE)</f>
        <v>Aug</v>
      </c>
      <c r="J807" s="84">
        <f t="shared" si="26"/>
        <v>1110556</v>
      </c>
      <c r="K807" s="84">
        <f t="shared" si="27"/>
        <v>501070</v>
      </c>
      <c r="L807" s="61" t="str">
        <f>VLOOKUP(K807,[1]Mapping!$J$3:$Q$351,8,FALSE)</f>
        <v>Fringe Benefits</v>
      </c>
      <c r="M807" t="s">
        <v>83</v>
      </c>
    </row>
    <row r="808" spans="1:13" hidden="1" x14ac:dyDescent="0.35">
      <c r="A808">
        <v>1110556</v>
      </c>
      <c r="B808" t="s">
        <v>170</v>
      </c>
      <c r="C808">
        <v>600046</v>
      </c>
      <c r="D808" t="s">
        <v>169</v>
      </c>
      <c r="E808" s="81">
        <v>2</v>
      </c>
      <c r="F808" t="s">
        <v>28</v>
      </c>
      <c r="G808" s="55">
        <v>46.8</v>
      </c>
      <c r="H808" s="56">
        <v>46.8</v>
      </c>
      <c r="I808" s="83" t="str">
        <f>VLOOKUP(E808,[1]Mapping!$A$3:$B$14,2,FALSE)</f>
        <v>Aug</v>
      </c>
      <c r="J808" s="84">
        <f t="shared" si="26"/>
        <v>1110556</v>
      </c>
      <c r="K808" s="84">
        <f t="shared" si="27"/>
        <v>600046</v>
      </c>
      <c r="L808" s="61" t="str">
        <f>VLOOKUP(K808,[1]Mapping!$J$3:$Q$351,8,FALSE)</f>
        <v>Inbound Freight</v>
      </c>
      <c r="M808" t="s">
        <v>83</v>
      </c>
    </row>
    <row r="809" spans="1:13" hidden="1" x14ac:dyDescent="0.35">
      <c r="A809">
        <v>1110556</v>
      </c>
      <c r="B809" t="s">
        <v>170</v>
      </c>
      <c r="C809">
        <v>607064</v>
      </c>
      <c r="D809" t="s">
        <v>174</v>
      </c>
      <c r="E809" s="81">
        <v>2</v>
      </c>
      <c r="F809" t="s">
        <v>24</v>
      </c>
      <c r="G809" s="55">
        <v>3614.42</v>
      </c>
      <c r="H809" s="56">
        <v>3614.42</v>
      </c>
      <c r="I809" s="83" t="str">
        <f>VLOOKUP(E809,[1]Mapping!$A$3:$B$14,2,FALSE)</f>
        <v>Aug</v>
      </c>
      <c r="J809" s="84">
        <f t="shared" si="26"/>
        <v>1110556</v>
      </c>
      <c r="K809" s="84">
        <f t="shared" si="27"/>
        <v>607064</v>
      </c>
      <c r="L809" s="61" t="str">
        <f>VLOOKUP(K809,[1]Mapping!$J$3:$Q$351,8,FALSE)</f>
        <v>Supplies Expenses</v>
      </c>
      <c r="M809" t="s">
        <v>83</v>
      </c>
    </row>
    <row r="810" spans="1:13" hidden="1" x14ac:dyDescent="0.35">
      <c r="A810">
        <v>1110556</v>
      </c>
      <c r="B810" t="s">
        <v>170</v>
      </c>
      <c r="C810">
        <v>501806</v>
      </c>
      <c r="D810" t="s">
        <v>200</v>
      </c>
      <c r="E810" s="81">
        <v>2</v>
      </c>
      <c r="F810" t="s">
        <v>22</v>
      </c>
      <c r="G810" s="55">
        <v>479</v>
      </c>
      <c r="H810" s="56">
        <v>479</v>
      </c>
      <c r="I810" s="83" t="str">
        <f>VLOOKUP(E810,[1]Mapping!$A$3:$B$14,2,FALSE)</f>
        <v>Aug</v>
      </c>
      <c r="J810" s="84">
        <f t="shared" si="26"/>
        <v>1110556</v>
      </c>
      <c r="K810" s="84">
        <f t="shared" si="27"/>
        <v>501806</v>
      </c>
      <c r="L810" s="61" t="str">
        <f>VLOOKUP(K810,[1]Mapping!$J$3:$Q$351,8,FALSE)</f>
        <v>Employee Related Expenses</v>
      </c>
      <c r="M810" t="s">
        <v>83</v>
      </c>
    </row>
    <row r="811" spans="1:13" hidden="1" x14ac:dyDescent="0.35">
      <c r="A811">
        <v>1110073</v>
      </c>
      <c r="B811" t="s">
        <v>175</v>
      </c>
      <c r="C811">
        <v>501050</v>
      </c>
      <c r="D811" t="s">
        <v>39</v>
      </c>
      <c r="E811" s="81">
        <v>2</v>
      </c>
      <c r="F811" t="s">
        <v>19</v>
      </c>
      <c r="G811" s="55">
        <v>161106.43000000002</v>
      </c>
      <c r="H811" s="56">
        <v>161106.43000000002</v>
      </c>
      <c r="I811" s="83" t="str">
        <f>VLOOKUP(E811,[1]Mapping!$A$3:$B$14,2,FALSE)</f>
        <v>Aug</v>
      </c>
      <c r="J811" s="84">
        <f t="shared" si="26"/>
        <v>1110073</v>
      </c>
      <c r="K811" s="84">
        <f t="shared" si="27"/>
        <v>501050</v>
      </c>
      <c r="L811" s="61" t="str">
        <f>VLOOKUP(K811,[1]Mapping!$J$3:$Q$351,8,FALSE)</f>
        <v>Wages &amp; Salaries</v>
      </c>
      <c r="M811" t="s">
        <v>83</v>
      </c>
    </row>
    <row r="812" spans="1:13" hidden="1" x14ac:dyDescent="0.35">
      <c r="A812">
        <v>1110073</v>
      </c>
      <c r="B812" t="s">
        <v>175</v>
      </c>
      <c r="C812">
        <v>501058</v>
      </c>
      <c r="D812" t="s">
        <v>122</v>
      </c>
      <c r="E812" s="81">
        <v>2</v>
      </c>
      <c r="F812" t="s">
        <v>21</v>
      </c>
      <c r="G812" s="55">
        <v>11517.310000000001</v>
      </c>
      <c r="H812" s="56">
        <v>11517.310000000001</v>
      </c>
      <c r="I812" s="83" t="str">
        <f>VLOOKUP(E812,[1]Mapping!$A$3:$B$14,2,FALSE)</f>
        <v>Aug</v>
      </c>
      <c r="J812" s="84">
        <f t="shared" si="26"/>
        <v>1110073</v>
      </c>
      <c r="K812" s="84">
        <f t="shared" si="27"/>
        <v>501058</v>
      </c>
      <c r="L812" s="61" t="str">
        <f>VLOOKUP(K812,[1]Mapping!$J$3:$Q$351,8,FALSE)</f>
        <v>Fringe Benefits</v>
      </c>
      <c r="M812" t="s">
        <v>83</v>
      </c>
    </row>
    <row r="813" spans="1:13" hidden="1" x14ac:dyDescent="0.35">
      <c r="A813">
        <v>1110073</v>
      </c>
      <c r="B813" t="s">
        <v>175</v>
      </c>
      <c r="C813">
        <v>501062</v>
      </c>
      <c r="D813" t="s">
        <v>41</v>
      </c>
      <c r="E813" s="81">
        <v>2</v>
      </c>
      <c r="F813" t="s">
        <v>21</v>
      </c>
      <c r="G813" s="55">
        <v>274.53999999999996</v>
      </c>
      <c r="H813" s="56">
        <v>274.53999999999996</v>
      </c>
      <c r="I813" s="83" t="str">
        <f>VLOOKUP(E813,[1]Mapping!$A$3:$B$14,2,FALSE)</f>
        <v>Aug</v>
      </c>
      <c r="J813" s="84">
        <f t="shared" si="26"/>
        <v>1110073</v>
      </c>
      <c r="K813" s="84">
        <f t="shared" si="27"/>
        <v>501062</v>
      </c>
      <c r="L813" s="61" t="str">
        <f>VLOOKUP(K813,[1]Mapping!$J$3:$Q$351,8,FALSE)</f>
        <v>Fringe Benefits</v>
      </c>
      <c r="M813" t="s">
        <v>83</v>
      </c>
    </row>
    <row r="814" spans="1:13" hidden="1" x14ac:dyDescent="0.35">
      <c r="A814">
        <v>1110073</v>
      </c>
      <c r="B814" t="s">
        <v>175</v>
      </c>
      <c r="C814">
        <v>501063</v>
      </c>
      <c r="D814" t="s">
        <v>123</v>
      </c>
      <c r="E814" s="81">
        <v>2</v>
      </c>
      <c r="F814" t="s">
        <v>21</v>
      </c>
      <c r="G814" s="55">
        <v>17850.080000000002</v>
      </c>
      <c r="H814" s="56">
        <v>17850.080000000002</v>
      </c>
      <c r="I814" s="83" t="str">
        <f>VLOOKUP(E814,[1]Mapping!$A$3:$B$14,2,FALSE)</f>
        <v>Aug</v>
      </c>
      <c r="J814" s="84">
        <f t="shared" si="26"/>
        <v>1110073</v>
      </c>
      <c r="K814" s="84">
        <f t="shared" si="27"/>
        <v>501063</v>
      </c>
      <c r="L814" s="61" t="str">
        <f>VLOOKUP(K814,[1]Mapping!$J$3:$Q$351,8,FALSE)</f>
        <v>Fringe Benefits</v>
      </c>
      <c r="M814" t="s">
        <v>83</v>
      </c>
    </row>
    <row r="815" spans="1:13" hidden="1" x14ac:dyDescent="0.35">
      <c r="A815">
        <v>1110073</v>
      </c>
      <c r="B815" t="s">
        <v>175</v>
      </c>
      <c r="C815">
        <v>501065</v>
      </c>
      <c r="D815" t="s">
        <v>124</v>
      </c>
      <c r="E815" s="81">
        <v>2</v>
      </c>
      <c r="F815" t="s">
        <v>21</v>
      </c>
      <c r="G815" s="55">
        <v>386.64000000000004</v>
      </c>
      <c r="H815" s="56">
        <v>386.64000000000004</v>
      </c>
      <c r="I815" s="83" t="str">
        <f>VLOOKUP(E815,[1]Mapping!$A$3:$B$14,2,FALSE)</f>
        <v>Aug</v>
      </c>
      <c r="J815" s="84">
        <f t="shared" si="26"/>
        <v>1110073</v>
      </c>
      <c r="K815" s="84">
        <f t="shared" si="27"/>
        <v>501065</v>
      </c>
      <c r="L815" s="61" t="str">
        <f>VLOOKUP(K815,[1]Mapping!$J$3:$Q$351,8,FALSE)</f>
        <v>Fringe Benefits</v>
      </c>
      <c r="M815" t="s">
        <v>83</v>
      </c>
    </row>
    <row r="816" spans="1:13" hidden="1" x14ac:dyDescent="0.35">
      <c r="A816">
        <v>1110073</v>
      </c>
      <c r="B816" t="s">
        <v>175</v>
      </c>
      <c r="C816">
        <v>501069</v>
      </c>
      <c r="D816" t="s">
        <v>125</v>
      </c>
      <c r="E816" s="81">
        <v>2</v>
      </c>
      <c r="F816" t="s">
        <v>21</v>
      </c>
      <c r="G816" s="55">
        <v>5619.7</v>
      </c>
      <c r="H816" s="56">
        <v>5619.7</v>
      </c>
      <c r="I816" s="83" t="str">
        <f>VLOOKUP(E816,[1]Mapping!$A$3:$B$14,2,FALSE)</f>
        <v>Aug</v>
      </c>
      <c r="J816" s="84">
        <f t="shared" si="26"/>
        <v>1110073</v>
      </c>
      <c r="K816" s="84">
        <f t="shared" si="27"/>
        <v>501069</v>
      </c>
      <c r="L816" s="61" t="str">
        <f>VLOOKUP(K816,[1]Mapping!$J$3:$Q$351,8,FALSE)</f>
        <v>Fringe Benefits</v>
      </c>
      <c r="M816" t="s">
        <v>83</v>
      </c>
    </row>
    <row r="817" spans="1:13" hidden="1" x14ac:dyDescent="0.35">
      <c r="A817">
        <v>1110073</v>
      </c>
      <c r="B817" t="s">
        <v>175</v>
      </c>
      <c r="C817">
        <v>600043</v>
      </c>
      <c r="D817" t="s">
        <v>102</v>
      </c>
      <c r="E817" s="81">
        <v>2</v>
      </c>
      <c r="F817" t="s">
        <v>23</v>
      </c>
      <c r="G817" s="55">
        <v>1672.02</v>
      </c>
      <c r="H817" s="56">
        <v>1672.02</v>
      </c>
      <c r="I817" s="83" t="str">
        <f>VLOOKUP(E817,[1]Mapping!$A$3:$B$14,2,FALSE)</f>
        <v>Aug</v>
      </c>
      <c r="J817" s="84">
        <f t="shared" si="26"/>
        <v>1110073</v>
      </c>
      <c r="K817" s="84">
        <f t="shared" si="27"/>
        <v>600043</v>
      </c>
      <c r="L817" s="61" t="str">
        <f>VLOOKUP(K817,[1]Mapping!$J$3:$Q$351,8,FALSE)</f>
        <v>Travel &amp; Entertainment</v>
      </c>
      <c r="M817" t="s">
        <v>83</v>
      </c>
    </row>
    <row r="818" spans="1:13" hidden="1" x14ac:dyDescent="0.35">
      <c r="A818">
        <v>1110073</v>
      </c>
      <c r="B818" t="s">
        <v>175</v>
      </c>
      <c r="C818">
        <v>501709</v>
      </c>
      <c r="D818" t="s">
        <v>85</v>
      </c>
      <c r="E818" s="81">
        <v>2</v>
      </c>
      <c r="F818" t="s">
        <v>27</v>
      </c>
      <c r="G818" s="55">
        <v>27774.7</v>
      </c>
      <c r="H818" s="56">
        <v>27774.7</v>
      </c>
      <c r="I818" s="83" t="str">
        <f>VLOOKUP(E818,[1]Mapping!$A$3:$B$14,2,FALSE)</f>
        <v>Aug</v>
      </c>
      <c r="J818" s="84">
        <f t="shared" si="26"/>
        <v>1110073</v>
      </c>
      <c r="K818" s="84">
        <f t="shared" si="27"/>
        <v>501709</v>
      </c>
      <c r="L818" s="61" t="str">
        <f>VLOOKUP(K818,[1]Mapping!$J$3:$Q$351,8,FALSE)</f>
        <v>Outside Services</v>
      </c>
      <c r="M818" t="s">
        <v>83</v>
      </c>
    </row>
    <row r="819" spans="1:13" hidden="1" x14ac:dyDescent="0.35">
      <c r="A819">
        <v>1110073</v>
      </c>
      <c r="B819" t="s">
        <v>175</v>
      </c>
      <c r="C819">
        <v>501017</v>
      </c>
      <c r="D819" t="s">
        <v>176</v>
      </c>
      <c r="E819" s="81">
        <v>2</v>
      </c>
      <c r="F819" t="s">
        <v>21</v>
      </c>
      <c r="G819" s="55">
        <v>-216.03</v>
      </c>
      <c r="H819" s="56">
        <v>-216.03</v>
      </c>
      <c r="I819" s="83" t="str">
        <f>VLOOKUP(E819,[1]Mapping!$A$3:$B$14,2,FALSE)</f>
        <v>Aug</v>
      </c>
      <c r="J819" s="84">
        <f t="shared" si="26"/>
        <v>1110073</v>
      </c>
      <c r="K819" s="84">
        <f t="shared" si="27"/>
        <v>501017</v>
      </c>
      <c r="L819" s="61" t="str">
        <f>VLOOKUP(K819,[1]Mapping!$J$3:$Q$351,8,FALSE)</f>
        <v>Fringe Benefits</v>
      </c>
      <c r="M819" t="s">
        <v>83</v>
      </c>
    </row>
    <row r="820" spans="1:13" hidden="1" x14ac:dyDescent="0.35">
      <c r="A820">
        <v>1110073</v>
      </c>
      <c r="B820" t="s">
        <v>175</v>
      </c>
      <c r="C820">
        <v>607130</v>
      </c>
      <c r="D820" t="s">
        <v>155</v>
      </c>
      <c r="E820" s="81">
        <v>2</v>
      </c>
      <c r="F820" t="s">
        <v>29</v>
      </c>
      <c r="G820" s="55">
        <v>18.3</v>
      </c>
      <c r="H820" s="56">
        <v>18.3</v>
      </c>
      <c r="I820" s="83" t="str">
        <f>VLOOKUP(E820,[1]Mapping!$A$3:$B$14,2,FALSE)</f>
        <v>Aug</v>
      </c>
      <c r="J820" s="84">
        <f t="shared" si="26"/>
        <v>1110073</v>
      </c>
      <c r="K820" s="84">
        <f t="shared" si="27"/>
        <v>607130</v>
      </c>
      <c r="L820" s="61" t="str">
        <f>VLOOKUP(K820,[1]Mapping!$J$3:$Q$351,8,FALSE)</f>
        <v>Other</v>
      </c>
      <c r="M820" t="s">
        <v>83</v>
      </c>
    </row>
    <row r="821" spans="1:13" hidden="1" x14ac:dyDescent="0.35">
      <c r="A821">
        <v>1110073</v>
      </c>
      <c r="B821" t="s">
        <v>175</v>
      </c>
      <c r="C821">
        <v>600020</v>
      </c>
      <c r="D821" t="s">
        <v>91</v>
      </c>
      <c r="E821" s="81">
        <v>2</v>
      </c>
      <c r="F821" t="s">
        <v>21</v>
      </c>
      <c r="G821" s="55">
        <v>20605.349999999999</v>
      </c>
      <c r="H821" s="56">
        <v>20605.349999999999</v>
      </c>
      <c r="I821" s="83" t="str">
        <f>VLOOKUP(E821,[1]Mapping!$A$3:$B$14,2,FALSE)</f>
        <v>Aug</v>
      </c>
      <c r="J821" s="84">
        <f t="shared" si="26"/>
        <v>1110073</v>
      </c>
      <c r="K821" s="84">
        <f t="shared" si="27"/>
        <v>600020</v>
      </c>
      <c r="L821" s="61" t="str">
        <f>VLOOKUP(K821,[1]Mapping!$J$3:$Q$351,8,FALSE)</f>
        <v>Fringe Benefits</v>
      </c>
      <c r="M821" t="s">
        <v>83</v>
      </c>
    </row>
    <row r="822" spans="1:13" hidden="1" x14ac:dyDescent="0.35">
      <c r="A822">
        <v>1110073</v>
      </c>
      <c r="B822" t="s">
        <v>175</v>
      </c>
      <c r="C822">
        <v>600055</v>
      </c>
      <c r="D822" t="s">
        <v>92</v>
      </c>
      <c r="E822" s="81">
        <v>2</v>
      </c>
      <c r="F822" t="s">
        <v>21</v>
      </c>
      <c r="G822" s="55">
        <v>1648.43</v>
      </c>
      <c r="H822" s="56">
        <v>1648.43</v>
      </c>
      <c r="I822" s="83" t="str">
        <f>VLOOKUP(E822,[1]Mapping!$A$3:$B$14,2,FALSE)</f>
        <v>Aug</v>
      </c>
      <c r="J822" s="84">
        <f t="shared" si="26"/>
        <v>1110073</v>
      </c>
      <c r="K822" s="84">
        <f t="shared" si="27"/>
        <v>600055</v>
      </c>
      <c r="L822" s="61" t="str">
        <f>VLOOKUP(K822,[1]Mapping!$J$3:$Q$351,8,FALSE)</f>
        <v>Fringe Benefits</v>
      </c>
      <c r="M822" t="s">
        <v>83</v>
      </c>
    </row>
    <row r="823" spans="1:13" hidden="1" x14ac:dyDescent="0.35">
      <c r="A823">
        <v>1110073</v>
      </c>
      <c r="B823" t="s">
        <v>175</v>
      </c>
      <c r="C823">
        <v>501223</v>
      </c>
      <c r="D823" t="s">
        <v>51</v>
      </c>
      <c r="E823" s="81">
        <v>2</v>
      </c>
      <c r="F823" t="s">
        <v>34</v>
      </c>
      <c r="G823" s="55">
        <v>-11197.46</v>
      </c>
      <c r="H823" s="56">
        <v>-11197.46</v>
      </c>
      <c r="I823" s="83" t="str">
        <f>VLOOKUP(E823,[1]Mapping!$A$3:$B$14,2,FALSE)</f>
        <v>Aug</v>
      </c>
      <c r="J823" s="84">
        <f t="shared" si="26"/>
        <v>1110073</v>
      </c>
      <c r="K823" s="84">
        <f t="shared" si="27"/>
        <v>501223</v>
      </c>
      <c r="L823" s="61" t="str">
        <f>VLOOKUP(K823,[1]Mapping!$J$3:$Q$351,8,FALSE)</f>
        <v>Allocations</v>
      </c>
      <c r="M823" t="s">
        <v>83</v>
      </c>
    </row>
    <row r="824" spans="1:13" hidden="1" x14ac:dyDescent="0.35">
      <c r="A824">
        <v>1110073</v>
      </c>
      <c r="B824" t="s">
        <v>175</v>
      </c>
      <c r="C824">
        <v>501070</v>
      </c>
      <c r="D824" t="s">
        <v>135</v>
      </c>
      <c r="E824" s="81">
        <v>2</v>
      </c>
      <c r="F824" t="s">
        <v>21</v>
      </c>
      <c r="G824" s="55">
        <v>-3780</v>
      </c>
      <c r="H824" s="56">
        <v>-3780</v>
      </c>
      <c r="I824" s="83" t="str">
        <f>VLOOKUP(E824,[1]Mapping!$A$3:$B$14,2,FALSE)</f>
        <v>Aug</v>
      </c>
      <c r="J824" s="84">
        <f t="shared" si="26"/>
        <v>1110073</v>
      </c>
      <c r="K824" s="84">
        <f t="shared" si="27"/>
        <v>501070</v>
      </c>
      <c r="L824" s="61" t="str">
        <f>VLOOKUP(K824,[1]Mapping!$J$3:$Q$351,8,FALSE)</f>
        <v>Fringe Benefits</v>
      </c>
      <c r="M824" t="s">
        <v>83</v>
      </c>
    </row>
    <row r="825" spans="1:13" hidden="1" x14ac:dyDescent="0.35">
      <c r="A825">
        <v>1110080</v>
      </c>
      <c r="B825" t="s">
        <v>179</v>
      </c>
      <c r="C825">
        <v>501050</v>
      </c>
      <c r="D825" t="s">
        <v>39</v>
      </c>
      <c r="E825" s="81">
        <v>2</v>
      </c>
      <c r="F825" t="s">
        <v>19</v>
      </c>
      <c r="G825" s="55">
        <v>80602</v>
      </c>
      <c r="H825" s="56">
        <v>80602</v>
      </c>
      <c r="I825" s="83" t="str">
        <f>VLOOKUP(E825,[1]Mapping!$A$3:$B$14,2,FALSE)</f>
        <v>Aug</v>
      </c>
      <c r="J825" s="84">
        <f t="shared" si="26"/>
        <v>1110080</v>
      </c>
      <c r="K825" s="84">
        <f t="shared" si="27"/>
        <v>501050</v>
      </c>
      <c r="L825" s="61" t="str">
        <f>VLOOKUP(K825,[1]Mapping!$J$3:$Q$351,8,FALSE)</f>
        <v>Wages &amp; Salaries</v>
      </c>
      <c r="M825" t="s">
        <v>83</v>
      </c>
    </row>
    <row r="826" spans="1:13" hidden="1" x14ac:dyDescent="0.35">
      <c r="A826">
        <v>1110080</v>
      </c>
      <c r="B826" t="s">
        <v>179</v>
      </c>
      <c r="C826">
        <v>501058</v>
      </c>
      <c r="D826" t="s">
        <v>122</v>
      </c>
      <c r="E826" s="81">
        <v>2</v>
      </c>
      <c r="F826" t="s">
        <v>21</v>
      </c>
      <c r="G826" s="55">
        <v>5991.38</v>
      </c>
      <c r="H826" s="56">
        <v>5991.38</v>
      </c>
      <c r="I826" s="83" t="str">
        <f>VLOOKUP(E826,[1]Mapping!$A$3:$B$14,2,FALSE)</f>
        <v>Aug</v>
      </c>
      <c r="J826" s="84">
        <f t="shared" si="26"/>
        <v>1110080</v>
      </c>
      <c r="K826" s="84">
        <f t="shared" si="27"/>
        <v>501058</v>
      </c>
      <c r="L826" s="61" t="str">
        <f>VLOOKUP(K826,[1]Mapping!$J$3:$Q$351,8,FALSE)</f>
        <v>Fringe Benefits</v>
      </c>
      <c r="M826" t="s">
        <v>83</v>
      </c>
    </row>
    <row r="827" spans="1:13" hidden="1" x14ac:dyDescent="0.35">
      <c r="A827">
        <v>1110080</v>
      </c>
      <c r="B827" t="s">
        <v>179</v>
      </c>
      <c r="C827">
        <v>501062</v>
      </c>
      <c r="D827" t="s">
        <v>41</v>
      </c>
      <c r="E827" s="81">
        <v>2</v>
      </c>
      <c r="F827" t="s">
        <v>21</v>
      </c>
      <c r="G827" s="55">
        <v>140.13999999999999</v>
      </c>
      <c r="H827" s="56">
        <v>140.13999999999999</v>
      </c>
      <c r="I827" s="83" t="str">
        <f>VLOOKUP(E827,[1]Mapping!$A$3:$B$14,2,FALSE)</f>
        <v>Aug</v>
      </c>
      <c r="J827" s="84">
        <f t="shared" si="26"/>
        <v>1110080</v>
      </c>
      <c r="K827" s="84">
        <f t="shared" si="27"/>
        <v>501062</v>
      </c>
      <c r="L827" s="61" t="str">
        <f>VLOOKUP(K827,[1]Mapping!$J$3:$Q$351,8,FALSE)</f>
        <v>Fringe Benefits</v>
      </c>
      <c r="M827" t="s">
        <v>83</v>
      </c>
    </row>
    <row r="828" spans="1:13" hidden="1" x14ac:dyDescent="0.35">
      <c r="A828">
        <v>1110080</v>
      </c>
      <c r="B828" t="s">
        <v>179</v>
      </c>
      <c r="C828">
        <v>501063</v>
      </c>
      <c r="D828" t="s">
        <v>123</v>
      </c>
      <c r="E828" s="81">
        <v>2</v>
      </c>
      <c r="F828" t="s">
        <v>21</v>
      </c>
      <c r="G828" s="55">
        <v>4511.09</v>
      </c>
      <c r="H828" s="56">
        <v>4511.09</v>
      </c>
      <c r="I828" s="83" t="str">
        <f>VLOOKUP(E828,[1]Mapping!$A$3:$B$14,2,FALSE)</f>
        <v>Aug</v>
      </c>
      <c r="J828" s="84">
        <f t="shared" si="26"/>
        <v>1110080</v>
      </c>
      <c r="K828" s="84">
        <f t="shared" si="27"/>
        <v>501063</v>
      </c>
      <c r="L828" s="61" t="str">
        <f>VLOOKUP(K828,[1]Mapping!$J$3:$Q$351,8,FALSE)</f>
        <v>Fringe Benefits</v>
      </c>
      <c r="M828" t="s">
        <v>83</v>
      </c>
    </row>
    <row r="829" spans="1:13" hidden="1" x14ac:dyDescent="0.35">
      <c r="A829">
        <v>1110080</v>
      </c>
      <c r="B829" t="s">
        <v>179</v>
      </c>
      <c r="C829">
        <v>501065</v>
      </c>
      <c r="D829" t="s">
        <v>124</v>
      </c>
      <c r="E829" s="81">
        <v>2</v>
      </c>
      <c r="F829" t="s">
        <v>21</v>
      </c>
      <c r="G829" s="55">
        <v>186.76000000000002</v>
      </c>
      <c r="H829" s="56">
        <v>186.76000000000002</v>
      </c>
      <c r="I829" s="83" t="str">
        <f>VLOOKUP(E829,[1]Mapping!$A$3:$B$14,2,FALSE)</f>
        <v>Aug</v>
      </c>
      <c r="J829" s="84">
        <f t="shared" si="26"/>
        <v>1110080</v>
      </c>
      <c r="K829" s="84">
        <f t="shared" si="27"/>
        <v>501065</v>
      </c>
      <c r="L829" s="61" t="str">
        <f>VLOOKUP(K829,[1]Mapping!$J$3:$Q$351,8,FALSE)</f>
        <v>Fringe Benefits</v>
      </c>
      <c r="M829" t="s">
        <v>83</v>
      </c>
    </row>
    <row r="830" spans="1:13" hidden="1" x14ac:dyDescent="0.35">
      <c r="A830">
        <v>1110080</v>
      </c>
      <c r="B830" t="s">
        <v>179</v>
      </c>
      <c r="C830">
        <v>501069</v>
      </c>
      <c r="D830" t="s">
        <v>125</v>
      </c>
      <c r="E830" s="81">
        <v>2</v>
      </c>
      <c r="F830" t="s">
        <v>21</v>
      </c>
      <c r="G830" s="55">
        <v>3886.6600000000003</v>
      </c>
      <c r="H830" s="56">
        <v>3886.6600000000003</v>
      </c>
      <c r="I830" s="83" t="str">
        <f>VLOOKUP(E830,[1]Mapping!$A$3:$B$14,2,FALSE)</f>
        <v>Aug</v>
      </c>
      <c r="J830" s="84">
        <f t="shared" si="26"/>
        <v>1110080</v>
      </c>
      <c r="K830" s="84">
        <f t="shared" si="27"/>
        <v>501069</v>
      </c>
      <c r="L830" s="61" t="str">
        <f>VLOOKUP(K830,[1]Mapping!$J$3:$Q$351,8,FALSE)</f>
        <v>Fringe Benefits</v>
      </c>
      <c r="M830" t="s">
        <v>83</v>
      </c>
    </row>
    <row r="831" spans="1:13" hidden="1" x14ac:dyDescent="0.35">
      <c r="A831">
        <v>1110080</v>
      </c>
      <c r="B831" t="s">
        <v>179</v>
      </c>
      <c r="C831">
        <v>501059</v>
      </c>
      <c r="D831" t="s">
        <v>138</v>
      </c>
      <c r="E831" s="81">
        <v>2</v>
      </c>
      <c r="F831" t="s">
        <v>21</v>
      </c>
      <c r="G831" s="55">
        <v>2000</v>
      </c>
      <c r="H831" s="56">
        <v>2000</v>
      </c>
      <c r="I831" s="83" t="str">
        <f>VLOOKUP(E831,[1]Mapping!$A$3:$B$14,2,FALSE)</f>
        <v>Aug</v>
      </c>
      <c r="J831" s="84">
        <f t="shared" si="26"/>
        <v>1110080</v>
      </c>
      <c r="K831" s="84">
        <f t="shared" si="27"/>
        <v>501059</v>
      </c>
      <c r="L831" s="61" t="str">
        <f>VLOOKUP(K831,[1]Mapping!$J$3:$Q$351,8,FALSE)</f>
        <v>Fringe Benefits</v>
      </c>
      <c r="M831" t="s">
        <v>83</v>
      </c>
    </row>
    <row r="832" spans="1:13" hidden="1" x14ac:dyDescent="0.35">
      <c r="A832">
        <v>1110080</v>
      </c>
      <c r="B832" t="s">
        <v>179</v>
      </c>
      <c r="C832">
        <v>600020</v>
      </c>
      <c r="D832" t="s">
        <v>91</v>
      </c>
      <c r="E832" s="81">
        <v>2</v>
      </c>
      <c r="F832" t="s">
        <v>21</v>
      </c>
      <c r="G832" s="55">
        <v>10756.009999999998</v>
      </c>
      <c r="H832" s="56">
        <v>10756.009999999998</v>
      </c>
      <c r="I832" s="83" t="str">
        <f>VLOOKUP(E832,[1]Mapping!$A$3:$B$14,2,FALSE)</f>
        <v>Aug</v>
      </c>
      <c r="J832" s="84">
        <f t="shared" si="26"/>
        <v>1110080</v>
      </c>
      <c r="K832" s="84">
        <f t="shared" si="27"/>
        <v>600020</v>
      </c>
      <c r="L832" s="61" t="str">
        <f>VLOOKUP(K832,[1]Mapping!$J$3:$Q$351,8,FALSE)</f>
        <v>Fringe Benefits</v>
      </c>
      <c r="M832" t="s">
        <v>83</v>
      </c>
    </row>
    <row r="833" spans="1:13" hidden="1" x14ac:dyDescent="0.35">
      <c r="A833">
        <v>1110080</v>
      </c>
      <c r="B833" t="s">
        <v>179</v>
      </c>
      <c r="C833">
        <v>600055</v>
      </c>
      <c r="D833" t="s">
        <v>92</v>
      </c>
      <c r="E833" s="81">
        <v>2</v>
      </c>
      <c r="F833" t="s">
        <v>21</v>
      </c>
      <c r="G833" s="55">
        <v>860.48</v>
      </c>
      <c r="H833" s="56">
        <v>860.48</v>
      </c>
      <c r="I833" s="83" t="str">
        <f>VLOOKUP(E833,[1]Mapping!$A$3:$B$14,2,FALSE)</f>
        <v>Aug</v>
      </c>
      <c r="J833" s="84">
        <f t="shared" si="26"/>
        <v>1110080</v>
      </c>
      <c r="K833" s="84">
        <f t="shared" si="27"/>
        <v>600055</v>
      </c>
      <c r="L833" s="61" t="str">
        <f>VLOOKUP(K833,[1]Mapping!$J$3:$Q$351,8,FALSE)</f>
        <v>Fringe Benefits</v>
      </c>
      <c r="M833" t="s">
        <v>83</v>
      </c>
    </row>
    <row r="834" spans="1:13" hidden="1" x14ac:dyDescent="0.35">
      <c r="A834">
        <v>1110080</v>
      </c>
      <c r="B834" t="s">
        <v>179</v>
      </c>
      <c r="C834">
        <v>501070</v>
      </c>
      <c r="D834" t="s">
        <v>135</v>
      </c>
      <c r="E834" s="81">
        <v>2</v>
      </c>
      <c r="F834" t="s">
        <v>21</v>
      </c>
      <c r="G834" s="55">
        <v>-1050</v>
      </c>
      <c r="H834" s="56">
        <v>-1050</v>
      </c>
      <c r="I834" s="83" t="str">
        <f>VLOOKUP(E834,[1]Mapping!$A$3:$B$14,2,FALSE)</f>
        <v>Aug</v>
      </c>
      <c r="J834" s="84">
        <f t="shared" si="26"/>
        <v>1110080</v>
      </c>
      <c r="K834" s="84">
        <f t="shared" si="27"/>
        <v>501070</v>
      </c>
      <c r="L834" s="61" t="str">
        <f>VLOOKUP(K834,[1]Mapping!$J$3:$Q$351,8,FALSE)</f>
        <v>Fringe Benefits</v>
      </c>
      <c r="M834" t="s">
        <v>83</v>
      </c>
    </row>
    <row r="835" spans="1:13" hidden="1" x14ac:dyDescent="0.35">
      <c r="A835">
        <v>27110138</v>
      </c>
      <c r="B835" t="s">
        <v>182</v>
      </c>
      <c r="C835">
        <v>501613</v>
      </c>
      <c r="D835" t="s">
        <v>149</v>
      </c>
      <c r="E835" s="81">
        <v>2</v>
      </c>
      <c r="F835" t="s">
        <v>24</v>
      </c>
      <c r="G835" s="55">
        <v>1196.56</v>
      </c>
      <c r="H835" s="56">
        <v>1196.56</v>
      </c>
      <c r="I835" s="83" t="str">
        <f>VLOOKUP(E835,[1]Mapping!$A$3:$B$14,2,FALSE)</f>
        <v>Aug</v>
      </c>
      <c r="J835" s="84">
        <f t="shared" si="26"/>
        <v>27110138</v>
      </c>
      <c r="K835" s="84">
        <f t="shared" si="27"/>
        <v>501613</v>
      </c>
      <c r="L835" s="61" t="str">
        <f>VLOOKUP(K835,[1]Mapping!$J$3:$Q$351,8,FALSE)</f>
        <v>Supplies Expenses</v>
      </c>
      <c r="M835" t="s">
        <v>83</v>
      </c>
    </row>
    <row r="836" spans="1:13" hidden="1" x14ac:dyDescent="0.35">
      <c r="A836">
        <v>27110138</v>
      </c>
      <c r="B836" t="s">
        <v>182</v>
      </c>
      <c r="C836">
        <v>501716</v>
      </c>
      <c r="D836" t="s">
        <v>139</v>
      </c>
      <c r="E836" s="81">
        <v>2</v>
      </c>
      <c r="F836" t="s">
        <v>117</v>
      </c>
      <c r="G836" s="55">
        <v>-1196.56</v>
      </c>
      <c r="H836" s="56">
        <v>-1196.56</v>
      </c>
      <c r="I836" s="83" t="str">
        <f>VLOOKUP(E836,[1]Mapping!$A$3:$B$14,2,FALSE)</f>
        <v>Aug</v>
      </c>
      <c r="J836" s="84">
        <f t="shared" si="26"/>
        <v>27110138</v>
      </c>
      <c r="K836" s="84">
        <f t="shared" si="27"/>
        <v>501716</v>
      </c>
      <c r="L836" s="61" t="e">
        <f>VLOOKUP(K836,[1]Mapping!$J$3:$Q$351,8,FALSE)</f>
        <v>#N/A</v>
      </c>
      <c r="M836" t="s">
        <v>83</v>
      </c>
    </row>
    <row r="837" spans="1:13" hidden="1" x14ac:dyDescent="0.35">
      <c r="A837">
        <v>27110292</v>
      </c>
      <c r="B837" t="s">
        <v>183</v>
      </c>
      <c r="C837">
        <v>501613</v>
      </c>
      <c r="D837" t="s">
        <v>149</v>
      </c>
      <c r="E837" s="81">
        <v>2</v>
      </c>
      <c r="F837" t="s">
        <v>24</v>
      </c>
      <c r="G837" s="55">
        <v>1041.58</v>
      </c>
      <c r="H837" s="56">
        <v>1041.58</v>
      </c>
      <c r="I837" s="83" t="str">
        <f>VLOOKUP(E837,[1]Mapping!$A$3:$B$14,2,FALSE)</f>
        <v>Aug</v>
      </c>
      <c r="J837" s="84">
        <f t="shared" si="26"/>
        <v>27110292</v>
      </c>
      <c r="K837" s="84">
        <f t="shared" si="27"/>
        <v>501613</v>
      </c>
      <c r="L837" s="61" t="str">
        <f>VLOOKUP(K837,[1]Mapping!$J$3:$Q$351,8,FALSE)</f>
        <v>Supplies Expenses</v>
      </c>
      <c r="M837" t="s">
        <v>83</v>
      </c>
    </row>
    <row r="838" spans="1:13" hidden="1" x14ac:dyDescent="0.35">
      <c r="A838">
        <v>27110292</v>
      </c>
      <c r="B838" t="s">
        <v>183</v>
      </c>
      <c r="C838">
        <v>501716</v>
      </c>
      <c r="D838" t="s">
        <v>139</v>
      </c>
      <c r="E838" s="81">
        <v>2</v>
      </c>
      <c r="F838" t="s">
        <v>117</v>
      </c>
      <c r="G838" s="55">
        <v>-1041.58</v>
      </c>
      <c r="H838" s="56">
        <v>-1041.58</v>
      </c>
      <c r="I838" s="83" t="str">
        <f>VLOOKUP(E838,[1]Mapping!$A$3:$B$14,2,FALSE)</f>
        <v>Aug</v>
      </c>
      <c r="J838" s="84">
        <f t="shared" si="26"/>
        <v>27110292</v>
      </c>
      <c r="K838" s="84">
        <f t="shared" si="27"/>
        <v>501716</v>
      </c>
      <c r="L838" s="61" t="e">
        <f>VLOOKUP(K838,[1]Mapping!$J$3:$Q$351,8,FALSE)</f>
        <v>#N/A</v>
      </c>
      <c r="M838" t="s">
        <v>83</v>
      </c>
    </row>
    <row r="839" spans="1:13" hidden="1" x14ac:dyDescent="0.35">
      <c r="A839">
        <v>27110141</v>
      </c>
      <c r="B839" t="s">
        <v>184</v>
      </c>
      <c r="C839">
        <v>501711</v>
      </c>
      <c r="D839" t="s">
        <v>144</v>
      </c>
      <c r="E839" s="81">
        <v>2</v>
      </c>
      <c r="F839" t="s">
        <v>27</v>
      </c>
      <c r="G839" s="55">
        <v>3229</v>
      </c>
      <c r="H839" s="56">
        <v>3229</v>
      </c>
      <c r="I839" s="83" t="str">
        <f>VLOOKUP(E839,[1]Mapping!$A$3:$B$14,2,FALSE)</f>
        <v>Aug</v>
      </c>
      <c r="J839" s="84">
        <f t="shared" si="26"/>
        <v>27110141</v>
      </c>
      <c r="K839" s="84">
        <f t="shared" si="27"/>
        <v>501711</v>
      </c>
      <c r="L839" s="61" t="str">
        <f>VLOOKUP(K839,[1]Mapping!$J$3:$Q$351,8,FALSE)</f>
        <v>Outside Services</v>
      </c>
      <c r="M839" t="s">
        <v>83</v>
      </c>
    </row>
    <row r="840" spans="1:13" hidden="1" x14ac:dyDescent="0.35">
      <c r="A840">
        <v>27110141</v>
      </c>
      <c r="B840" t="s">
        <v>184</v>
      </c>
      <c r="C840">
        <v>501613</v>
      </c>
      <c r="D840" t="s">
        <v>149</v>
      </c>
      <c r="E840" s="81">
        <v>2</v>
      </c>
      <c r="F840" t="s">
        <v>24</v>
      </c>
      <c r="G840" s="55">
        <v>1045.79</v>
      </c>
      <c r="H840" s="56">
        <v>1045.79</v>
      </c>
      <c r="I840" s="83" t="str">
        <f>VLOOKUP(E840,[1]Mapping!$A$3:$B$14,2,FALSE)</f>
        <v>Aug</v>
      </c>
      <c r="J840" s="84">
        <f t="shared" si="26"/>
        <v>27110141</v>
      </c>
      <c r="K840" s="84">
        <f t="shared" si="27"/>
        <v>501613</v>
      </c>
      <c r="L840" s="61" t="str">
        <f>VLOOKUP(K840,[1]Mapping!$J$3:$Q$351,8,FALSE)</f>
        <v>Supplies Expenses</v>
      </c>
      <c r="M840" t="s">
        <v>83</v>
      </c>
    </row>
    <row r="841" spans="1:13" hidden="1" x14ac:dyDescent="0.35">
      <c r="A841">
        <v>27110141</v>
      </c>
      <c r="B841" t="s">
        <v>184</v>
      </c>
      <c r="C841">
        <v>501609</v>
      </c>
      <c r="D841" t="s">
        <v>47</v>
      </c>
      <c r="E841" s="81">
        <v>2</v>
      </c>
      <c r="F841" t="s">
        <v>24</v>
      </c>
      <c r="G841" s="55">
        <v>19282.599999999999</v>
      </c>
      <c r="H841" s="56">
        <v>19282.599999999999</v>
      </c>
      <c r="I841" s="83" t="str">
        <f>VLOOKUP(E841,[1]Mapping!$A$3:$B$14,2,FALSE)</f>
        <v>Aug</v>
      </c>
      <c r="J841" s="84">
        <f t="shared" si="26"/>
        <v>27110141</v>
      </c>
      <c r="K841" s="84">
        <f t="shared" si="27"/>
        <v>501609</v>
      </c>
      <c r="L841" s="61" t="str">
        <f>VLOOKUP(K841,[1]Mapping!$J$3:$Q$351,8,FALSE)</f>
        <v>Supplies Expenses</v>
      </c>
      <c r="M841" t="s">
        <v>83</v>
      </c>
    </row>
    <row r="842" spans="1:13" hidden="1" x14ac:dyDescent="0.35">
      <c r="A842">
        <v>27110141</v>
      </c>
      <c r="B842" t="s">
        <v>184</v>
      </c>
      <c r="C842">
        <v>501716</v>
      </c>
      <c r="D842" t="s">
        <v>139</v>
      </c>
      <c r="E842" s="81">
        <v>2</v>
      </c>
      <c r="F842" t="s">
        <v>117</v>
      </c>
      <c r="G842" s="55">
        <v>-23557.39</v>
      </c>
      <c r="H842" s="56">
        <v>-23557.39</v>
      </c>
      <c r="I842" s="83" t="str">
        <f>VLOOKUP(E842,[1]Mapping!$A$3:$B$14,2,FALSE)</f>
        <v>Aug</v>
      </c>
      <c r="J842" s="84">
        <f t="shared" si="26"/>
        <v>27110141</v>
      </c>
      <c r="K842" s="84">
        <f t="shared" si="27"/>
        <v>501716</v>
      </c>
      <c r="L842" s="61" t="e">
        <f>VLOOKUP(K842,[1]Mapping!$J$3:$Q$351,8,FALSE)</f>
        <v>#N/A</v>
      </c>
      <c r="M842" t="s">
        <v>83</v>
      </c>
    </row>
    <row r="843" spans="1:13" hidden="1" x14ac:dyDescent="0.35">
      <c r="A843">
        <v>27110403</v>
      </c>
      <c r="B843" t="s">
        <v>197</v>
      </c>
      <c r="C843">
        <v>501613</v>
      </c>
      <c r="D843" t="s">
        <v>149</v>
      </c>
      <c r="E843" s="81">
        <v>2</v>
      </c>
      <c r="F843" t="s">
        <v>24</v>
      </c>
      <c r="G843" s="55">
        <v>277.46000000000004</v>
      </c>
      <c r="H843" s="56">
        <v>277.46000000000004</v>
      </c>
      <c r="I843" s="83" t="str">
        <f>VLOOKUP(E843,[1]Mapping!$A$3:$B$14,2,FALSE)</f>
        <v>Aug</v>
      </c>
      <c r="J843" s="84">
        <f t="shared" si="26"/>
        <v>27110403</v>
      </c>
      <c r="K843" s="84">
        <f t="shared" si="27"/>
        <v>501613</v>
      </c>
      <c r="L843" s="61" t="str">
        <f>VLOOKUP(K843,[1]Mapping!$J$3:$Q$351,8,FALSE)</f>
        <v>Supplies Expenses</v>
      </c>
      <c r="M843" t="s">
        <v>83</v>
      </c>
    </row>
    <row r="844" spans="1:13" hidden="1" x14ac:dyDescent="0.35">
      <c r="A844">
        <v>27110403</v>
      </c>
      <c r="B844" t="s">
        <v>197</v>
      </c>
      <c r="C844">
        <v>501613</v>
      </c>
      <c r="D844" t="s">
        <v>149</v>
      </c>
      <c r="E844" s="81">
        <v>2</v>
      </c>
      <c r="F844" t="s">
        <v>24</v>
      </c>
      <c r="G844" s="55">
        <v>0</v>
      </c>
      <c r="H844" s="56">
        <v>0</v>
      </c>
      <c r="I844" s="83" t="str">
        <f>VLOOKUP(E844,[1]Mapping!$A$3:$B$14,2,FALSE)</f>
        <v>Aug</v>
      </c>
      <c r="J844" s="84">
        <f t="shared" si="26"/>
        <v>27110403</v>
      </c>
      <c r="K844" s="84">
        <f t="shared" si="27"/>
        <v>501613</v>
      </c>
      <c r="L844" s="61" t="str">
        <f>VLOOKUP(K844,[1]Mapping!$J$3:$Q$351,8,FALSE)</f>
        <v>Supplies Expenses</v>
      </c>
      <c r="M844" t="s">
        <v>83</v>
      </c>
    </row>
    <row r="845" spans="1:13" hidden="1" x14ac:dyDescent="0.35">
      <c r="A845">
        <v>27110403</v>
      </c>
      <c r="B845" t="s">
        <v>197</v>
      </c>
      <c r="C845">
        <v>501716</v>
      </c>
      <c r="D845" t="s">
        <v>139</v>
      </c>
      <c r="E845" s="81">
        <v>2</v>
      </c>
      <c r="F845" t="s">
        <v>117</v>
      </c>
      <c r="G845" s="55">
        <v>-277.45999999999998</v>
      </c>
      <c r="H845" s="56">
        <v>-277.45999999999998</v>
      </c>
      <c r="I845" s="83" t="str">
        <f>VLOOKUP(E845,[1]Mapping!$A$3:$B$14,2,FALSE)</f>
        <v>Aug</v>
      </c>
      <c r="J845" s="84">
        <f t="shared" si="26"/>
        <v>27110403</v>
      </c>
      <c r="K845" s="84">
        <f t="shared" si="27"/>
        <v>501716</v>
      </c>
      <c r="L845" s="61" t="e">
        <f>VLOOKUP(K845,[1]Mapping!$J$3:$Q$351,8,FALSE)</f>
        <v>#N/A</v>
      </c>
      <c r="M845" t="s">
        <v>83</v>
      </c>
    </row>
    <row r="846" spans="1:13" hidden="1" x14ac:dyDescent="0.35">
      <c r="A846">
        <v>27110471</v>
      </c>
      <c r="B846" t="s">
        <v>148</v>
      </c>
      <c r="C846">
        <v>501609</v>
      </c>
      <c r="D846" t="s">
        <v>47</v>
      </c>
      <c r="E846" s="81">
        <v>2</v>
      </c>
      <c r="F846" t="s">
        <v>24</v>
      </c>
      <c r="G846" s="55">
        <v>711</v>
      </c>
      <c r="H846" s="56">
        <v>711</v>
      </c>
      <c r="I846" s="83" t="str">
        <f>VLOOKUP(E846,[1]Mapping!$A$3:$B$14,2,FALSE)</f>
        <v>Aug</v>
      </c>
      <c r="J846" s="84">
        <f t="shared" si="26"/>
        <v>27110471</v>
      </c>
      <c r="K846" s="84">
        <f t="shared" si="27"/>
        <v>501609</v>
      </c>
      <c r="L846" s="61" t="str">
        <f>VLOOKUP(K846,[1]Mapping!$J$3:$Q$351,8,FALSE)</f>
        <v>Supplies Expenses</v>
      </c>
      <c r="M846" t="s">
        <v>83</v>
      </c>
    </row>
    <row r="847" spans="1:13" hidden="1" x14ac:dyDescent="0.35">
      <c r="A847">
        <v>27110471</v>
      </c>
      <c r="B847" t="s">
        <v>148</v>
      </c>
      <c r="C847">
        <v>501716</v>
      </c>
      <c r="D847" t="s">
        <v>139</v>
      </c>
      <c r="E847" s="81">
        <v>2</v>
      </c>
      <c r="F847" t="s">
        <v>117</v>
      </c>
      <c r="G847" s="55">
        <v>-711</v>
      </c>
      <c r="H847" s="56">
        <v>-711</v>
      </c>
      <c r="I847" s="83" t="str">
        <f>VLOOKUP(E847,[1]Mapping!$A$3:$B$14,2,FALSE)</f>
        <v>Aug</v>
      </c>
      <c r="J847" s="84">
        <f t="shared" si="26"/>
        <v>27110471</v>
      </c>
      <c r="K847" s="84">
        <f t="shared" si="27"/>
        <v>501716</v>
      </c>
      <c r="L847" s="61" t="e">
        <f>VLOOKUP(K847,[1]Mapping!$J$3:$Q$351,8,FALSE)</f>
        <v>#N/A</v>
      </c>
      <c r="M847" t="s">
        <v>83</v>
      </c>
    </row>
    <row r="848" spans="1:13" hidden="1" x14ac:dyDescent="0.35">
      <c r="A848">
        <v>27110139</v>
      </c>
      <c r="B848" t="s">
        <v>187</v>
      </c>
      <c r="C848">
        <v>501050</v>
      </c>
      <c r="D848" t="s">
        <v>39</v>
      </c>
      <c r="E848" s="81">
        <v>2</v>
      </c>
      <c r="F848" t="s">
        <v>19</v>
      </c>
      <c r="G848" s="55">
        <v>23687.68</v>
      </c>
      <c r="H848" s="56">
        <v>23687.68</v>
      </c>
      <c r="I848" s="83" t="str">
        <f>VLOOKUP(E848,[1]Mapping!$A$3:$B$14,2,FALSE)</f>
        <v>Aug</v>
      </c>
      <c r="J848" s="84">
        <f t="shared" si="26"/>
        <v>27110139</v>
      </c>
      <c r="K848" s="84">
        <f t="shared" si="27"/>
        <v>501050</v>
      </c>
      <c r="L848" s="61" t="str">
        <f>VLOOKUP(K848,[1]Mapping!$J$3:$Q$351,8,FALSE)</f>
        <v>Wages &amp; Salaries</v>
      </c>
      <c r="M848" t="s">
        <v>83</v>
      </c>
    </row>
    <row r="849" spans="1:13" hidden="1" x14ac:dyDescent="0.35">
      <c r="A849">
        <v>27110139</v>
      </c>
      <c r="B849" t="s">
        <v>187</v>
      </c>
      <c r="C849">
        <v>501058</v>
      </c>
      <c r="D849" t="s">
        <v>122</v>
      </c>
      <c r="E849" s="81">
        <v>2</v>
      </c>
      <c r="F849" t="s">
        <v>21</v>
      </c>
      <c r="G849" s="55">
        <v>1781.1799999999996</v>
      </c>
      <c r="H849" s="56">
        <v>1781.1799999999996</v>
      </c>
      <c r="I849" s="83" t="str">
        <f>VLOOKUP(E849,[1]Mapping!$A$3:$B$14,2,FALSE)</f>
        <v>Aug</v>
      </c>
      <c r="J849" s="84">
        <f t="shared" si="26"/>
        <v>27110139</v>
      </c>
      <c r="K849" s="84">
        <f t="shared" si="27"/>
        <v>501058</v>
      </c>
      <c r="L849" s="61" t="str">
        <f>VLOOKUP(K849,[1]Mapping!$J$3:$Q$351,8,FALSE)</f>
        <v>Fringe Benefits</v>
      </c>
      <c r="M849" t="s">
        <v>83</v>
      </c>
    </row>
    <row r="850" spans="1:13" hidden="1" x14ac:dyDescent="0.35">
      <c r="A850">
        <v>27110139</v>
      </c>
      <c r="B850" t="s">
        <v>187</v>
      </c>
      <c r="C850">
        <v>501062</v>
      </c>
      <c r="D850" t="s">
        <v>41</v>
      </c>
      <c r="E850" s="81">
        <v>2</v>
      </c>
      <c r="F850" t="s">
        <v>21</v>
      </c>
      <c r="G850" s="55">
        <v>764.22</v>
      </c>
      <c r="H850" s="56">
        <v>764.22</v>
      </c>
      <c r="I850" s="83" t="str">
        <f>VLOOKUP(E850,[1]Mapping!$A$3:$B$14,2,FALSE)</f>
        <v>Aug</v>
      </c>
      <c r="J850" s="84">
        <f t="shared" si="26"/>
        <v>27110139</v>
      </c>
      <c r="K850" s="84">
        <f t="shared" si="27"/>
        <v>501062</v>
      </c>
      <c r="L850" s="61" t="str">
        <f>VLOOKUP(K850,[1]Mapping!$J$3:$Q$351,8,FALSE)</f>
        <v>Fringe Benefits</v>
      </c>
      <c r="M850" t="s">
        <v>83</v>
      </c>
    </row>
    <row r="851" spans="1:13" hidden="1" x14ac:dyDescent="0.35">
      <c r="A851">
        <v>27110139</v>
      </c>
      <c r="B851" t="s">
        <v>187</v>
      </c>
      <c r="C851">
        <v>501808</v>
      </c>
      <c r="D851" t="s">
        <v>113</v>
      </c>
      <c r="E851" s="81">
        <v>2</v>
      </c>
      <c r="F851" t="s">
        <v>23</v>
      </c>
      <c r="G851" s="55">
        <v>292.14999999999998</v>
      </c>
      <c r="H851" s="56">
        <v>292.14999999999998</v>
      </c>
      <c r="I851" s="83" t="str">
        <f>VLOOKUP(E851,[1]Mapping!$A$3:$B$14,2,FALSE)</f>
        <v>Aug</v>
      </c>
      <c r="J851" s="84">
        <f t="shared" si="26"/>
        <v>27110139</v>
      </c>
      <c r="K851" s="84">
        <f t="shared" si="27"/>
        <v>501808</v>
      </c>
      <c r="L851" s="61" t="str">
        <f>VLOOKUP(K851,[1]Mapping!$J$3:$Q$351,8,FALSE)</f>
        <v>Travel &amp; Entertainment</v>
      </c>
      <c r="M851" t="s">
        <v>83</v>
      </c>
    </row>
    <row r="852" spans="1:13" hidden="1" x14ac:dyDescent="0.35">
      <c r="A852">
        <v>27110139</v>
      </c>
      <c r="B852" t="s">
        <v>187</v>
      </c>
      <c r="C852">
        <v>501063</v>
      </c>
      <c r="D852" t="s">
        <v>123</v>
      </c>
      <c r="E852" s="81">
        <v>2</v>
      </c>
      <c r="F852" t="s">
        <v>21</v>
      </c>
      <c r="G852" s="55">
        <v>652.99999999999989</v>
      </c>
      <c r="H852" s="56">
        <v>652.99999999999989</v>
      </c>
      <c r="I852" s="83" t="str">
        <f>VLOOKUP(E852,[1]Mapping!$A$3:$B$14,2,FALSE)</f>
        <v>Aug</v>
      </c>
      <c r="J852" s="84">
        <f t="shared" si="26"/>
        <v>27110139</v>
      </c>
      <c r="K852" s="84">
        <f t="shared" si="27"/>
        <v>501063</v>
      </c>
      <c r="L852" s="61" t="str">
        <f>VLOOKUP(K852,[1]Mapping!$J$3:$Q$351,8,FALSE)</f>
        <v>Fringe Benefits</v>
      </c>
      <c r="M852" t="s">
        <v>83</v>
      </c>
    </row>
    <row r="853" spans="1:13" hidden="1" x14ac:dyDescent="0.35">
      <c r="A853">
        <v>27110139</v>
      </c>
      <c r="B853" t="s">
        <v>187</v>
      </c>
      <c r="C853">
        <v>501065</v>
      </c>
      <c r="D853" t="s">
        <v>124</v>
      </c>
      <c r="E853" s="81">
        <v>2</v>
      </c>
      <c r="F853" t="s">
        <v>21</v>
      </c>
      <c r="G853" s="55">
        <v>50.4</v>
      </c>
      <c r="H853" s="56">
        <v>50.4</v>
      </c>
      <c r="I853" s="83" t="str">
        <f>VLOOKUP(E853,[1]Mapping!$A$3:$B$14,2,FALSE)</f>
        <v>Aug</v>
      </c>
      <c r="J853" s="84">
        <f t="shared" si="26"/>
        <v>27110139</v>
      </c>
      <c r="K853" s="84">
        <f t="shared" si="27"/>
        <v>501065</v>
      </c>
      <c r="L853" s="61" t="str">
        <f>VLOOKUP(K853,[1]Mapping!$J$3:$Q$351,8,FALSE)</f>
        <v>Fringe Benefits</v>
      </c>
      <c r="M853" t="s">
        <v>83</v>
      </c>
    </row>
    <row r="854" spans="1:13" hidden="1" x14ac:dyDescent="0.35">
      <c r="A854">
        <v>27110139</v>
      </c>
      <c r="B854" t="s">
        <v>187</v>
      </c>
      <c r="C854">
        <v>501069</v>
      </c>
      <c r="D854" t="s">
        <v>125</v>
      </c>
      <c r="E854" s="81">
        <v>2</v>
      </c>
      <c r="F854" t="s">
        <v>21</v>
      </c>
      <c r="G854" s="55">
        <v>1176.3199999999997</v>
      </c>
      <c r="H854" s="56">
        <v>1176.3199999999997</v>
      </c>
      <c r="I854" s="83" t="str">
        <f>VLOOKUP(E854,[1]Mapping!$A$3:$B$14,2,FALSE)</f>
        <v>Aug</v>
      </c>
      <c r="J854" s="84">
        <f t="shared" si="26"/>
        <v>27110139</v>
      </c>
      <c r="K854" s="84">
        <f t="shared" si="27"/>
        <v>501069</v>
      </c>
      <c r="L854" s="61" t="str">
        <f>VLOOKUP(K854,[1]Mapping!$J$3:$Q$351,8,FALSE)</f>
        <v>Fringe Benefits</v>
      </c>
      <c r="M854" t="s">
        <v>83</v>
      </c>
    </row>
    <row r="855" spans="1:13" hidden="1" x14ac:dyDescent="0.35">
      <c r="A855">
        <v>27110139</v>
      </c>
      <c r="B855" t="s">
        <v>187</v>
      </c>
      <c r="C855">
        <v>600043</v>
      </c>
      <c r="D855" t="s">
        <v>102</v>
      </c>
      <c r="E855" s="81">
        <v>2</v>
      </c>
      <c r="F855" t="s">
        <v>23</v>
      </c>
      <c r="G855" s="55">
        <v>0</v>
      </c>
      <c r="H855" s="56">
        <v>0</v>
      </c>
      <c r="I855" s="83" t="str">
        <f>VLOOKUP(E855,[1]Mapping!$A$3:$B$14,2,FALSE)</f>
        <v>Aug</v>
      </c>
      <c r="J855" s="84">
        <f t="shared" si="26"/>
        <v>27110139</v>
      </c>
      <c r="K855" s="84">
        <f t="shared" si="27"/>
        <v>600043</v>
      </c>
      <c r="L855" s="61" t="str">
        <f>VLOOKUP(K855,[1]Mapping!$J$3:$Q$351,8,FALSE)</f>
        <v>Travel &amp; Entertainment</v>
      </c>
      <c r="M855" t="s">
        <v>83</v>
      </c>
    </row>
    <row r="856" spans="1:13" hidden="1" x14ac:dyDescent="0.35">
      <c r="A856">
        <v>27110139</v>
      </c>
      <c r="B856" t="s">
        <v>187</v>
      </c>
      <c r="C856">
        <v>501613</v>
      </c>
      <c r="D856" t="s">
        <v>149</v>
      </c>
      <c r="E856" s="81">
        <v>2</v>
      </c>
      <c r="F856" t="s">
        <v>24</v>
      </c>
      <c r="G856" s="55">
        <v>28</v>
      </c>
      <c r="H856" s="56">
        <v>28</v>
      </c>
      <c r="I856" s="83" t="str">
        <f>VLOOKUP(E856,[1]Mapping!$A$3:$B$14,2,FALSE)</f>
        <v>Aug</v>
      </c>
      <c r="J856" s="84">
        <f t="shared" si="26"/>
        <v>27110139</v>
      </c>
      <c r="K856" s="84">
        <f t="shared" si="27"/>
        <v>501613</v>
      </c>
      <c r="L856" s="61" t="str">
        <f>VLOOKUP(K856,[1]Mapping!$J$3:$Q$351,8,FALSE)</f>
        <v>Supplies Expenses</v>
      </c>
      <c r="M856" t="s">
        <v>83</v>
      </c>
    </row>
    <row r="857" spans="1:13" hidden="1" x14ac:dyDescent="0.35">
      <c r="A857">
        <v>27110139</v>
      </c>
      <c r="B857" t="s">
        <v>187</v>
      </c>
      <c r="C857">
        <v>501072</v>
      </c>
      <c r="D857" t="s">
        <v>128</v>
      </c>
      <c r="E857" s="81">
        <v>2</v>
      </c>
      <c r="F857" t="s">
        <v>21</v>
      </c>
      <c r="G857" s="55">
        <v>3528.45</v>
      </c>
      <c r="H857" s="56">
        <v>3528.45</v>
      </c>
      <c r="I857" s="83" t="str">
        <f>VLOOKUP(E857,[1]Mapping!$A$3:$B$14,2,FALSE)</f>
        <v>Aug</v>
      </c>
      <c r="J857" s="84">
        <f t="shared" si="26"/>
        <v>27110139</v>
      </c>
      <c r="K857" s="84">
        <f t="shared" si="27"/>
        <v>501072</v>
      </c>
      <c r="L857" s="61" t="str">
        <f>VLOOKUP(K857,[1]Mapping!$J$3:$Q$351,8,FALSE)</f>
        <v>Fringe Benefits</v>
      </c>
      <c r="M857" t="s">
        <v>83</v>
      </c>
    </row>
    <row r="858" spans="1:13" hidden="1" x14ac:dyDescent="0.35">
      <c r="A858">
        <v>27110139</v>
      </c>
      <c r="B858" t="s">
        <v>187</v>
      </c>
      <c r="C858">
        <v>501073</v>
      </c>
      <c r="D858" t="s">
        <v>129</v>
      </c>
      <c r="E858" s="81">
        <v>2</v>
      </c>
      <c r="F858" t="s">
        <v>21</v>
      </c>
      <c r="G858" s="55">
        <v>282.27</v>
      </c>
      <c r="H858" s="56">
        <v>282.27</v>
      </c>
      <c r="I858" s="83" t="str">
        <f>VLOOKUP(E858,[1]Mapping!$A$3:$B$14,2,FALSE)</f>
        <v>Aug</v>
      </c>
      <c r="J858" s="84">
        <f t="shared" si="26"/>
        <v>27110139</v>
      </c>
      <c r="K858" s="84">
        <f t="shared" si="27"/>
        <v>501073</v>
      </c>
      <c r="L858" s="61" t="str">
        <f>VLOOKUP(K858,[1]Mapping!$J$3:$Q$351,8,FALSE)</f>
        <v>Fringe Benefits</v>
      </c>
      <c r="M858" t="s">
        <v>83</v>
      </c>
    </row>
    <row r="859" spans="1:13" hidden="1" x14ac:dyDescent="0.35">
      <c r="A859">
        <v>27110139</v>
      </c>
      <c r="B859" t="s">
        <v>187</v>
      </c>
      <c r="C859">
        <v>501223</v>
      </c>
      <c r="D859" t="s">
        <v>51</v>
      </c>
      <c r="E859" s="81">
        <v>2</v>
      </c>
      <c r="F859" t="s">
        <v>34</v>
      </c>
      <c r="G859" s="55">
        <v>-7331.71</v>
      </c>
      <c r="H859" s="56">
        <v>-7331.71</v>
      </c>
      <c r="I859" s="83" t="str">
        <f>VLOOKUP(E859,[1]Mapping!$A$3:$B$14,2,FALSE)</f>
        <v>Aug</v>
      </c>
      <c r="J859" s="84">
        <f t="shared" ref="J859:J922" si="28">VALUE(A859)</f>
        <v>27110139</v>
      </c>
      <c r="K859" s="84">
        <f t="shared" ref="K859:K922" si="29">VALUE(C859)</f>
        <v>501223</v>
      </c>
      <c r="L859" s="61" t="str">
        <f>VLOOKUP(K859,[1]Mapping!$J$3:$Q$351,8,FALSE)</f>
        <v>Allocations</v>
      </c>
      <c r="M859" t="s">
        <v>83</v>
      </c>
    </row>
    <row r="860" spans="1:13" hidden="1" x14ac:dyDescent="0.35">
      <c r="A860">
        <v>27110139</v>
      </c>
      <c r="B860" t="s">
        <v>187</v>
      </c>
      <c r="C860">
        <v>501070</v>
      </c>
      <c r="D860" t="s">
        <v>135</v>
      </c>
      <c r="E860" s="81">
        <v>2</v>
      </c>
      <c r="F860" t="s">
        <v>21</v>
      </c>
      <c r="G860" s="55">
        <v>-420</v>
      </c>
      <c r="H860" s="56">
        <v>-420</v>
      </c>
      <c r="I860" s="83" t="str">
        <f>VLOOKUP(E860,[1]Mapping!$A$3:$B$14,2,FALSE)</f>
        <v>Aug</v>
      </c>
      <c r="J860" s="84">
        <f t="shared" si="28"/>
        <v>27110139</v>
      </c>
      <c r="K860" s="84">
        <f t="shared" si="29"/>
        <v>501070</v>
      </c>
      <c r="L860" s="61" t="str">
        <f>VLOOKUP(K860,[1]Mapping!$J$3:$Q$351,8,FALSE)</f>
        <v>Fringe Benefits</v>
      </c>
      <c r="M860" t="s">
        <v>83</v>
      </c>
    </row>
    <row r="861" spans="1:13" hidden="1" x14ac:dyDescent="0.35">
      <c r="A861">
        <v>27110139</v>
      </c>
      <c r="B861" t="s">
        <v>187</v>
      </c>
      <c r="C861">
        <v>501716</v>
      </c>
      <c r="D861" t="s">
        <v>139</v>
      </c>
      <c r="E861" s="81">
        <v>2</v>
      </c>
      <c r="F861" t="s">
        <v>117</v>
      </c>
      <c r="G861" s="55">
        <v>-24491.96</v>
      </c>
      <c r="H861" s="56">
        <v>-24491.96</v>
      </c>
      <c r="I861" s="83" t="str">
        <f>VLOOKUP(E861,[1]Mapping!$A$3:$B$14,2,FALSE)</f>
        <v>Aug</v>
      </c>
      <c r="J861" s="84">
        <f t="shared" si="28"/>
        <v>27110139</v>
      </c>
      <c r="K861" s="84">
        <f t="shared" si="29"/>
        <v>501716</v>
      </c>
      <c r="L861" s="61" t="e">
        <f>VLOOKUP(K861,[1]Mapping!$J$3:$Q$351,8,FALSE)</f>
        <v>#N/A</v>
      </c>
      <c r="M861" t="s">
        <v>83</v>
      </c>
    </row>
    <row r="862" spans="1:13" hidden="1" x14ac:dyDescent="0.35">
      <c r="A862">
        <v>4064045061</v>
      </c>
      <c r="B862" t="s">
        <v>189</v>
      </c>
      <c r="C862">
        <v>608002</v>
      </c>
      <c r="D862" t="s">
        <v>130</v>
      </c>
      <c r="E862" s="81">
        <v>2</v>
      </c>
      <c r="F862" t="s">
        <v>31</v>
      </c>
      <c r="G862" s="55">
        <v>3095</v>
      </c>
      <c r="H862" s="56">
        <v>3095</v>
      </c>
      <c r="I862" s="83" t="str">
        <f>VLOOKUP(E862,[1]Mapping!$A$3:$B$14,2,FALSE)</f>
        <v>Aug</v>
      </c>
      <c r="J862" s="84">
        <f t="shared" si="28"/>
        <v>4064045061</v>
      </c>
      <c r="K862" s="84">
        <f t="shared" si="29"/>
        <v>608002</v>
      </c>
      <c r="L862" s="61" t="str">
        <f>VLOOKUP(K862,[1]Mapping!$J$3:$Q$351,8,FALSE)</f>
        <v>Depreciation</v>
      </c>
      <c r="M862" t="s">
        <v>83</v>
      </c>
    </row>
    <row r="863" spans="1:13" hidden="1" x14ac:dyDescent="0.35">
      <c r="E863" s="81"/>
      <c r="I863" s="83" t="e">
        <f>VLOOKUP(E863,[1]Mapping!$A$3:$B$14,2,FALSE)</f>
        <v>#N/A</v>
      </c>
      <c r="J863" s="84">
        <f t="shared" si="28"/>
        <v>0</v>
      </c>
      <c r="K863" s="84">
        <f t="shared" si="29"/>
        <v>0</v>
      </c>
      <c r="L863" s="61" t="e">
        <f>VLOOKUP(K863,[1]Mapping!$J$3:$Q$351,8,FALSE)</f>
        <v>#N/A</v>
      </c>
      <c r="M863" t="s">
        <v>83</v>
      </c>
    </row>
    <row r="864" spans="1:13" hidden="1" x14ac:dyDescent="0.35">
      <c r="E864" s="81"/>
      <c r="I864" s="83" t="e">
        <f>VLOOKUP(E864,[1]Mapping!$A$3:$B$14,2,FALSE)</f>
        <v>#N/A</v>
      </c>
      <c r="J864" s="84">
        <f t="shared" si="28"/>
        <v>0</v>
      </c>
      <c r="K864" s="84">
        <f t="shared" si="29"/>
        <v>0</v>
      </c>
      <c r="L864" s="61" t="e">
        <f>VLOOKUP(K864,[1]Mapping!$J$3:$Q$351,8,FALSE)</f>
        <v>#N/A</v>
      </c>
      <c r="M864" t="s">
        <v>83</v>
      </c>
    </row>
    <row r="865" spans="5:13" hidden="1" x14ac:dyDescent="0.35">
      <c r="E865" s="81"/>
      <c r="I865" s="83" t="e">
        <f>VLOOKUP(E865,[1]Mapping!$A$3:$B$14,2,FALSE)</f>
        <v>#N/A</v>
      </c>
      <c r="J865" s="84">
        <f t="shared" si="28"/>
        <v>0</v>
      </c>
      <c r="K865" s="84">
        <f t="shared" si="29"/>
        <v>0</v>
      </c>
      <c r="L865" s="61" t="e">
        <f>VLOOKUP(K865,[1]Mapping!$J$3:$Q$351,8,FALSE)</f>
        <v>#N/A</v>
      </c>
      <c r="M865" t="s">
        <v>83</v>
      </c>
    </row>
    <row r="866" spans="5:13" hidden="1" x14ac:dyDescent="0.35">
      <c r="E866" s="81"/>
      <c r="I866" s="83" t="e">
        <f>VLOOKUP(E866,[1]Mapping!$A$3:$B$14,2,FALSE)</f>
        <v>#N/A</v>
      </c>
      <c r="J866" s="84">
        <f t="shared" si="28"/>
        <v>0</v>
      </c>
      <c r="K866" s="84">
        <f t="shared" si="29"/>
        <v>0</v>
      </c>
      <c r="L866" s="61" t="e">
        <f>VLOOKUP(K866,[1]Mapping!$J$3:$Q$351,8,FALSE)</f>
        <v>#N/A</v>
      </c>
      <c r="M866" t="s">
        <v>83</v>
      </c>
    </row>
    <row r="867" spans="5:13" hidden="1" x14ac:dyDescent="0.35">
      <c r="E867" s="81"/>
      <c r="I867" s="83" t="e">
        <f>VLOOKUP(E867,[1]Mapping!$A$3:$B$14,2,FALSE)</f>
        <v>#N/A</v>
      </c>
      <c r="J867" s="84">
        <f t="shared" si="28"/>
        <v>0</v>
      </c>
      <c r="K867" s="84">
        <f t="shared" si="29"/>
        <v>0</v>
      </c>
      <c r="L867" s="61" t="e">
        <f>VLOOKUP(K867,[1]Mapping!$J$3:$Q$351,8,FALSE)</f>
        <v>#N/A</v>
      </c>
      <c r="M867" t="s">
        <v>83</v>
      </c>
    </row>
    <row r="868" spans="5:13" hidden="1" x14ac:dyDescent="0.35">
      <c r="E868" s="81"/>
      <c r="I868" s="83" t="e">
        <f>VLOOKUP(E868,[1]Mapping!$A$3:$B$14,2,FALSE)</f>
        <v>#N/A</v>
      </c>
      <c r="J868" s="84">
        <f t="shared" si="28"/>
        <v>0</v>
      </c>
      <c r="K868" s="84">
        <f t="shared" si="29"/>
        <v>0</v>
      </c>
      <c r="L868" s="61" t="e">
        <f>VLOOKUP(K868,[1]Mapping!$J$3:$Q$351,8,FALSE)</f>
        <v>#N/A</v>
      </c>
      <c r="M868" t="s">
        <v>83</v>
      </c>
    </row>
    <row r="869" spans="5:13" hidden="1" x14ac:dyDescent="0.35">
      <c r="E869" s="81"/>
      <c r="I869" s="83" t="e">
        <f>VLOOKUP(E869,[1]Mapping!$A$3:$B$14,2,FALSE)</f>
        <v>#N/A</v>
      </c>
      <c r="J869" s="84">
        <f t="shared" si="28"/>
        <v>0</v>
      </c>
      <c r="K869" s="84">
        <f t="shared" si="29"/>
        <v>0</v>
      </c>
      <c r="L869" s="61" t="e">
        <f>VLOOKUP(K869,[1]Mapping!$J$3:$Q$351,8,FALSE)</f>
        <v>#N/A</v>
      </c>
      <c r="M869" t="s">
        <v>83</v>
      </c>
    </row>
    <row r="870" spans="5:13" hidden="1" x14ac:dyDescent="0.35">
      <c r="E870" s="81"/>
      <c r="I870" s="83" t="e">
        <f>VLOOKUP(E870,[1]Mapping!$A$3:$B$14,2,FALSE)</f>
        <v>#N/A</v>
      </c>
      <c r="J870" s="84">
        <f t="shared" si="28"/>
        <v>0</v>
      </c>
      <c r="K870" s="84">
        <f t="shared" si="29"/>
        <v>0</v>
      </c>
      <c r="L870" s="61" t="e">
        <f>VLOOKUP(K870,[1]Mapping!$J$3:$Q$351,8,FALSE)</f>
        <v>#N/A</v>
      </c>
      <c r="M870" t="s">
        <v>83</v>
      </c>
    </row>
    <row r="871" spans="5:13" hidden="1" x14ac:dyDescent="0.35">
      <c r="E871" s="81"/>
      <c r="I871" s="83" t="e">
        <f>VLOOKUP(E871,[1]Mapping!$A$3:$B$14,2,FALSE)</f>
        <v>#N/A</v>
      </c>
      <c r="J871" s="84">
        <f t="shared" si="28"/>
        <v>0</v>
      </c>
      <c r="K871" s="84">
        <f t="shared" si="29"/>
        <v>0</v>
      </c>
      <c r="L871" s="61" t="e">
        <f>VLOOKUP(K871,[1]Mapping!$J$3:$Q$351,8,FALSE)</f>
        <v>#N/A</v>
      </c>
      <c r="M871" t="s">
        <v>83</v>
      </c>
    </row>
    <row r="872" spans="5:13" hidden="1" x14ac:dyDescent="0.35">
      <c r="E872" s="81"/>
      <c r="I872" s="83" t="e">
        <f>VLOOKUP(E872,[1]Mapping!$A$3:$B$14,2,FALSE)</f>
        <v>#N/A</v>
      </c>
      <c r="J872" s="84">
        <f t="shared" si="28"/>
        <v>0</v>
      </c>
      <c r="K872" s="84">
        <f t="shared" si="29"/>
        <v>0</v>
      </c>
      <c r="L872" s="61" t="e">
        <f>VLOOKUP(K872,[1]Mapping!$J$3:$Q$351,8,FALSE)</f>
        <v>#N/A</v>
      </c>
      <c r="M872" t="s">
        <v>83</v>
      </c>
    </row>
    <row r="873" spans="5:13" hidden="1" x14ac:dyDescent="0.35">
      <c r="E873" s="81"/>
      <c r="I873" s="83" t="e">
        <f>VLOOKUP(E873,[1]Mapping!$A$3:$B$14,2,FALSE)</f>
        <v>#N/A</v>
      </c>
      <c r="J873" s="84">
        <f t="shared" si="28"/>
        <v>0</v>
      </c>
      <c r="K873" s="84">
        <f t="shared" si="29"/>
        <v>0</v>
      </c>
      <c r="L873" s="61" t="e">
        <f>VLOOKUP(K873,[1]Mapping!$J$3:$Q$351,8,FALSE)</f>
        <v>#N/A</v>
      </c>
      <c r="M873" t="s">
        <v>83</v>
      </c>
    </row>
    <row r="874" spans="5:13" hidden="1" x14ac:dyDescent="0.35">
      <c r="E874" s="81"/>
      <c r="I874" s="83" t="e">
        <f>VLOOKUP(E874,[1]Mapping!$A$3:$B$14,2,FALSE)</f>
        <v>#N/A</v>
      </c>
      <c r="J874" s="84">
        <f t="shared" si="28"/>
        <v>0</v>
      </c>
      <c r="K874" s="84">
        <f t="shared" si="29"/>
        <v>0</v>
      </c>
      <c r="L874" s="61" t="e">
        <f>VLOOKUP(K874,[1]Mapping!$J$3:$Q$351,8,FALSE)</f>
        <v>#N/A</v>
      </c>
      <c r="M874" t="s">
        <v>83</v>
      </c>
    </row>
    <row r="875" spans="5:13" hidden="1" x14ac:dyDescent="0.35">
      <c r="E875" s="81"/>
      <c r="I875" s="83" t="e">
        <f>VLOOKUP(E875,[1]Mapping!$A$3:$B$14,2,FALSE)</f>
        <v>#N/A</v>
      </c>
      <c r="J875" s="84">
        <f t="shared" si="28"/>
        <v>0</v>
      </c>
      <c r="K875" s="84">
        <f t="shared" si="29"/>
        <v>0</v>
      </c>
      <c r="L875" s="61" t="e">
        <f>VLOOKUP(K875,[1]Mapping!$J$3:$Q$351,8,FALSE)</f>
        <v>#N/A</v>
      </c>
      <c r="M875" t="s">
        <v>83</v>
      </c>
    </row>
    <row r="876" spans="5:13" hidden="1" x14ac:dyDescent="0.35">
      <c r="E876" s="81"/>
      <c r="I876" s="83" t="e">
        <f>VLOOKUP(E876,[1]Mapping!$A$3:$B$14,2,FALSE)</f>
        <v>#N/A</v>
      </c>
      <c r="J876" s="84">
        <f t="shared" si="28"/>
        <v>0</v>
      </c>
      <c r="K876" s="84">
        <f t="shared" si="29"/>
        <v>0</v>
      </c>
      <c r="L876" s="61" t="e">
        <f>VLOOKUP(K876,[1]Mapping!$J$3:$Q$351,8,FALSE)</f>
        <v>#N/A</v>
      </c>
      <c r="M876" t="s">
        <v>83</v>
      </c>
    </row>
    <row r="877" spans="5:13" hidden="1" x14ac:dyDescent="0.35">
      <c r="E877" s="81"/>
      <c r="I877" s="83" t="e">
        <f>VLOOKUP(E877,[1]Mapping!$A$3:$B$14,2,FALSE)</f>
        <v>#N/A</v>
      </c>
      <c r="J877" s="84">
        <f t="shared" si="28"/>
        <v>0</v>
      </c>
      <c r="K877" s="84">
        <f t="shared" si="29"/>
        <v>0</v>
      </c>
      <c r="L877" s="61" t="e">
        <f>VLOOKUP(K877,[1]Mapping!$J$3:$Q$351,8,FALSE)</f>
        <v>#N/A</v>
      </c>
      <c r="M877" t="s">
        <v>83</v>
      </c>
    </row>
    <row r="878" spans="5:13" hidden="1" x14ac:dyDescent="0.35">
      <c r="E878" s="81"/>
      <c r="I878" s="83" t="e">
        <f>VLOOKUP(E878,[1]Mapping!$A$3:$B$14,2,FALSE)</f>
        <v>#N/A</v>
      </c>
      <c r="J878" s="84">
        <f t="shared" si="28"/>
        <v>0</v>
      </c>
      <c r="K878" s="84">
        <f t="shared" si="29"/>
        <v>0</v>
      </c>
      <c r="L878" s="61" t="e">
        <f>VLOOKUP(K878,[1]Mapping!$J$3:$Q$351,8,FALSE)</f>
        <v>#N/A</v>
      </c>
      <c r="M878" t="s">
        <v>83</v>
      </c>
    </row>
    <row r="879" spans="5:13" hidden="1" x14ac:dyDescent="0.35">
      <c r="E879" s="81"/>
      <c r="I879" s="83" t="e">
        <f>VLOOKUP(E879,[1]Mapping!$A$3:$B$14,2,FALSE)</f>
        <v>#N/A</v>
      </c>
      <c r="J879" s="84">
        <f t="shared" si="28"/>
        <v>0</v>
      </c>
      <c r="K879" s="84">
        <f t="shared" si="29"/>
        <v>0</v>
      </c>
      <c r="L879" s="61" t="e">
        <f>VLOOKUP(K879,[1]Mapping!$J$3:$Q$351,8,FALSE)</f>
        <v>#N/A</v>
      </c>
      <c r="M879" t="s">
        <v>83</v>
      </c>
    </row>
    <row r="880" spans="5:13" hidden="1" x14ac:dyDescent="0.35">
      <c r="E880" s="81"/>
      <c r="I880" s="83" t="e">
        <f>VLOOKUP(E880,[1]Mapping!$A$3:$B$14,2,FALSE)</f>
        <v>#N/A</v>
      </c>
      <c r="J880" s="84">
        <f t="shared" si="28"/>
        <v>0</v>
      </c>
      <c r="K880" s="84">
        <f t="shared" si="29"/>
        <v>0</v>
      </c>
      <c r="L880" s="61" t="e">
        <f>VLOOKUP(K880,[1]Mapping!$J$3:$Q$351,8,FALSE)</f>
        <v>#N/A</v>
      </c>
      <c r="M880" t="s">
        <v>83</v>
      </c>
    </row>
    <row r="881" spans="5:13" hidden="1" x14ac:dyDescent="0.35">
      <c r="E881" s="81"/>
      <c r="I881" s="83" t="e">
        <f>VLOOKUP(E881,[1]Mapping!$A$3:$B$14,2,FALSE)</f>
        <v>#N/A</v>
      </c>
      <c r="J881" s="84">
        <f t="shared" si="28"/>
        <v>0</v>
      </c>
      <c r="K881" s="84">
        <f t="shared" si="29"/>
        <v>0</v>
      </c>
      <c r="L881" s="61" t="e">
        <f>VLOOKUP(K881,[1]Mapping!$J$3:$Q$351,8,FALSE)</f>
        <v>#N/A</v>
      </c>
      <c r="M881" t="s">
        <v>83</v>
      </c>
    </row>
    <row r="882" spans="5:13" hidden="1" x14ac:dyDescent="0.35">
      <c r="E882" s="81"/>
      <c r="I882" s="83" t="e">
        <f>VLOOKUP(E882,[1]Mapping!$A$3:$B$14,2,FALSE)</f>
        <v>#N/A</v>
      </c>
      <c r="J882" s="84">
        <f t="shared" si="28"/>
        <v>0</v>
      </c>
      <c r="K882" s="84">
        <f t="shared" si="29"/>
        <v>0</v>
      </c>
      <c r="L882" s="61" t="e">
        <f>VLOOKUP(K882,[1]Mapping!$J$3:$Q$351,8,FALSE)</f>
        <v>#N/A</v>
      </c>
      <c r="M882" t="s">
        <v>83</v>
      </c>
    </row>
    <row r="883" spans="5:13" hidden="1" x14ac:dyDescent="0.35">
      <c r="E883" s="81"/>
      <c r="I883" s="83" t="e">
        <f>VLOOKUP(E883,[1]Mapping!$A$3:$B$14,2,FALSE)</f>
        <v>#N/A</v>
      </c>
      <c r="J883" s="84">
        <f t="shared" si="28"/>
        <v>0</v>
      </c>
      <c r="K883" s="84">
        <f t="shared" si="29"/>
        <v>0</v>
      </c>
      <c r="L883" s="61" t="e">
        <f>VLOOKUP(K883,[1]Mapping!$J$3:$Q$351,8,FALSE)</f>
        <v>#N/A</v>
      </c>
      <c r="M883" t="s">
        <v>83</v>
      </c>
    </row>
    <row r="884" spans="5:13" hidden="1" x14ac:dyDescent="0.35">
      <c r="E884" s="81"/>
      <c r="I884" s="83" t="e">
        <f>VLOOKUP(E884,[1]Mapping!$A$3:$B$14,2,FALSE)</f>
        <v>#N/A</v>
      </c>
      <c r="J884" s="84">
        <f t="shared" si="28"/>
        <v>0</v>
      </c>
      <c r="K884" s="84">
        <f t="shared" si="29"/>
        <v>0</v>
      </c>
      <c r="L884" s="61" t="e">
        <f>VLOOKUP(K884,[1]Mapping!$J$3:$Q$351,8,FALSE)</f>
        <v>#N/A</v>
      </c>
      <c r="M884" t="s">
        <v>83</v>
      </c>
    </row>
    <row r="885" spans="5:13" hidden="1" x14ac:dyDescent="0.35">
      <c r="E885" s="81"/>
      <c r="I885" s="83" t="e">
        <f>VLOOKUP(E885,[1]Mapping!$A$3:$B$14,2,FALSE)</f>
        <v>#N/A</v>
      </c>
      <c r="J885" s="84">
        <f t="shared" si="28"/>
        <v>0</v>
      </c>
      <c r="K885" s="84">
        <f t="shared" si="29"/>
        <v>0</v>
      </c>
      <c r="L885" s="61" t="e">
        <f>VLOOKUP(K885,[1]Mapping!$J$3:$Q$351,8,FALSE)</f>
        <v>#N/A</v>
      </c>
      <c r="M885" t="s">
        <v>83</v>
      </c>
    </row>
    <row r="886" spans="5:13" hidden="1" x14ac:dyDescent="0.35">
      <c r="E886" s="81"/>
      <c r="I886" s="83" t="e">
        <f>VLOOKUP(E886,[1]Mapping!$A$3:$B$14,2,FALSE)</f>
        <v>#N/A</v>
      </c>
      <c r="J886" s="84">
        <f t="shared" si="28"/>
        <v>0</v>
      </c>
      <c r="K886" s="84">
        <f t="shared" si="29"/>
        <v>0</v>
      </c>
      <c r="L886" s="61" t="e">
        <f>VLOOKUP(K886,[1]Mapping!$J$3:$Q$351,8,FALSE)</f>
        <v>#N/A</v>
      </c>
      <c r="M886" t="s">
        <v>83</v>
      </c>
    </row>
    <row r="887" spans="5:13" hidden="1" x14ac:dyDescent="0.35">
      <c r="E887" s="81"/>
      <c r="I887" s="83" t="e">
        <f>VLOOKUP(E887,[1]Mapping!$A$3:$B$14,2,FALSE)</f>
        <v>#N/A</v>
      </c>
      <c r="J887" s="84">
        <f t="shared" si="28"/>
        <v>0</v>
      </c>
      <c r="K887" s="84">
        <f t="shared" si="29"/>
        <v>0</v>
      </c>
      <c r="L887" s="61" t="e">
        <f>VLOOKUP(K887,[1]Mapping!$J$3:$Q$351,8,FALSE)</f>
        <v>#N/A</v>
      </c>
      <c r="M887" t="s">
        <v>83</v>
      </c>
    </row>
    <row r="888" spans="5:13" hidden="1" x14ac:dyDescent="0.35">
      <c r="E888" s="81"/>
      <c r="I888" s="83" t="e">
        <f>VLOOKUP(E888,[1]Mapping!$A$3:$B$14,2,FALSE)</f>
        <v>#N/A</v>
      </c>
      <c r="J888" s="84">
        <f t="shared" si="28"/>
        <v>0</v>
      </c>
      <c r="K888" s="84">
        <f t="shared" si="29"/>
        <v>0</v>
      </c>
      <c r="L888" s="61" t="e">
        <f>VLOOKUP(K888,[1]Mapping!$J$3:$Q$351,8,FALSE)</f>
        <v>#N/A</v>
      </c>
      <c r="M888" t="s">
        <v>83</v>
      </c>
    </row>
    <row r="889" spans="5:13" hidden="1" x14ac:dyDescent="0.35">
      <c r="E889" s="81"/>
      <c r="I889" s="83" t="e">
        <f>VLOOKUP(E889,[1]Mapping!$A$3:$B$14,2,FALSE)</f>
        <v>#N/A</v>
      </c>
      <c r="J889" s="84">
        <f t="shared" si="28"/>
        <v>0</v>
      </c>
      <c r="K889" s="84">
        <f t="shared" si="29"/>
        <v>0</v>
      </c>
      <c r="L889" s="61" t="e">
        <f>VLOOKUP(K889,[1]Mapping!$J$3:$Q$351,8,FALSE)</f>
        <v>#N/A</v>
      </c>
      <c r="M889" t="s">
        <v>83</v>
      </c>
    </row>
    <row r="890" spans="5:13" hidden="1" x14ac:dyDescent="0.35">
      <c r="E890" s="81"/>
      <c r="I890" s="83" t="e">
        <f>VLOOKUP(E890,[1]Mapping!$A$3:$B$14,2,FALSE)</f>
        <v>#N/A</v>
      </c>
      <c r="J890" s="84">
        <f t="shared" si="28"/>
        <v>0</v>
      </c>
      <c r="K890" s="84">
        <f t="shared" si="29"/>
        <v>0</v>
      </c>
      <c r="L890" s="61" t="e">
        <f>VLOOKUP(K890,[1]Mapping!$J$3:$Q$351,8,FALSE)</f>
        <v>#N/A</v>
      </c>
      <c r="M890" t="s">
        <v>83</v>
      </c>
    </row>
    <row r="891" spans="5:13" hidden="1" x14ac:dyDescent="0.35">
      <c r="E891" s="81"/>
      <c r="I891" s="83" t="e">
        <f>VLOOKUP(E891,[1]Mapping!$A$3:$B$14,2,FALSE)</f>
        <v>#N/A</v>
      </c>
      <c r="J891" s="84">
        <f t="shared" si="28"/>
        <v>0</v>
      </c>
      <c r="K891" s="84">
        <f t="shared" si="29"/>
        <v>0</v>
      </c>
      <c r="L891" s="61" t="e">
        <f>VLOOKUP(K891,[1]Mapping!$J$3:$Q$351,8,FALSE)</f>
        <v>#N/A</v>
      </c>
      <c r="M891" t="s">
        <v>83</v>
      </c>
    </row>
    <row r="892" spans="5:13" hidden="1" x14ac:dyDescent="0.35">
      <c r="E892" s="81"/>
      <c r="I892" s="83" t="e">
        <f>VLOOKUP(E892,[1]Mapping!$A$3:$B$14,2,FALSE)</f>
        <v>#N/A</v>
      </c>
      <c r="J892" s="84">
        <f t="shared" si="28"/>
        <v>0</v>
      </c>
      <c r="K892" s="84">
        <f t="shared" si="29"/>
        <v>0</v>
      </c>
      <c r="L892" s="61" t="e">
        <f>VLOOKUP(K892,[1]Mapping!$J$3:$Q$351,8,FALSE)</f>
        <v>#N/A</v>
      </c>
      <c r="M892" t="s">
        <v>83</v>
      </c>
    </row>
    <row r="893" spans="5:13" hidden="1" x14ac:dyDescent="0.35">
      <c r="E893" s="81"/>
      <c r="I893" s="83" t="e">
        <f>VLOOKUP(E893,[1]Mapping!$A$3:$B$14,2,FALSE)</f>
        <v>#N/A</v>
      </c>
      <c r="J893" s="84">
        <f t="shared" si="28"/>
        <v>0</v>
      </c>
      <c r="K893" s="84">
        <f t="shared" si="29"/>
        <v>0</v>
      </c>
      <c r="L893" s="61" t="e">
        <f>VLOOKUP(K893,[1]Mapping!$J$3:$Q$351,8,FALSE)</f>
        <v>#N/A</v>
      </c>
      <c r="M893" t="s">
        <v>83</v>
      </c>
    </row>
    <row r="894" spans="5:13" hidden="1" x14ac:dyDescent="0.35">
      <c r="E894" s="81"/>
      <c r="I894" s="83" t="e">
        <f>VLOOKUP(E894,[1]Mapping!$A$3:$B$14,2,FALSE)</f>
        <v>#N/A</v>
      </c>
      <c r="J894" s="84">
        <f t="shared" si="28"/>
        <v>0</v>
      </c>
      <c r="K894" s="84">
        <f t="shared" si="29"/>
        <v>0</v>
      </c>
      <c r="L894" s="61" t="e">
        <f>VLOOKUP(K894,[1]Mapping!$J$3:$Q$351,8,FALSE)</f>
        <v>#N/A</v>
      </c>
      <c r="M894" t="s">
        <v>83</v>
      </c>
    </row>
    <row r="895" spans="5:13" hidden="1" x14ac:dyDescent="0.35">
      <c r="E895" s="81"/>
      <c r="I895" s="83" t="e">
        <f>VLOOKUP(E895,[1]Mapping!$A$3:$B$14,2,FALSE)</f>
        <v>#N/A</v>
      </c>
      <c r="J895" s="84">
        <f t="shared" si="28"/>
        <v>0</v>
      </c>
      <c r="K895" s="84">
        <f t="shared" si="29"/>
        <v>0</v>
      </c>
      <c r="L895" s="61" t="e">
        <f>VLOOKUP(K895,[1]Mapping!$J$3:$Q$351,8,FALSE)</f>
        <v>#N/A</v>
      </c>
      <c r="M895" t="s">
        <v>83</v>
      </c>
    </row>
    <row r="896" spans="5:13" hidden="1" x14ac:dyDescent="0.35">
      <c r="E896" s="81"/>
      <c r="I896" s="83" t="e">
        <f>VLOOKUP(E896,[1]Mapping!$A$3:$B$14,2,FALSE)</f>
        <v>#N/A</v>
      </c>
      <c r="J896" s="84">
        <f t="shared" si="28"/>
        <v>0</v>
      </c>
      <c r="K896" s="84">
        <f t="shared" si="29"/>
        <v>0</v>
      </c>
      <c r="L896" s="61" t="e">
        <f>VLOOKUP(K896,[1]Mapping!$J$3:$Q$351,8,FALSE)</f>
        <v>#N/A</v>
      </c>
      <c r="M896" t="s">
        <v>83</v>
      </c>
    </row>
    <row r="897" spans="5:13" hidden="1" x14ac:dyDescent="0.35">
      <c r="E897" s="81"/>
      <c r="I897" s="83" t="e">
        <f>VLOOKUP(E897,[1]Mapping!$A$3:$B$14,2,FALSE)</f>
        <v>#N/A</v>
      </c>
      <c r="J897" s="84">
        <f t="shared" si="28"/>
        <v>0</v>
      </c>
      <c r="K897" s="84">
        <f t="shared" si="29"/>
        <v>0</v>
      </c>
      <c r="L897" s="61" t="e">
        <f>VLOOKUP(K897,[1]Mapping!$J$3:$Q$351,8,FALSE)</f>
        <v>#N/A</v>
      </c>
      <c r="M897" t="s">
        <v>83</v>
      </c>
    </row>
    <row r="898" spans="5:13" hidden="1" x14ac:dyDescent="0.35">
      <c r="E898" s="81"/>
      <c r="I898" s="83" t="e">
        <f>VLOOKUP(E898,[1]Mapping!$A$3:$B$14,2,FALSE)</f>
        <v>#N/A</v>
      </c>
      <c r="J898" s="84">
        <f t="shared" si="28"/>
        <v>0</v>
      </c>
      <c r="K898" s="84">
        <f t="shared" si="29"/>
        <v>0</v>
      </c>
      <c r="L898" s="61" t="e">
        <f>VLOOKUP(K898,[1]Mapping!$J$3:$Q$351,8,FALSE)</f>
        <v>#N/A</v>
      </c>
      <c r="M898" t="s">
        <v>83</v>
      </c>
    </row>
    <row r="899" spans="5:13" hidden="1" x14ac:dyDescent="0.35">
      <c r="E899" s="81"/>
      <c r="I899" s="83" t="e">
        <f>VLOOKUP(E899,[1]Mapping!$A$3:$B$14,2,FALSE)</f>
        <v>#N/A</v>
      </c>
      <c r="J899" s="84">
        <f t="shared" si="28"/>
        <v>0</v>
      </c>
      <c r="K899" s="84">
        <f t="shared" si="29"/>
        <v>0</v>
      </c>
      <c r="L899" s="61" t="e">
        <f>VLOOKUP(K899,[1]Mapping!$J$3:$Q$351,8,FALSE)</f>
        <v>#N/A</v>
      </c>
      <c r="M899" t="s">
        <v>83</v>
      </c>
    </row>
    <row r="900" spans="5:13" hidden="1" x14ac:dyDescent="0.35">
      <c r="E900" s="81"/>
      <c r="I900" s="83" t="e">
        <f>VLOOKUP(E900,[1]Mapping!$A$3:$B$14,2,FALSE)</f>
        <v>#N/A</v>
      </c>
      <c r="J900" s="84">
        <f t="shared" si="28"/>
        <v>0</v>
      </c>
      <c r="K900" s="84">
        <f t="shared" si="29"/>
        <v>0</v>
      </c>
      <c r="L900" s="61" t="e">
        <f>VLOOKUP(K900,[1]Mapping!$J$3:$Q$351,8,FALSE)</f>
        <v>#N/A</v>
      </c>
      <c r="M900" t="s">
        <v>83</v>
      </c>
    </row>
    <row r="901" spans="5:13" hidden="1" x14ac:dyDescent="0.35">
      <c r="E901" s="81"/>
      <c r="I901" s="83" t="e">
        <f>VLOOKUP(E901,[1]Mapping!$A$3:$B$14,2,FALSE)</f>
        <v>#N/A</v>
      </c>
      <c r="J901" s="84">
        <f t="shared" si="28"/>
        <v>0</v>
      </c>
      <c r="K901" s="84">
        <f t="shared" si="29"/>
        <v>0</v>
      </c>
      <c r="L901" s="61" t="e">
        <f>VLOOKUP(K901,[1]Mapping!$J$3:$Q$351,8,FALSE)</f>
        <v>#N/A</v>
      </c>
      <c r="M901" t="s">
        <v>83</v>
      </c>
    </row>
    <row r="902" spans="5:13" hidden="1" x14ac:dyDescent="0.35">
      <c r="E902" s="81"/>
      <c r="I902" s="83" t="e">
        <f>VLOOKUP(E902,[1]Mapping!$A$3:$B$14,2,FALSE)</f>
        <v>#N/A</v>
      </c>
      <c r="J902" s="84">
        <f t="shared" si="28"/>
        <v>0</v>
      </c>
      <c r="K902" s="84">
        <f t="shared" si="29"/>
        <v>0</v>
      </c>
      <c r="L902" s="61" t="e">
        <f>VLOOKUP(K902,[1]Mapping!$J$3:$Q$351,8,FALSE)</f>
        <v>#N/A</v>
      </c>
      <c r="M902" t="s">
        <v>83</v>
      </c>
    </row>
    <row r="903" spans="5:13" hidden="1" x14ac:dyDescent="0.35">
      <c r="E903" s="81"/>
      <c r="I903" s="83" t="e">
        <f>VLOOKUP(E903,[1]Mapping!$A$3:$B$14,2,FALSE)</f>
        <v>#N/A</v>
      </c>
      <c r="J903" s="84">
        <f t="shared" si="28"/>
        <v>0</v>
      </c>
      <c r="K903" s="84">
        <f t="shared" si="29"/>
        <v>0</v>
      </c>
      <c r="L903" s="61" t="e">
        <f>VLOOKUP(K903,[1]Mapping!$J$3:$Q$351,8,FALSE)</f>
        <v>#N/A</v>
      </c>
      <c r="M903" t="s">
        <v>83</v>
      </c>
    </row>
    <row r="904" spans="5:13" hidden="1" x14ac:dyDescent="0.35">
      <c r="E904" s="81"/>
      <c r="I904" s="83" t="e">
        <f>VLOOKUP(E904,[1]Mapping!$A$3:$B$14,2,FALSE)</f>
        <v>#N/A</v>
      </c>
      <c r="J904" s="84">
        <f t="shared" si="28"/>
        <v>0</v>
      </c>
      <c r="K904" s="84">
        <f t="shared" si="29"/>
        <v>0</v>
      </c>
      <c r="L904" s="61" t="e">
        <f>VLOOKUP(K904,[1]Mapping!$J$3:$Q$351,8,FALSE)</f>
        <v>#N/A</v>
      </c>
      <c r="M904" t="s">
        <v>83</v>
      </c>
    </row>
    <row r="905" spans="5:13" hidden="1" x14ac:dyDescent="0.35">
      <c r="E905" s="81"/>
      <c r="I905" s="83" t="e">
        <f>VLOOKUP(E905,[1]Mapping!$A$3:$B$14,2,FALSE)</f>
        <v>#N/A</v>
      </c>
      <c r="J905" s="84">
        <f t="shared" si="28"/>
        <v>0</v>
      </c>
      <c r="K905" s="84">
        <f t="shared" si="29"/>
        <v>0</v>
      </c>
      <c r="L905" s="61" t="e">
        <f>VLOOKUP(K905,[1]Mapping!$J$3:$Q$351,8,FALSE)</f>
        <v>#N/A</v>
      </c>
      <c r="M905" t="s">
        <v>83</v>
      </c>
    </row>
    <row r="906" spans="5:13" hidden="1" x14ac:dyDescent="0.35">
      <c r="E906" s="81"/>
      <c r="I906" s="83" t="e">
        <f>VLOOKUP(E906,[1]Mapping!$A$3:$B$14,2,FALSE)</f>
        <v>#N/A</v>
      </c>
      <c r="J906" s="84">
        <f t="shared" si="28"/>
        <v>0</v>
      </c>
      <c r="K906" s="84">
        <f t="shared" si="29"/>
        <v>0</v>
      </c>
      <c r="L906" s="61" t="e">
        <f>VLOOKUP(K906,[1]Mapping!$J$3:$Q$351,8,FALSE)</f>
        <v>#N/A</v>
      </c>
      <c r="M906" t="s">
        <v>83</v>
      </c>
    </row>
    <row r="907" spans="5:13" hidden="1" x14ac:dyDescent="0.35">
      <c r="E907" s="81"/>
      <c r="I907" s="83" t="e">
        <f>VLOOKUP(E907,[1]Mapping!$A$3:$B$14,2,FALSE)</f>
        <v>#N/A</v>
      </c>
      <c r="J907" s="84">
        <f t="shared" si="28"/>
        <v>0</v>
      </c>
      <c r="K907" s="84">
        <f t="shared" si="29"/>
        <v>0</v>
      </c>
      <c r="L907" s="61" t="e">
        <f>VLOOKUP(K907,[1]Mapping!$J$3:$Q$351,8,FALSE)</f>
        <v>#N/A</v>
      </c>
      <c r="M907" t="s">
        <v>83</v>
      </c>
    </row>
    <row r="908" spans="5:13" hidden="1" x14ac:dyDescent="0.35">
      <c r="E908" s="81"/>
      <c r="I908" s="83" t="e">
        <f>VLOOKUP(E908,[1]Mapping!$A$3:$B$14,2,FALSE)</f>
        <v>#N/A</v>
      </c>
      <c r="J908" s="84">
        <f t="shared" si="28"/>
        <v>0</v>
      </c>
      <c r="K908" s="84">
        <f t="shared" si="29"/>
        <v>0</v>
      </c>
      <c r="L908" s="61" t="e">
        <f>VLOOKUP(K908,[1]Mapping!$J$3:$Q$351,8,FALSE)</f>
        <v>#N/A</v>
      </c>
      <c r="M908" t="s">
        <v>83</v>
      </c>
    </row>
    <row r="909" spans="5:13" hidden="1" x14ac:dyDescent="0.35">
      <c r="E909" s="81"/>
      <c r="I909" s="83" t="e">
        <f>VLOOKUP(E909,[1]Mapping!$A$3:$B$14,2,FALSE)</f>
        <v>#N/A</v>
      </c>
      <c r="J909" s="84">
        <f t="shared" si="28"/>
        <v>0</v>
      </c>
      <c r="K909" s="84">
        <f t="shared" si="29"/>
        <v>0</v>
      </c>
      <c r="L909" s="61" t="e">
        <f>VLOOKUP(K909,[1]Mapping!$J$3:$Q$351,8,FALSE)</f>
        <v>#N/A</v>
      </c>
      <c r="M909" t="s">
        <v>83</v>
      </c>
    </row>
    <row r="910" spans="5:13" hidden="1" x14ac:dyDescent="0.35">
      <c r="E910" s="81"/>
      <c r="I910" s="83" t="e">
        <f>VLOOKUP(E910,[1]Mapping!$A$3:$B$14,2,FALSE)</f>
        <v>#N/A</v>
      </c>
      <c r="J910" s="84">
        <f t="shared" si="28"/>
        <v>0</v>
      </c>
      <c r="K910" s="84">
        <f t="shared" si="29"/>
        <v>0</v>
      </c>
      <c r="L910" s="61" t="e">
        <f>VLOOKUP(K910,[1]Mapping!$J$3:$Q$351,8,FALSE)</f>
        <v>#N/A</v>
      </c>
      <c r="M910" t="s">
        <v>83</v>
      </c>
    </row>
    <row r="911" spans="5:13" hidden="1" x14ac:dyDescent="0.35">
      <c r="E911" s="81"/>
      <c r="I911" s="83" t="e">
        <f>VLOOKUP(E911,[1]Mapping!$A$3:$B$14,2,FALSE)</f>
        <v>#N/A</v>
      </c>
      <c r="J911" s="84">
        <f t="shared" si="28"/>
        <v>0</v>
      </c>
      <c r="K911" s="84">
        <f t="shared" si="29"/>
        <v>0</v>
      </c>
      <c r="L911" s="61" t="e">
        <f>VLOOKUP(K911,[1]Mapping!$J$3:$Q$351,8,FALSE)</f>
        <v>#N/A</v>
      </c>
      <c r="M911" t="s">
        <v>83</v>
      </c>
    </row>
    <row r="912" spans="5:13" hidden="1" x14ac:dyDescent="0.35">
      <c r="E912" s="81"/>
      <c r="I912" s="83" t="e">
        <f>VLOOKUP(E912,[1]Mapping!$A$3:$B$14,2,FALSE)</f>
        <v>#N/A</v>
      </c>
      <c r="J912" s="84">
        <f t="shared" si="28"/>
        <v>0</v>
      </c>
      <c r="K912" s="84">
        <f t="shared" si="29"/>
        <v>0</v>
      </c>
      <c r="L912" s="61" t="e">
        <f>VLOOKUP(K912,[1]Mapping!$J$3:$Q$351,8,FALSE)</f>
        <v>#N/A</v>
      </c>
      <c r="M912" t="s">
        <v>83</v>
      </c>
    </row>
    <row r="913" spans="5:13" hidden="1" x14ac:dyDescent="0.35">
      <c r="E913" s="81"/>
      <c r="I913" s="83" t="e">
        <f>VLOOKUP(E913,[1]Mapping!$A$3:$B$14,2,FALSE)</f>
        <v>#N/A</v>
      </c>
      <c r="J913" s="84">
        <f t="shared" si="28"/>
        <v>0</v>
      </c>
      <c r="K913" s="84">
        <f t="shared" si="29"/>
        <v>0</v>
      </c>
      <c r="L913" s="61" t="e">
        <f>VLOOKUP(K913,[1]Mapping!$J$3:$Q$351,8,FALSE)</f>
        <v>#N/A</v>
      </c>
      <c r="M913" t="s">
        <v>83</v>
      </c>
    </row>
    <row r="914" spans="5:13" hidden="1" x14ac:dyDescent="0.35">
      <c r="E914" s="81"/>
      <c r="I914" s="83" t="e">
        <f>VLOOKUP(E914,[1]Mapping!$A$3:$B$14,2,FALSE)</f>
        <v>#N/A</v>
      </c>
      <c r="J914" s="84">
        <f t="shared" si="28"/>
        <v>0</v>
      </c>
      <c r="K914" s="84">
        <f t="shared" si="29"/>
        <v>0</v>
      </c>
      <c r="L914" s="61" t="e">
        <f>VLOOKUP(K914,[1]Mapping!$J$3:$Q$351,8,FALSE)</f>
        <v>#N/A</v>
      </c>
      <c r="M914" t="s">
        <v>83</v>
      </c>
    </row>
    <row r="915" spans="5:13" hidden="1" x14ac:dyDescent="0.35">
      <c r="E915" s="81"/>
      <c r="I915" s="83" t="e">
        <f>VLOOKUP(E915,[1]Mapping!$A$3:$B$14,2,FALSE)</f>
        <v>#N/A</v>
      </c>
      <c r="J915" s="84">
        <f t="shared" si="28"/>
        <v>0</v>
      </c>
      <c r="K915" s="84">
        <f t="shared" si="29"/>
        <v>0</v>
      </c>
      <c r="L915" s="61" t="e">
        <f>VLOOKUP(K915,[1]Mapping!$J$3:$Q$351,8,FALSE)</f>
        <v>#N/A</v>
      </c>
      <c r="M915" t="s">
        <v>83</v>
      </c>
    </row>
    <row r="916" spans="5:13" hidden="1" x14ac:dyDescent="0.35">
      <c r="E916" s="81"/>
      <c r="I916" s="83" t="e">
        <f>VLOOKUP(E916,[1]Mapping!$A$3:$B$14,2,FALSE)</f>
        <v>#N/A</v>
      </c>
      <c r="J916" s="84">
        <f t="shared" si="28"/>
        <v>0</v>
      </c>
      <c r="K916" s="84">
        <f t="shared" si="29"/>
        <v>0</v>
      </c>
      <c r="L916" s="61" t="e">
        <f>VLOOKUP(K916,[1]Mapping!$J$3:$Q$351,8,FALSE)</f>
        <v>#N/A</v>
      </c>
      <c r="M916" t="s">
        <v>83</v>
      </c>
    </row>
    <row r="917" spans="5:13" hidden="1" x14ac:dyDescent="0.35">
      <c r="E917" s="81"/>
      <c r="I917" s="83" t="e">
        <f>VLOOKUP(E917,[1]Mapping!$A$3:$B$14,2,FALSE)</f>
        <v>#N/A</v>
      </c>
      <c r="J917" s="84">
        <f t="shared" si="28"/>
        <v>0</v>
      </c>
      <c r="K917" s="84">
        <f t="shared" si="29"/>
        <v>0</v>
      </c>
      <c r="L917" s="61" t="e">
        <f>VLOOKUP(K917,[1]Mapping!$J$3:$Q$351,8,FALSE)</f>
        <v>#N/A</v>
      </c>
      <c r="M917" t="s">
        <v>83</v>
      </c>
    </row>
    <row r="918" spans="5:13" hidden="1" x14ac:dyDescent="0.35">
      <c r="E918" s="81"/>
      <c r="I918" s="83" t="e">
        <f>VLOOKUP(E918,[1]Mapping!$A$3:$B$14,2,FALSE)</f>
        <v>#N/A</v>
      </c>
      <c r="J918" s="84">
        <f t="shared" si="28"/>
        <v>0</v>
      </c>
      <c r="K918" s="84">
        <f t="shared" si="29"/>
        <v>0</v>
      </c>
      <c r="L918" s="61" t="e">
        <f>VLOOKUP(K918,[1]Mapping!$J$3:$Q$351,8,FALSE)</f>
        <v>#N/A</v>
      </c>
      <c r="M918" t="s">
        <v>83</v>
      </c>
    </row>
    <row r="919" spans="5:13" hidden="1" x14ac:dyDescent="0.35">
      <c r="E919" s="81"/>
      <c r="I919" s="83" t="e">
        <f>VLOOKUP(E919,[1]Mapping!$A$3:$B$14,2,FALSE)</f>
        <v>#N/A</v>
      </c>
      <c r="J919" s="84">
        <f t="shared" si="28"/>
        <v>0</v>
      </c>
      <c r="K919" s="84">
        <f t="shared" si="29"/>
        <v>0</v>
      </c>
      <c r="L919" s="61" t="e">
        <f>VLOOKUP(K919,[1]Mapping!$J$3:$Q$351,8,FALSE)</f>
        <v>#N/A</v>
      </c>
      <c r="M919" t="s">
        <v>83</v>
      </c>
    </row>
    <row r="920" spans="5:13" hidden="1" x14ac:dyDescent="0.35">
      <c r="E920" s="81"/>
      <c r="I920" s="83" t="e">
        <f>VLOOKUP(E920,[1]Mapping!$A$3:$B$14,2,FALSE)</f>
        <v>#N/A</v>
      </c>
      <c r="J920" s="84">
        <f t="shared" si="28"/>
        <v>0</v>
      </c>
      <c r="K920" s="84">
        <f t="shared" si="29"/>
        <v>0</v>
      </c>
      <c r="L920" s="61" t="e">
        <f>VLOOKUP(K920,[1]Mapping!$J$3:$Q$351,8,FALSE)</f>
        <v>#N/A</v>
      </c>
      <c r="M920" t="s">
        <v>83</v>
      </c>
    </row>
    <row r="921" spans="5:13" hidden="1" x14ac:dyDescent="0.35">
      <c r="E921" s="81"/>
      <c r="I921" s="83" t="e">
        <f>VLOOKUP(E921,[1]Mapping!$A$3:$B$14,2,FALSE)</f>
        <v>#N/A</v>
      </c>
      <c r="J921" s="84">
        <f t="shared" si="28"/>
        <v>0</v>
      </c>
      <c r="K921" s="84">
        <f t="shared" si="29"/>
        <v>0</v>
      </c>
      <c r="L921" s="61" t="e">
        <f>VLOOKUP(K921,[1]Mapping!$J$3:$Q$351,8,FALSE)</f>
        <v>#N/A</v>
      </c>
      <c r="M921" t="s">
        <v>83</v>
      </c>
    </row>
    <row r="922" spans="5:13" hidden="1" x14ac:dyDescent="0.35">
      <c r="E922" s="81"/>
      <c r="I922" s="83" t="e">
        <f>VLOOKUP(E922,[1]Mapping!$A$3:$B$14,2,FALSE)</f>
        <v>#N/A</v>
      </c>
      <c r="J922" s="84">
        <f t="shared" si="28"/>
        <v>0</v>
      </c>
      <c r="K922" s="84">
        <f t="shared" si="29"/>
        <v>0</v>
      </c>
      <c r="L922" s="61" t="e">
        <f>VLOOKUP(K922,[1]Mapping!$J$3:$Q$351,8,FALSE)</f>
        <v>#N/A</v>
      </c>
      <c r="M922" t="s">
        <v>83</v>
      </c>
    </row>
    <row r="923" spans="5:13" hidden="1" x14ac:dyDescent="0.35">
      <c r="E923" s="81"/>
      <c r="I923" s="83" t="e">
        <f>VLOOKUP(E923,[1]Mapping!$A$3:$B$14,2,FALSE)</f>
        <v>#N/A</v>
      </c>
      <c r="J923" s="84">
        <f t="shared" ref="J923:J986" si="30">VALUE(A923)</f>
        <v>0</v>
      </c>
      <c r="K923" s="84">
        <f t="shared" ref="K923:K986" si="31">VALUE(C923)</f>
        <v>0</v>
      </c>
      <c r="L923" s="61" t="e">
        <f>VLOOKUP(K923,[1]Mapping!$J$3:$Q$351,8,FALSE)</f>
        <v>#N/A</v>
      </c>
      <c r="M923" t="s">
        <v>83</v>
      </c>
    </row>
    <row r="924" spans="5:13" hidden="1" x14ac:dyDescent="0.35">
      <c r="E924" s="81"/>
      <c r="I924" s="83" t="e">
        <f>VLOOKUP(E924,[1]Mapping!$A$3:$B$14,2,FALSE)</f>
        <v>#N/A</v>
      </c>
      <c r="J924" s="84">
        <f t="shared" si="30"/>
        <v>0</v>
      </c>
      <c r="K924" s="84">
        <f t="shared" si="31"/>
        <v>0</v>
      </c>
      <c r="L924" s="61" t="e">
        <f>VLOOKUP(K924,[1]Mapping!$J$3:$Q$351,8,FALSE)</f>
        <v>#N/A</v>
      </c>
      <c r="M924" t="s">
        <v>83</v>
      </c>
    </row>
    <row r="925" spans="5:13" hidden="1" x14ac:dyDescent="0.35">
      <c r="E925" s="81"/>
      <c r="I925" s="83" t="e">
        <f>VLOOKUP(E925,[1]Mapping!$A$3:$B$14,2,FALSE)</f>
        <v>#N/A</v>
      </c>
      <c r="J925" s="84">
        <f t="shared" si="30"/>
        <v>0</v>
      </c>
      <c r="K925" s="84">
        <f t="shared" si="31"/>
        <v>0</v>
      </c>
      <c r="L925" s="61" t="e">
        <f>VLOOKUP(K925,[1]Mapping!$J$3:$Q$351,8,FALSE)</f>
        <v>#N/A</v>
      </c>
      <c r="M925" t="s">
        <v>83</v>
      </c>
    </row>
    <row r="926" spans="5:13" hidden="1" x14ac:dyDescent="0.35">
      <c r="E926" s="81"/>
      <c r="I926" s="83" t="e">
        <f>VLOOKUP(E926,[1]Mapping!$A$3:$B$14,2,FALSE)</f>
        <v>#N/A</v>
      </c>
      <c r="J926" s="84">
        <f t="shared" si="30"/>
        <v>0</v>
      </c>
      <c r="K926" s="84">
        <f t="shared" si="31"/>
        <v>0</v>
      </c>
      <c r="L926" s="61" t="e">
        <f>VLOOKUP(K926,[1]Mapping!$J$3:$Q$351,8,FALSE)</f>
        <v>#N/A</v>
      </c>
      <c r="M926" t="s">
        <v>83</v>
      </c>
    </row>
    <row r="927" spans="5:13" hidden="1" x14ac:dyDescent="0.35">
      <c r="E927" s="81"/>
      <c r="I927" s="83" t="e">
        <f>VLOOKUP(E927,[1]Mapping!$A$3:$B$14,2,FALSE)</f>
        <v>#N/A</v>
      </c>
      <c r="J927" s="84">
        <f t="shared" si="30"/>
        <v>0</v>
      </c>
      <c r="K927" s="84">
        <f t="shared" si="31"/>
        <v>0</v>
      </c>
      <c r="L927" s="61" t="e">
        <f>VLOOKUP(K927,[1]Mapping!$J$3:$Q$351,8,FALSE)</f>
        <v>#N/A</v>
      </c>
      <c r="M927" t="s">
        <v>83</v>
      </c>
    </row>
    <row r="928" spans="5:13" hidden="1" x14ac:dyDescent="0.35">
      <c r="E928" s="81"/>
      <c r="I928" s="83" t="e">
        <f>VLOOKUP(E928,[1]Mapping!$A$3:$B$14,2,FALSE)</f>
        <v>#N/A</v>
      </c>
      <c r="J928" s="84">
        <f t="shared" si="30"/>
        <v>0</v>
      </c>
      <c r="K928" s="84">
        <f t="shared" si="31"/>
        <v>0</v>
      </c>
      <c r="L928" s="61" t="e">
        <f>VLOOKUP(K928,[1]Mapping!$J$3:$Q$351,8,FALSE)</f>
        <v>#N/A</v>
      </c>
      <c r="M928" t="s">
        <v>83</v>
      </c>
    </row>
    <row r="929" spans="5:13" hidden="1" x14ac:dyDescent="0.35">
      <c r="E929" s="81"/>
      <c r="I929" s="83" t="e">
        <f>VLOOKUP(E929,[1]Mapping!$A$3:$B$14,2,FALSE)</f>
        <v>#N/A</v>
      </c>
      <c r="J929" s="84">
        <f t="shared" si="30"/>
        <v>0</v>
      </c>
      <c r="K929" s="84">
        <f t="shared" si="31"/>
        <v>0</v>
      </c>
      <c r="L929" s="61" t="e">
        <f>VLOOKUP(K929,[1]Mapping!$J$3:$Q$351,8,FALSE)</f>
        <v>#N/A</v>
      </c>
      <c r="M929" t="s">
        <v>83</v>
      </c>
    </row>
    <row r="930" spans="5:13" hidden="1" x14ac:dyDescent="0.35">
      <c r="E930" s="81"/>
      <c r="I930" s="83" t="e">
        <f>VLOOKUP(E930,[1]Mapping!$A$3:$B$14,2,FALSE)</f>
        <v>#N/A</v>
      </c>
      <c r="J930" s="84">
        <f t="shared" si="30"/>
        <v>0</v>
      </c>
      <c r="K930" s="84">
        <f t="shared" si="31"/>
        <v>0</v>
      </c>
      <c r="L930" s="61" t="e">
        <f>VLOOKUP(K930,[1]Mapping!$J$3:$Q$351,8,FALSE)</f>
        <v>#N/A</v>
      </c>
      <c r="M930" t="s">
        <v>83</v>
      </c>
    </row>
    <row r="931" spans="5:13" hidden="1" x14ac:dyDescent="0.35">
      <c r="E931" s="81"/>
      <c r="I931" s="83" t="e">
        <f>VLOOKUP(E931,[1]Mapping!$A$3:$B$14,2,FALSE)</f>
        <v>#N/A</v>
      </c>
      <c r="J931" s="84">
        <f t="shared" si="30"/>
        <v>0</v>
      </c>
      <c r="K931" s="84">
        <f t="shared" si="31"/>
        <v>0</v>
      </c>
      <c r="L931" s="61" t="e">
        <f>VLOOKUP(K931,[1]Mapping!$J$3:$Q$351,8,FALSE)</f>
        <v>#N/A</v>
      </c>
      <c r="M931" t="s">
        <v>83</v>
      </c>
    </row>
    <row r="932" spans="5:13" hidden="1" x14ac:dyDescent="0.35">
      <c r="E932" s="81"/>
      <c r="I932" s="83" t="e">
        <f>VLOOKUP(E932,[1]Mapping!$A$3:$B$14,2,FALSE)</f>
        <v>#N/A</v>
      </c>
      <c r="J932" s="84">
        <f t="shared" si="30"/>
        <v>0</v>
      </c>
      <c r="K932" s="84">
        <f t="shared" si="31"/>
        <v>0</v>
      </c>
      <c r="L932" s="61" t="e">
        <f>VLOOKUP(K932,[1]Mapping!$J$3:$Q$351,8,FALSE)</f>
        <v>#N/A</v>
      </c>
      <c r="M932" t="s">
        <v>83</v>
      </c>
    </row>
    <row r="933" spans="5:13" hidden="1" x14ac:dyDescent="0.35">
      <c r="E933" s="81"/>
      <c r="I933" s="83" t="e">
        <f>VLOOKUP(E933,[1]Mapping!$A$3:$B$14,2,FALSE)</f>
        <v>#N/A</v>
      </c>
      <c r="J933" s="84">
        <f t="shared" si="30"/>
        <v>0</v>
      </c>
      <c r="K933" s="84">
        <f t="shared" si="31"/>
        <v>0</v>
      </c>
      <c r="L933" s="61" t="e">
        <f>VLOOKUP(K933,[1]Mapping!$J$3:$Q$351,8,FALSE)</f>
        <v>#N/A</v>
      </c>
      <c r="M933" t="s">
        <v>83</v>
      </c>
    </row>
    <row r="934" spans="5:13" hidden="1" x14ac:dyDescent="0.35">
      <c r="E934" s="81"/>
      <c r="I934" s="83" t="e">
        <f>VLOOKUP(E934,[1]Mapping!$A$3:$B$14,2,FALSE)</f>
        <v>#N/A</v>
      </c>
      <c r="J934" s="84">
        <f t="shared" si="30"/>
        <v>0</v>
      </c>
      <c r="K934" s="84">
        <f t="shared" si="31"/>
        <v>0</v>
      </c>
      <c r="L934" s="61" t="e">
        <f>VLOOKUP(K934,[1]Mapping!$J$3:$Q$351,8,FALSE)</f>
        <v>#N/A</v>
      </c>
      <c r="M934" t="s">
        <v>83</v>
      </c>
    </row>
    <row r="935" spans="5:13" hidden="1" x14ac:dyDescent="0.35">
      <c r="E935" s="81"/>
      <c r="I935" s="83" t="e">
        <f>VLOOKUP(E935,[1]Mapping!$A$3:$B$14,2,FALSE)</f>
        <v>#N/A</v>
      </c>
      <c r="J935" s="84">
        <f t="shared" si="30"/>
        <v>0</v>
      </c>
      <c r="K935" s="84">
        <f t="shared" si="31"/>
        <v>0</v>
      </c>
      <c r="L935" s="61" t="e">
        <f>VLOOKUP(K935,[1]Mapping!$J$3:$Q$351,8,FALSE)</f>
        <v>#N/A</v>
      </c>
      <c r="M935" t="s">
        <v>83</v>
      </c>
    </row>
    <row r="936" spans="5:13" hidden="1" x14ac:dyDescent="0.35">
      <c r="E936" s="81"/>
      <c r="I936" s="83" t="e">
        <f>VLOOKUP(E936,[1]Mapping!$A$3:$B$14,2,FALSE)</f>
        <v>#N/A</v>
      </c>
      <c r="J936" s="84">
        <f t="shared" si="30"/>
        <v>0</v>
      </c>
      <c r="K936" s="84">
        <f t="shared" si="31"/>
        <v>0</v>
      </c>
      <c r="L936" s="61" t="e">
        <f>VLOOKUP(K936,[1]Mapping!$J$3:$Q$351,8,FALSE)</f>
        <v>#N/A</v>
      </c>
      <c r="M936" t="s">
        <v>83</v>
      </c>
    </row>
    <row r="937" spans="5:13" hidden="1" x14ac:dyDescent="0.35">
      <c r="E937" s="81"/>
      <c r="I937" s="83" t="e">
        <f>VLOOKUP(E937,[1]Mapping!$A$3:$B$14,2,FALSE)</f>
        <v>#N/A</v>
      </c>
      <c r="J937" s="84">
        <f t="shared" si="30"/>
        <v>0</v>
      </c>
      <c r="K937" s="84">
        <f t="shared" si="31"/>
        <v>0</v>
      </c>
      <c r="L937" s="61" t="e">
        <f>VLOOKUP(K937,[1]Mapping!$J$3:$Q$351,8,FALSE)</f>
        <v>#N/A</v>
      </c>
      <c r="M937" t="s">
        <v>83</v>
      </c>
    </row>
    <row r="938" spans="5:13" hidden="1" x14ac:dyDescent="0.35">
      <c r="E938" s="81"/>
      <c r="I938" s="83" t="e">
        <f>VLOOKUP(E938,[1]Mapping!$A$3:$B$14,2,FALSE)</f>
        <v>#N/A</v>
      </c>
      <c r="J938" s="84">
        <f t="shared" si="30"/>
        <v>0</v>
      </c>
      <c r="K938" s="84">
        <f t="shared" si="31"/>
        <v>0</v>
      </c>
      <c r="L938" s="61" t="e">
        <f>VLOOKUP(K938,[1]Mapping!$J$3:$Q$351,8,FALSE)</f>
        <v>#N/A</v>
      </c>
      <c r="M938" t="s">
        <v>83</v>
      </c>
    </row>
    <row r="939" spans="5:13" hidden="1" x14ac:dyDescent="0.35">
      <c r="E939" s="81"/>
      <c r="I939" s="83" t="e">
        <f>VLOOKUP(E939,[1]Mapping!$A$3:$B$14,2,FALSE)</f>
        <v>#N/A</v>
      </c>
      <c r="J939" s="84">
        <f t="shared" si="30"/>
        <v>0</v>
      </c>
      <c r="K939" s="84">
        <f t="shared" si="31"/>
        <v>0</v>
      </c>
      <c r="L939" s="61" t="e">
        <f>VLOOKUP(K939,[1]Mapping!$J$3:$Q$351,8,FALSE)</f>
        <v>#N/A</v>
      </c>
      <c r="M939" t="s">
        <v>83</v>
      </c>
    </row>
    <row r="940" spans="5:13" hidden="1" x14ac:dyDescent="0.35">
      <c r="E940" s="81"/>
      <c r="I940" s="83" t="e">
        <f>VLOOKUP(E940,[1]Mapping!$A$3:$B$14,2,FALSE)</f>
        <v>#N/A</v>
      </c>
      <c r="J940" s="84">
        <f t="shared" si="30"/>
        <v>0</v>
      </c>
      <c r="K940" s="84">
        <f t="shared" si="31"/>
        <v>0</v>
      </c>
      <c r="L940" s="61" t="e">
        <f>VLOOKUP(K940,[1]Mapping!$J$3:$Q$351,8,FALSE)</f>
        <v>#N/A</v>
      </c>
      <c r="M940" t="s">
        <v>83</v>
      </c>
    </row>
    <row r="941" spans="5:13" hidden="1" x14ac:dyDescent="0.35">
      <c r="E941" s="81"/>
      <c r="I941" s="83" t="e">
        <f>VLOOKUP(E941,[1]Mapping!$A$3:$B$14,2,FALSE)</f>
        <v>#N/A</v>
      </c>
      <c r="J941" s="84">
        <f t="shared" si="30"/>
        <v>0</v>
      </c>
      <c r="K941" s="84">
        <f t="shared" si="31"/>
        <v>0</v>
      </c>
      <c r="L941" s="61" t="e">
        <f>VLOOKUP(K941,[1]Mapping!$J$3:$Q$351,8,FALSE)</f>
        <v>#N/A</v>
      </c>
      <c r="M941" t="s">
        <v>83</v>
      </c>
    </row>
    <row r="942" spans="5:13" hidden="1" x14ac:dyDescent="0.35">
      <c r="E942" s="81"/>
      <c r="I942" s="83" t="e">
        <f>VLOOKUP(E942,[1]Mapping!$A$3:$B$14,2,FALSE)</f>
        <v>#N/A</v>
      </c>
      <c r="J942" s="84">
        <f t="shared" si="30"/>
        <v>0</v>
      </c>
      <c r="K942" s="84">
        <f t="shared" si="31"/>
        <v>0</v>
      </c>
      <c r="L942" s="61" t="e">
        <f>VLOOKUP(K942,[1]Mapping!$J$3:$Q$351,8,FALSE)</f>
        <v>#N/A</v>
      </c>
      <c r="M942" t="s">
        <v>83</v>
      </c>
    </row>
    <row r="943" spans="5:13" hidden="1" x14ac:dyDescent="0.35">
      <c r="E943" s="81"/>
      <c r="I943" s="83" t="e">
        <f>VLOOKUP(E943,[1]Mapping!$A$3:$B$14,2,FALSE)</f>
        <v>#N/A</v>
      </c>
      <c r="J943" s="84">
        <f t="shared" si="30"/>
        <v>0</v>
      </c>
      <c r="K943" s="84">
        <f t="shared" si="31"/>
        <v>0</v>
      </c>
      <c r="L943" s="61" t="e">
        <f>VLOOKUP(K943,[1]Mapping!$J$3:$Q$351,8,FALSE)</f>
        <v>#N/A</v>
      </c>
      <c r="M943" t="s">
        <v>83</v>
      </c>
    </row>
    <row r="944" spans="5:13" hidden="1" x14ac:dyDescent="0.35">
      <c r="E944" s="81"/>
      <c r="I944" s="83" t="e">
        <f>VLOOKUP(E944,[1]Mapping!$A$3:$B$14,2,FALSE)</f>
        <v>#N/A</v>
      </c>
      <c r="J944" s="84">
        <f t="shared" si="30"/>
        <v>0</v>
      </c>
      <c r="K944" s="84">
        <f t="shared" si="31"/>
        <v>0</v>
      </c>
      <c r="L944" s="61" t="e">
        <f>VLOOKUP(K944,[1]Mapping!$J$3:$Q$351,8,FALSE)</f>
        <v>#N/A</v>
      </c>
      <c r="M944" t="s">
        <v>83</v>
      </c>
    </row>
    <row r="945" spans="5:13" hidden="1" x14ac:dyDescent="0.35">
      <c r="E945" s="81"/>
      <c r="I945" s="83" t="e">
        <f>VLOOKUP(E945,[1]Mapping!$A$3:$B$14,2,FALSE)</f>
        <v>#N/A</v>
      </c>
      <c r="J945" s="84">
        <f t="shared" si="30"/>
        <v>0</v>
      </c>
      <c r="K945" s="84">
        <f t="shared" si="31"/>
        <v>0</v>
      </c>
      <c r="L945" s="61" t="e">
        <f>VLOOKUP(K945,[1]Mapping!$J$3:$Q$351,8,FALSE)</f>
        <v>#N/A</v>
      </c>
      <c r="M945" t="s">
        <v>83</v>
      </c>
    </row>
    <row r="946" spans="5:13" hidden="1" x14ac:dyDescent="0.35">
      <c r="E946" s="81"/>
      <c r="I946" s="83" t="e">
        <f>VLOOKUP(E946,[1]Mapping!$A$3:$B$14,2,FALSE)</f>
        <v>#N/A</v>
      </c>
      <c r="J946" s="84">
        <f t="shared" si="30"/>
        <v>0</v>
      </c>
      <c r="K946" s="84">
        <f t="shared" si="31"/>
        <v>0</v>
      </c>
      <c r="L946" s="61" t="e">
        <f>VLOOKUP(K946,[1]Mapping!$J$3:$Q$351,8,FALSE)</f>
        <v>#N/A</v>
      </c>
      <c r="M946" t="s">
        <v>83</v>
      </c>
    </row>
    <row r="947" spans="5:13" hidden="1" x14ac:dyDescent="0.35">
      <c r="E947" s="81"/>
      <c r="I947" s="83" t="e">
        <f>VLOOKUP(E947,[1]Mapping!$A$3:$B$14,2,FALSE)</f>
        <v>#N/A</v>
      </c>
      <c r="J947" s="84">
        <f t="shared" si="30"/>
        <v>0</v>
      </c>
      <c r="K947" s="84">
        <f t="shared" si="31"/>
        <v>0</v>
      </c>
      <c r="L947" s="61" t="e">
        <f>VLOOKUP(K947,[1]Mapping!$J$3:$Q$351,8,FALSE)</f>
        <v>#N/A</v>
      </c>
      <c r="M947" t="s">
        <v>83</v>
      </c>
    </row>
    <row r="948" spans="5:13" hidden="1" x14ac:dyDescent="0.35">
      <c r="E948" s="81"/>
      <c r="I948" s="83" t="e">
        <f>VLOOKUP(E948,[1]Mapping!$A$3:$B$14,2,FALSE)</f>
        <v>#N/A</v>
      </c>
      <c r="J948" s="84">
        <f t="shared" si="30"/>
        <v>0</v>
      </c>
      <c r="K948" s="84">
        <f t="shared" si="31"/>
        <v>0</v>
      </c>
      <c r="L948" s="61" t="e">
        <f>VLOOKUP(K948,[1]Mapping!$J$3:$Q$351,8,FALSE)</f>
        <v>#N/A</v>
      </c>
      <c r="M948" t="s">
        <v>83</v>
      </c>
    </row>
    <row r="949" spans="5:13" hidden="1" x14ac:dyDescent="0.35">
      <c r="E949" s="81"/>
      <c r="I949" s="83" t="e">
        <f>VLOOKUP(E949,[1]Mapping!$A$3:$B$14,2,FALSE)</f>
        <v>#N/A</v>
      </c>
      <c r="J949" s="84">
        <f t="shared" si="30"/>
        <v>0</v>
      </c>
      <c r="K949" s="84">
        <f t="shared" si="31"/>
        <v>0</v>
      </c>
      <c r="L949" s="61" t="e">
        <f>VLOOKUP(K949,[1]Mapping!$J$3:$Q$351,8,FALSE)</f>
        <v>#N/A</v>
      </c>
      <c r="M949" t="s">
        <v>83</v>
      </c>
    </row>
    <row r="950" spans="5:13" hidden="1" x14ac:dyDescent="0.35">
      <c r="E950" s="81"/>
      <c r="I950" s="83" t="e">
        <f>VLOOKUP(E950,[1]Mapping!$A$3:$B$14,2,FALSE)</f>
        <v>#N/A</v>
      </c>
      <c r="J950" s="84">
        <f t="shared" si="30"/>
        <v>0</v>
      </c>
      <c r="K950" s="84">
        <f t="shared" si="31"/>
        <v>0</v>
      </c>
      <c r="L950" s="61" t="e">
        <f>VLOOKUP(K950,[1]Mapping!$J$3:$Q$351,8,FALSE)</f>
        <v>#N/A</v>
      </c>
      <c r="M950" t="s">
        <v>83</v>
      </c>
    </row>
    <row r="951" spans="5:13" hidden="1" x14ac:dyDescent="0.35">
      <c r="E951" s="81"/>
      <c r="I951" s="83" t="e">
        <f>VLOOKUP(E951,[1]Mapping!$A$3:$B$14,2,FALSE)</f>
        <v>#N/A</v>
      </c>
      <c r="J951" s="84">
        <f t="shared" si="30"/>
        <v>0</v>
      </c>
      <c r="K951" s="84">
        <f t="shared" si="31"/>
        <v>0</v>
      </c>
      <c r="L951" s="61" t="e">
        <f>VLOOKUP(K951,[1]Mapping!$J$3:$Q$351,8,FALSE)</f>
        <v>#N/A</v>
      </c>
      <c r="M951" t="s">
        <v>83</v>
      </c>
    </row>
    <row r="952" spans="5:13" hidden="1" x14ac:dyDescent="0.35">
      <c r="E952" s="81"/>
      <c r="I952" s="83" t="e">
        <f>VLOOKUP(E952,[1]Mapping!$A$3:$B$14,2,FALSE)</f>
        <v>#N/A</v>
      </c>
      <c r="J952" s="84">
        <f t="shared" si="30"/>
        <v>0</v>
      </c>
      <c r="K952" s="84">
        <f t="shared" si="31"/>
        <v>0</v>
      </c>
      <c r="L952" s="61" t="e">
        <f>VLOOKUP(K952,[1]Mapping!$J$3:$Q$351,8,FALSE)</f>
        <v>#N/A</v>
      </c>
      <c r="M952" t="s">
        <v>83</v>
      </c>
    </row>
    <row r="953" spans="5:13" hidden="1" x14ac:dyDescent="0.35">
      <c r="E953" s="81"/>
      <c r="I953" s="83" t="e">
        <f>VLOOKUP(E953,[1]Mapping!$A$3:$B$14,2,FALSE)</f>
        <v>#N/A</v>
      </c>
      <c r="J953" s="84">
        <f t="shared" si="30"/>
        <v>0</v>
      </c>
      <c r="K953" s="84">
        <f t="shared" si="31"/>
        <v>0</v>
      </c>
      <c r="L953" s="61" t="e">
        <f>VLOOKUP(K953,[1]Mapping!$J$3:$Q$351,8,FALSE)</f>
        <v>#N/A</v>
      </c>
      <c r="M953" t="s">
        <v>83</v>
      </c>
    </row>
    <row r="954" spans="5:13" hidden="1" x14ac:dyDescent="0.35">
      <c r="E954" s="81"/>
      <c r="I954" s="83" t="e">
        <f>VLOOKUP(E954,[1]Mapping!$A$3:$B$14,2,FALSE)</f>
        <v>#N/A</v>
      </c>
      <c r="J954" s="84">
        <f t="shared" si="30"/>
        <v>0</v>
      </c>
      <c r="K954" s="84">
        <f t="shared" si="31"/>
        <v>0</v>
      </c>
      <c r="L954" s="61" t="e">
        <f>VLOOKUP(K954,[1]Mapping!$J$3:$Q$351,8,FALSE)</f>
        <v>#N/A</v>
      </c>
      <c r="M954" t="s">
        <v>83</v>
      </c>
    </row>
    <row r="955" spans="5:13" hidden="1" x14ac:dyDescent="0.35">
      <c r="E955" s="81"/>
      <c r="I955" s="83" t="e">
        <f>VLOOKUP(E955,[1]Mapping!$A$3:$B$14,2,FALSE)</f>
        <v>#N/A</v>
      </c>
      <c r="J955" s="84">
        <f t="shared" si="30"/>
        <v>0</v>
      </c>
      <c r="K955" s="84">
        <f t="shared" si="31"/>
        <v>0</v>
      </c>
      <c r="L955" s="61" t="e">
        <f>VLOOKUP(K955,[1]Mapping!$J$3:$Q$351,8,FALSE)</f>
        <v>#N/A</v>
      </c>
      <c r="M955" t="s">
        <v>83</v>
      </c>
    </row>
    <row r="956" spans="5:13" hidden="1" x14ac:dyDescent="0.35">
      <c r="E956" s="81"/>
      <c r="I956" s="83" t="e">
        <f>VLOOKUP(E956,[1]Mapping!$A$3:$B$14,2,FALSE)</f>
        <v>#N/A</v>
      </c>
      <c r="J956" s="84">
        <f t="shared" si="30"/>
        <v>0</v>
      </c>
      <c r="K956" s="84">
        <f t="shared" si="31"/>
        <v>0</v>
      </c>
      <c r="L956" s="61" t="e">
        <f>VLOOKUP(K956,[1]Mapping!$J$3:$Q$351,8,FALSE)</f>
        <v>#N/A</v>
      </c>
      <c r="M956" t="s">
        <v>83</v>
      </c>
    </row>
    <row r="957" spans="5:13" hidden="1" x14ac:dyDescent="0.35">
      <c r="E957" s="81"/>
      <c r="I957" s="83" t="e">
        <f>VLOOKUP(E957,[1]Mapping!$A$3:$B$14,2,FALSE)</f>
        <v>#N/A</v>
      </c>
      <c r="J957" s="84">
        <f t="shared" si="30"/>
        <v>0</v>
      </c>
      <c r="K957" s="84">
        <f t="shared" si="31"/>
        <v>0</v>
      </c>
      <c r="L957" s="61" t="e">
        <f>VLOOKUP(K957,[1]Mapping!$J$3:$Q$351,8,FALSE)</f>
        <v>#N/A</v>
      </c>
      <c r="M957" t="s">
        <v>83</v>
      </c>
    </row>
    <row r="958" spans="5:13" hidden="1" x14ac:dyDescent="0.35">
      <c r="E958" s="81"/>
      <c r="I958" s="83" t="e">
        <f>VLOOKUP(E958,[1]Mapping!$A$3:$B$14,2,FALSE)</f>
        <v>#N/A</v>
      </c>
      <c r="J958" s="84">
        <f t="shared" si="30"/>
        <v>0</v>
      </c>
      <c r="K958" s="84">
        <f t="shared" si="31"/>
        <v>0</v>
      </c>
      <c r="L958" s="61" t="e">
        <f>VLOOKUP(K958,[1]Mapping!$J$3:$Q$351,8,FALSE)</f>
        <v>#N/A</v>
      </c>
      <c r="M958" t="s">
        <v>83</v>
      </c>
    </row>
    <row r="959" spans="5:13" hidden="1" x14ac:dyDescent="0.35">
      <c r="E959" s="81"/>
      <c r="I959" s="83" t="e">
        <f>VLOOKUP(E959,[1]Mapping!$A$3:$B$14,2,FALSE)</f>
        <v>#N/A</v>
      </c>
      <c r="J959" s="84">
        <f t="shared" si="30"/>
        <v>0</v>
      </c>
      <c r="K959" s="84">
        <f t="shared" si="31"/>
        <v>0</v>
      </c>
      <c r="L959" s="61" t="e">
        <f>VLOOKUP(K959,[1]Mapping!$J$3:$Q$351,8,FALSE)</f>
        <v>#N/A</v>
      </c>
      <c r="M959" t="s">
        <v>83</v>
      </c>
    </row>
    <row r="960" spans="5:13" hidden="1" x14ac:dyDescent="0.35">
      <c r="E960" s="81"/>
      <c r="I960" s="83" t="e">
        <f>VLOOKUP(E960,[1]Mapping!$A$3:$B$14,2,FALSE)</f>
        <v>#N/A</v>
      </c>
      <c r="J960" s="84">
        <f t="shared" si="30"/>
        <v>0</v>
      </c>
      <c r="K960" s="84">
        <f t="shared" si="31"/>
        <v>0</v>
      </c>
      <c r="L960" s="61" t="e">
        <f>VLOOKUP(K960,[1]Mapping!$J$3:$Q$351,8,FALSE)</f>
        <v>#N/A</v>
      </c>
      <c r="M960" t="s">
        <v>83</v>
      </c>
    </row>
    <row r="961" spans="5:13" hidden="1" x14ac:dyDescent="0.35">
      <c r="E961" s="81"/>
      <c r="I961" s="83" t="e">
        <f>VLOOKUP(E961,[1]Mapping!$A$3:$B$14,2,FALSE)</f>
        <v>#N/A</v>
      </c>
      <c r="J961" s="84">
        <f t="shared" si="30"/>
        <v>0</v>
      </c>
      <c r="K961" s="84">
        <f t="shared" si="31"/>
        <v>0</v>
      </c>
      <c r="L961" s="61" t="e">
        <f>VLOOKUP(K961,[1]Mapping!$J$3:$Q$351,8,FALSE)</f>
        <v>#N/A</v>
      </c>
      <c r="M961" t="s">
        <v>83</v>
      </c>
    </row>
    <row r="962" spans="5:13" hidden="1" x14ac:dyDescent="0.35">
      <c r="E962" s="81"/>
      <c r="I962" s="83" t="e">
        <f>VLOOKUP(E962,[1]Mapping!$A$3:$B$14,2,FALSE)</f>
        <v>#N/A</v>
      </c>
      <c r="J962" s="84">
        <f t="shared" si="30"/>
        <v>0</v>
      </c>
      <c r="K962" s="84">
        <f t="shared" si="31"/>
        <v>0</v>
      </c>
      <c r="L962" s="61" t="e">
        <f>VLOOKUP(K962,[1]Mapping!$J$3:$Q$351,8,FALSE)</f>
        <v>#N/A</v>
      </c>
      <c r="M962" t="s">
        <v>83</v>
      </c>
    </row>
    <row r="963" spans="5:13" hidden="1" x14ac:dyDescent="0.35">
      <c r="E963" s="81"/>
      <c r="I963" s="83" t="e">
        <f>VLOOKUP(E963,[1]Mapping!$A$3:$B$14,2,FALSE)</f>
        <v>#N/A</v>
      </c>
      <c r="J963" s="84">
        <f t="shared" si="30"/>
        <v>0</v>
      </c>
      <c r="K963" s="84">
        <f t="shared" si="31"/>
        <v>0</v>
      </c>
      <c r="L963" s="61" t="e">
        <f>VLOOKUP(K963,[1]Mapping!$J$3:$Q$351,8,FALSE)</f>
        <v>#N/A</v>
      </c>
      <c r="M963" t="s">
        <v>83</v>
      </c>
    </row>
    <row r="964" spans="5:13" hidden="1" x14ac:dyDescent="0.35">
      <c r="E964" s="81"/>
      <c r="I964" s="83" t="e">
        <f>VLOOKUP(E964,[1]Mapping!$A$3:$B$14,2,FALSE)</f>
        <v>#N/A</v>
      </c>
      <c r="J964" s="84">
        <f t="shared" si="30"/>
        <v>0</v>
      </c>
      <c r="K964" s="84">
        <f t="shared" si="31"/>
        <v>0</v>
      </c>
      <c r="L964" s="61" t="e">
        <f>VLOOKUP(K964,[1]Mapping!$J$3:$Q$351,8,FALSE)</f>
        <v>#N/A</v>
      </c>
      <c r="M964" t="s">
        <v>83</v>
      </c>
    </row>
    <row r="965" spans="5:13" hidden="1" x14ac:dyDescent="0.35">
      <c r="E965" s="81"/>
      <c r="I965" s="83" t="e">
        <f>VLOOKUP(E965,[1]Mapping!$A$3:$B$14,2,FALSE)</f>
        <v>#N/A</v>
      </c>
      <c r="J965" s="84">
        <f t="shared" si="30"/>
        <v>0</v>
      </c>
      <c r="K965" s="84">
        <f t="shared" si="31"/>
        <v>0</v>
      </c>
      <c r="L965" s="61" t="e">
        <f>VLOOKUP(K965,[1]Mapping!$J$3:$Q$351,8,FALSE)</f>
        <v>#N/A</v>
      </c>
      <c r="M965" t="s">
        <v>83</v>
      </c>
    </row>
    <row r="966" spans="5:13" hidden="1" x14ac:dyDescent="0.35">
      <c r="E966" s="81"/>
      <c r="I966" s="83" t="e">
        <f>VLOOKUP(E966,[1]Mapping!$A$3:$B$14,2,FALSE)</f>
        <v>#N/A</v>
      </c>
      <c r="J966" s="84">
        <f t="shared" si="30"/>
        <v>0</v>
      </c>
      <c r="K966" s="84">
        <f t="shared" si="31"/>
        <v>0</v>
      </c>
      <c r="L966" s="61" t="e">
        <f>VLOOKUP(K966,[1]Mapping!$J$3:$Q$351,8,FALSE)</f>
        <v>#N/A</v>
      </c>
      <c r="M966" t="s">
        <v>83</v>
      </c>
    </row>
    <row r="967" spans="5:13" hidden="1" x14ac:dyDescent="0.35">
      <c r="E967" s="81"/>
      <c r="I967" s="83" t="e">
        <f>VLOOKUP(E967,[1]Mapping!$A$3:$B$14,2,FALSE)</f>
        <v>#N/A</v>
      </c>
      <c r="J967" s="84">
        <f t="shared" si="30"/>
        <v>0</v>
      </c>
      <c r="K967" s="84">
        <f t="shared" si="31"/>
        <v>0</v>
      </c>
      <c r="L967" s="61" t="e">
        <f>VLOOKUP(K967,[1]Mapping!$J$3:$Q$351,8,FALSE)</f>
        <v>#N/A</v>
      </c>
      <c r="M967" t="s">
        <v>83</v>
      </c>
    </row>
    <row r="968" spans="5:13" hidden="1" x14ac:dyDescent="0.35">
      <c r="E968" s="81"/>
      <c r="I968" s="83" t="e">
        <f>VLOOKUP(E968,[1]Mapping!$A$3:$B$14,2,FALSE)</f>
        <v>#N/A</v>
      </c>
      <c r="J968" s="84">
        <f t="shared" si="30"/>
        <v>0</v>
      </c>
      <c r="K968" s="84">
        <f t="shared" si="31"/>
        <v>0</v>
      </c>
      <c r="L968" s="61" t="e">
        <f>VLOOKUP(K968,[1]Mapping!$J$3:$Q$351,8,FALSE)</f>
        <v>#N/A</v>
      </c>
      <c r="M968" t="s">
        <v>83</v>
      </c>
    </row>
    <row r="969" spans="5:13" hidden="1" x14ac:dyDescent="0.35">
      <c r="E969" s="81"/>
      <c r="I969" s="83" t="e">
        <f>VLOOKUP(E969,[1]Mapping!$A$3:$B$14,2,FALSE)</f>
        <v>#N/A</v>
      </c>
      <c r="J969" s="84">
        <f t="shared" si="30"/>
        <v>0</v>
      </c>
      <c r="K969" s="84">
        <f t="shared" si="31"/>
        <v>0</v>
      </c>
      <c r="L969" s="61" t="e">
        <f>VLOOKUP(K969,[1]Mapping!$J$3:$Q$351,8,FALSE)</f>
        <v>#N/A</v>
      </c>
      <c r="M969" t="s">
        <v>83</v>
      </c>
    </row>
    <row r="970" spans="5:13" hidden="1" x14ac:dyDescent="0.35">
      <c r="E970" s="81"/>
      <c r="I970" s="83" t="e">
        <f>VLOOKUP(E970,[1]Mapping!$A$3:$B$14,2,FALSE)</f>
        <v>#N/A</v>
      </c>
      <c r="J970" s="84">
        <f t="shared" si="30"/>
        <v>0</v>
      </c>
      <c r="K970" s="84">
        <f t="shared" si="31"/>
        <v>0</v>
      </c>
      <c r="L970" s="61" t="e">
        <f>VLOOKUP(K970,[1]Mapping!$J$3:$Q$351,8,FALSE)</f>
        <v>#N/A</v>
      </c>
      <c r="M970" t="s">
        <v>83</v>
      </c>
    </row>
    <row r="971" spans="5:13" hidden="1" x14ac:dyDescent="0.35">
      <c r="E971" s="81"/>
      <c r="I971" s="83" t="e">
        <f>VLOOKUP(E971,[1]Mapping!$A$3:$B$14,2,FALSE)</f>
        <v>#N/A</v>
      </c>
      <c r="J971" s="84">
        <f t="shared" si="30"/>
        <v>0</v>
      </c>
      <c r="K971" s="84">
        <f t="shared" si="31"/>
        <v>0</v>
      </c>
      <c r="L971" s="61" t="e">
        <f>VLOOKUP(K971,[1]Mapping!$J$3:$Q$351,8,FALSE)</f>
        <v>#N/A</v>
      </c>
      <c r="M971" t="s">
        <v>83</v>
      </c>
    </row>
    <row r="972" spans="5:13" hidden="1" x14ac:dyDescent="0.35">
      <c r="E972" s="81"/>
      <c r="I972" s="83" t="e">
        <f>VLOOKUP(E972,[1]Mapping!$A$3:$B$14,2,FALSE)</f>
        <v>#N/A</v>
      </c>
      <c r="J972" s="84">
        <f t="shared" si="30"/>
        <v>0</v>
      </c>
      <c r="K972" s="84">
        <f t="shared" si="31"/>
        <v>0</v>
      </c>
      <c r="L972" s="61" t="e">
        <f>VLOOKUP(K972,[1]Mapping!$J$3:$Q$351,8,FALSE)</f>
        <v>#N/A</v>
      </c>
      <c r="M972" t="s">
        <v>83</v>
      </c>
    </row>
    <row r="973" spans="5:13" hidden="1" x14ac:dyDescent="0.35">
      <c r="E973" s="81"/>
      <c r="I973" s="83" t="e">
        <f>VLOOKUP(E973,[1]Mapping!$A$3:$B$14,2,FALSE)</f>
        <v>#N/A</v>
      </c>
      <c r="J973" s="84">
        <f t="shared" si="30"/>
        <v>0</v>
      </c>
      <c r="K973" s="84">
        <f t="shared" si="31"/>
        <v>0</v>
      </c>
      <c r="L973" s="61" t="e">
        <f>VLOOKUP(K973,[1]Mapping!$J$3:$Q$351,8,FALSE)</f>
        <v>#N/A</v>
      </c>
      <c r="M973" t="s">
        <v>83</v>
      </c>
    </row>
    <row r="974" spans="5:13" hidden="1" x14ac:dyDescent="0.35">
      <c r="E974" s="81"/>
      <c r="I974" s="83" t="e">
        <f>VLOOKUP(E974,[1]Mapping!$A$3:$B$14,2,FALSE)</f>
        <v>#N/A</v>
      </c>
      <c r="J974" s="84">
        <f t="shared" si="30"/>
        <v>0</v>
      </c>
      <c r="K974" s="84">
        <f t="shared" si="31"/>
        <v>0</v>
      </c>
      <c r="L974" s="61" t="e">
        <f>VLOOKUP(K974,[1]Mapping!$J$3:$Q$351,8,FALSE)</f>
        <v>#N/A</v>
      </c>
      <c r="M974" t="s">
        <v>83</v>
      </c>
    </row>
    <row r="975" spans="5:13" hidden="1" x14ac:dyDescent="0.35">
      <c r="E975" s="81"/>
      <c r="I975" s="83" t="e">
        <f>VLOOKUP(E975,[1]Mapping!$A$3:$B$14,2,FALSE)</f>
        <v>#N/A</v>
      </c>
      <c r="J975" s="84">
        <f t="shared" si="30"/>
        <v>0</v>
      </c>
      <c r="K975" s="84">
        <f t="shared" si="31"/>
        <v>0</v>
      </c>
      <c r="L975" s="61" t="e">
        <f>VLOOKUP(K975,[1]Mapping!$J$3:$Q$351,8,FALSE)</f>
        <v>#N/A</v>
      </c>
      <c r="M975" t="s">
        <v>83</v>
      </c>
    </row>
    <row r="976" spans="5:13" hidden="1" x14ac:dyDescent="0.35">
      <c r="E976" s="81"/>
      <c r="I976" s="83" t="e">
        <f>VLOOKUP(E976,[1]Mapping!$A$3:$B$14,2,FALSE)</f>
        <v>#N/A</v>
      </c>
      <c r="J976" s="84">
        <f t="shared" si="30"/>
        <v>0</v>
      </c>
      <c r="K976" s="84">
        <f t="shared" si="31"/>
        <v>0</v>
      </c>
      <c r="L976" s="61" t="e">
        <f>VLOOKUP(K976,[1]Mapping!$J$3:$Q$351,8,FALSE)</f>
        <v>#N/A</v>
      </c>
      <c r="M976" t="s">
        <v>83</v>
      </c>
    </row>
    <row r="977" spans="5:13" hidden="1" x14ac:dyDescent="0.35">
      <c r="E977" s="81"/>
      <c r="I977" s="83" t="e">
        <f>VLOOKUP(E977,[1]Mapping!$A$3:$B$14,2,FALSE)</f>
        <v>#N/A</v>
      </c>
      <c r="J977" s="84">
        <f t="shared" si="30"/>
        <v>0</v>
      </c>
      <c r="K977" s="84">
        <f t="shared" si="31"/>
        <v>0</v>
      </c>
      <c r="L977" s="61" t="e">
        <f>VLOOKUP(K977,[1]Mapping!$J$3:$Q$351,8,FALSE)</f>
        <v>#N/A</v>
      </c>
      <c r="M977" t="s">
        <v>83</v>
      </c>
    </row>
    <row r="978" spans="5:13" hidden="1" x14ac:dyDescent="0.35">
      <c r="E978" s="81"/>
      <c r="I978" s="83" t="e">
        <f>VLOOKUP(E978,[1]Mapping!$A$3:$B$14,2,FALSE)</f>
        <v>#N/A</v>
      </c>
      <c r="J978" s="84">
        <f t="shared" si="30"/>
        <v>0</v>
      </c>
      <c r="K978" s="84">
        <f t="shared" si="31"/>
        <v>0</v>
      </c>
      <c r="L978" s="61" t="e">
        <f>VLOOKUP(K978,[1]Mapping!$J$3:$Q$351,8,FALSE)</f>
        <v>#N/A</v>
      </c>
      <c r="M978" t="s">
        <v>83</v>
      </c>
    </row>
    <row r="979" spans="5:13" hidden="1" x14ac:dyDescent="0.35">
      <c r="E979" s="81"/>
      <c r="I979" s="83" t="e">
        <f>VLOOKUP(E979,[1]Mapping!$A$3:$B$14,2,FALSE)</f>
        <v>#N/A</v>
      </c>
      <c r="J979" s="84">
        <f t="shared" si="30"/>
        <v>0</v>
      </c>
      <c r="K979" s="84">
        <f t="shared" si="31"/>
        <v>0</v>
      </c>
      <c r="L979" s="61" t="e">
        <f>VLOOKUP(K979,[1]Mapping!$J$3:$Q$351,8,FALSE)</f>
        <v>#N/A</v>
      </c>
      <c r="M979" t="s">
        <v>83</v>
      </c>
    </row>
    <row r="980" spans="5:13" hidden="1" x14ac:dyDescent="0.35">
      <c r="E980" s="81"/>
      <c r="I980" s="83" t="e">
        <f>VLOOKUP(E980,[1]Mapping!$A$3:$B$14,2,FALSE)</f>
        <v>#N/A</v>
      </c>
      <c r="J980" s="84">
        <f t="shared" si="30"/>
        <v>0</v>
      </c>
      <c r="K980" s="84">
        <f t="shared" si="31"/>
        <v>0</v>
      </c>
      <c r="L980" s="61" t="e">
        <f>VLOOKUP(K980,[1]Mapping!$J$3:$Q$351,8,FALSE)</f>
        <v>#N/A</v>
      </c>
      <c r="M980" t="s">
        <v>83</v>
      </c>
    </row>
    <row r="981" spans="5:13" hidden="1" x14ac:dyDescent="0.35">
      <c r="E981" s="81"/>
      <c r="I981" s="83" t="e">
        <f>VLOOKUP(E981,[1]Mapping!$A$3:$B$14,2,FALSE)</f>
        <v>#N/A</v>
      </c>
      <c r="J981" s="84">
        <f t="shared" si="30"/>
        <v>0</v>
      </c>
      <c r="K981" s="84">
        <f t="shared" si="31"/>
        <v>0</v>
      </c>
      <c r="L981" s="61" t="e">
        <f>VLOOKUP(K981,[1]Mapping!$J$3:$Q$351,8,FALSE)</f>
        <v>#N/A</v>
      </c>
      <c r="M981" t="s">
        <v>83</v>
      </c>
    </row>
    <row r="982" spans="5:13" hidden="1" x14ac:dyDescent="0.35">
      <c r="E982" s="81"/>
      <c r="I982" s="83" t="e">
        <f>VLOOKUP(E982,[1]Mapping!$A$3:$B$14,2,FALSE)</f>
        <v>#N/A</v>
      </c>
      <c r="J982" s="84">
        <f t="shared" si="30"/>
        <v>0</v>
      </c>
      <c r="K982" s="84">
        <f t="shared" si="31"/>
        <v>0</v>
      </c>
      <c r="L982" s="61" t="e">
        <f>VLOOKUP(K982,[1]Mapping!$J$3:$Q$351,8,FALSE)</f>
        <v>#N/A</v>
      </c>
      <c r="M982" t="s">
        <v>83</v>
      </c>
    </row>
    <row r="983" spans="5:13" hidden="1" x14ac:dyDescent="0.35">
      <c r="E983" s="81"/>
      <c r="I983" s="83" t="e">
        <f>VLOOKUP(E983,[1]Mapping!$A$3:$B$14,2,FALSE)</f>
        <v>#N/A</v>
      </c>
      <c r="J983" s="84">
        <f t="shared" si="30"/>
        <v>0</v>
      </c>
      <c r="K983" s="84">
        <f t="shared" si="31"/>
        <v>0</v>
      </c>
      <c r="L983" s="61" t="e">
        <f>VLOOKUP(K983,[1]Mapping!$J$3:$Q$351,8,FALSE)</f>
        <v>#N/A</v>
      </c>
      <c r="M983" t="s">
        <v>83</v>
      </c>
    </row>
    <row r="984" spans="5:13" hidden="1" x14ac:dyDescent="0.35">
      <c r="E984" s="81"/>
      <c r="I984" s="83" t="e">
        <f>VLOOKUP(E984,[1]Mapping!$A$3:$B$14,2,FALSE)</f>
        <v>#N/A</v>
      </c>
      <c r="J984" s="84">
        <f t="shared" si="30"/>
        <v>0</v>
      </c>
      <c r="K984" s="84">
        <f t="shared" si="31"/>
        <v>0</v>
      </c>
      <c r="L984" s="61" t="e">
        <f>VLOOKUP(K984,[1]Mapping!$J$3:$Q$351,8,FALSE)</f>
        <v>#N/A</v>
      </c>
      <c r="M984" t="s">
        <v>83</v>
      </c>
    </row>
    <row r="985" spans="5:13" hidden="1" x14ac:dyDescent="0.35">
      <c r="E985" s="81"/>
      <c r="I985" s="83" t="e">
        <f>VLOOKUP(E985,[1]Mapping!$A$3:$B$14,2,FALSE)</f>
        <v>#N/A</v>
      </c>
      <c r="J985" s="84">
        <f t="shared" si="30"/>
        <v>0</v>
      </c>
      <c r="K985" s="84">
        <f t="shared" si="31"/>
        <v>0</v>
      </c>
      <c r="L985" s="61" t="e">
        <f>VLOOKUP(K985,[1]Mapping!$J$3:$Q$351,8,FALSE)</f>
        <v>#N/A</v>
      </c>
      <c r="M985" t="s">
        <v>83</v>
      </c>
    </row>
    <row r="986" spans="5:13" hidden="1" x14ac:dyDescent="0.35">
      <c r="E986" s="81"/>
      <c r="I986" s="83" t="e">
        <f>VLOOKUP(E986,[1]Mapping!$A$3:$B$14,2,FALSE)</f>
        <v>#N/A</v>
      </c>
      <c r="J986" s="84">
        <f t="shared" si="30"/>
        <v>0</v>
      </c>
      <c r="K986" s="84">
        <f t="shared" si="31"/>
        <v>0</v>
      </c>
      <c r="L986" s="61" t="e">
        <f>VLOOKUP(K986,[1]Mapping!$J$3:$Q$351,8,FALSE)</f>
        <v>#N/A</v>
      </c>
      <c r="M986" t="s">
        <v>83</v>
      </c>
    </row>
    <row r="987" spans="5:13" hidden="1" x14ac:dyDescent="0.35">
      <c r="E987" s="81"/>
      <c r="I987" s="83" t="e">
        <f>VLOOKUP(E987,[1]Mapping!$A$3:$B$14,2,FALSE)</f>
        <v>#N/A</v>
      </c>
      <c r="J987" s="84">
        <f t="shared" ref="J987:J1022" si="32">VALUE(A987)</f>
        <v>0</v>
      </c>
      <c r="K987" s="84">
        <f t="shared" ref="K987:K1022" si="33">VALUE(C987)</f>
        <v>0</v>
      </c>
      <c r="L987" s="61" t="e">
        <f>VLOOKUP(K987,[1]Mapping!$J$3:$Q$351,8,FALSE)</f>
        <v>#N/A</v>
      </c>
      <c r="M987" t="s">
        <v>83</v>
      </c>
    </row>
    <row r="988" spans="5:13" hidden="1" x14ac:dyDescent="0.35">
      <c r="E988" s="81"/>
      <c r="I988" s="83" t="e">
        <f>VLOOKUP(E988,[1]Mapping!$A$3:$B$14,2,FALSE)</f>
        <v>#N/A</v>
      </c>
      <c r="J988" s="84">
        <f t="shared" si="32"/>
        <v>0</v>
      </c>
      <c r="K988" s="84">
        <f t="shared" si="33"/>
        <v>0</v>
      </c>
      <c r="L988" s="61" t="e">
        <f>VLOOKUP(K988,[1]Mapping!$J$3:$Q$351,8,FALSE)</f>
        <v>#N/A</v>
      </c>
      <c r="M988" t="s">
        <v>83</v>
      </c>
    </row>
    <row r="989" spans="5:13" hidden="1" x14ac:dyDescent="0.35">
      <c r="E989" s="81"/>
      <c r="I989" s="83" t="e">
        <f>VLOOKUP(E989,[1]Mapping!$A$3:$B$14,2,FALSE)</f>
        <v>#N/A</v>
      </c>
      <c r="J989" s="84">
        <f t="shared" si="32"/>
        <v>0</v>
      </c>
      <c r="K989" s="84">
        <f t="shared" si="33"/>
        <v>0</v>
      </c>
      <c r="L989" s="61" t="e">
        <f>VLOOKUP(K989,[1]Mapping!$J$3:$Q$351,8,FALSE)</f>
        <v>#N/A</v>
      </c>
      <c r="M989" t="s">
        <v>83</v>
      </c>
    </row>
    <row r="990" spans="5:13" hidden="1" x14ac:dyDescent="0.35">
      <c r="E990" s="81"/>
      <c r="I990" s="83" t="e">
        <f>VLOOKUP(E990,[1]Mapping!$A$3:$B$14,2,FALSE)</f>
        <v>#N/A</v>
      </c>
      <c r="J990" s="84">
        <f t="shared" si="32"/>
        <v>0</v>
      </c>
      <c r="K990" s="84">
        <f t="shared" si="33"/>
        <v>0</v>
      </c>
      <c r="L990" s="61" t="e">
        <f>VLOOKUP(K990,[1]Mapping!$J$3:$Q$351,8,FALSE)</f>
        <v>#N/A</v>
      </c>
      <c r="M990" t="s">
        <v>83</v>
      </c>
    </row>
    <row r="991" spans="5:13" hidden="1" x14ac:dyDescent="0.35">
      <c r="E991" s="81"/>
      <c r="I991" s="83" t="e">
        <f>VLOOKUP(E991,[1]Mapping!$A$3:$B$14,2,FALSE)</f>
        <v>#N/A</v>
      </c>
      <c r="J991" s="84">
        <f t="shared" si="32"/>
        <v>0</v>
      </c>
      <c r="K991" s="84">
        <f t="shared" si="33"/>
        <v>0</v>
      </c>
      <c r="L991" s="61" t="e">
        <f>VLOOKUP(K991,[1]Mapping!$J$3:$Q$351,8,FALSE)</f>
        <v>#N/A</v>
      </c>
      <c r="M991" t="s">
        <v>83</v>
      </c>
    </row>
    <row r="992" spans="5:13" hidden="1" x14ac:dyDescent="0.35">
      <c r="E992" s="81"/>
      <c r="I992" s="83" t="e">
        <f>VLOOKUP(E992,[1]Mapping!$A$3:$B$14,2,FALSE)</f>
        <v>#N/A</v>
      </c>
      <c r="J992" s="84">
        <f t="shared" si="32"/>
        <v>0</v>
      </c>
      <c r="K992" s="84">
        <f t="shared" si="33"/>
        <v>0</v>
      </c>
      <c r="L992" s="61" t="e">
        <f>VLOOKUP(K992,[1]Mapping!$J$3:$Q$351,8,FALSE)</f>
        <v>#N/A</v>
      </c>
      <c r="M992" t="s">
        <v>83</v>
      </c>
    </row>
    <row r="993" spans="5:13" hidden="1" x14ac:dyDescent="0.35">
      <c r="E993" s="81"/>
      <c r="I993" s="83" t="e">
        <f>VLOOKUP(E993,[1]Mapping!$A$3:$B$14,2,FALSE)</f>
        <v>#N/A</v>
      </c>
      <c r="J993" s="84">
        <f t="shared" si="32"/>
        <v>0</v>
      </c>
      <c r="K993" s="84">
        <f t="shared" si="33"/>
        <v>0</v>
      </c>
      <c r="L993" s="61" t="e">
        <f>VLOOKUP(K993,[1]Mapping!$J$3:$Q$351,8,FALSE)</f>
        <v>#N/A</v>
      </c>
      <c r="M993" t="s">
        <v>83</v>
      </c>
    </row>
    <row r="994" spans="5:13" hidden="1" x14ac:dyDescent="0.35">
      <c r="E994" s="81"/>
      <c r="I994" s="83" t="e">
        <f>VLOOKUP(E994,[1]Mapping!$A$3:$B$14,2,FALSE)</f>
        <v>#N/A</v>
      </c>
      <c r="J994" s="84">
        <f t="shared" si="32"/>
        <v>0</v>
      </c>
      <c r="K994" s="84">
        <f t="shared" si="33"/>
        <v>0</v>
      </c>
      <c r="L994" s="61" t="e">
        <f>VLOOKUP(K994,[1]Mapping!$J$3:$Q$351,8,FALSE)</f>
        <v>#N/A</v>
      </c>
      <c r="M994" t="s">
        <v>83</v>
      </c>
    </row>
    <row r="995" spans="5:13" hidden="1" x14ac:dyDescent="0.35">
      <c r="E995" s="81"/>
      <c r="I995" s="83" t="e">
        <f>VLOOKUP(E995,[1]Mapping!$A$3:$B$14,2,FALSE)</f>
        <v>#N/A</v>
      </c>
      <c r="J995" s="84">
        <f t="shared" si="32"/>
        <v>0</v>
      </c>
      <c r="K995" s="84">
        <f t="shared" si="33"/>
        <v>0</v>
      </c>
      <c r="L995" s="61" t="e">
        <f>VLOOKUP(K995,[1]Mapping!$J$3:$Q$351,8,FALSE)</f>
        <v>#N/A</v>
      </c>
      <c r="M995" t="s">
        <v>83</v>
      </c>
    </row>
    <row r="996" spans="5:13" hidden="1" x14ac:dyDescent="0.35">
      <c r="E996" s="81"/>
      <c r="I996" s="83" t="e">
        <f>VLOOKUP(E996,[1]Mapping!$A$3:$B$14,2,FALSE)</f>
        <v>#N/A</v>
      </c>
      <c r="J996" s="84">
        <f t="shared" si="32"/>
        <v>0</v>
      </c>
      <c r="K996" s="84">
        <f t="shared" si="33"/>
        <v>0</v>
      </c>
      <c r="L996" s="61" t="e">
        <f>VLOOKUP(K996,[1]Mapping!$J$3:$Q$351,8,FALSE)</f>
        <v>#N/A</v>
      </c>
      <c r="M996" t="s">
        <v>83</v>
      </c>
    </row>
    <row r="997" spans="5:13" hidden="1" x14ac:dyDescent="0.35">
      <c r="E997" s="81"/>
      <c r="I997" s="83" t="e">
        <f>VLOOKUP(E997,[1]Mapping!$A$3:$B$14,2,FALSE)</f>
        <v>#N/A</v>
      </c>
      <c r="J997" s="84">
        <f t="shared" si="32"/>
        <v>0</v>
      </c>
      <c r="K997" s="84">
        <f t="shared" si="33"/>
        <v>0</v>
      </c>
      <c r="L997" s="61" t="e">
        <f>VLOOKUP(K997,[1]Mapping!$J$3:$Q$351,8,FALSE)</f>
        <v>#N/A</v>
      </c>
      <c r="M997" t="s">
        <v>83</v>
      </c>
    </row>
    <row r="998" spans="5:13" hidden="1" x14ac:dyDescent="0.35">
      <c r="E998" s="81"/>
      <c r="I998" s="83" t="e">
        <f>VLOOKUP(E998,[1]Mapping!$A$3:$B$14,2,FALSE)</f>
        <v>#N/A</v>
      </c>
      <c r="J998" s="84">
        <f t="shared" si="32"/>
        <v>0</v>
      </c>
      <c r="K998" s="84">
        <f t="shared" si="33"/>
        <v>0</v>
      </c>
      <c r="L998" s="61" t="e">
        <f>VLOOKUP(K998,[1]Mapping!$J$3:$Q$351,8,FALSE)</f>
        <v>#N/A</v>
      </c>
      <c r="M998" t="s">
        <v>83</v>
      </c>
    </row>
    <row r="999" spans="5:13" hidden="1" x14ac:dyDescent="0.35">
      <c r="E999" s="81"/>
      <c r="I999" s="83" t="e">
        <f>VLOOKUP(E999,[1]Mapping!$A$3:$B$14,2,FALSE)</f>
        <v>#N/A</v>
      </c>
      <c r="J999" s="84">
        <f t="shared" si="32"/>
        <v>0</v>
      </c>
      <c r="K999" s="84">
        <f t="shared" si="33"/>
        <v>0</v>
      </c>
      <c r="L999" s="61" t="e">
        <f>VLOOKUP(K999,[1]Mapping!$J$3:$Q$351,8,FALSE)</f>
        <v>#N/A</v>
      </c>
      <c r="M999" t="s">
        <v>83</v>
      </c>
    </row>
    <row r="1000" spans="5:13" hidden="1" x14ac:dyDescent="0.35">
      <c r="E1000" s="81"/>
      <c r="I1000" s="83" t="e">
        <f>VLOOKUP(E1000,[1]Mapping!$A$3:$B$14,2,FALSE)</f>
        <v>#N/A</v>
      </c>
      <c r="J1000" s="84">
        <f t="shared" si="32"/>
        <v>0</v>
      </c>
      <c r="K1000" s="84">
        <f t="shared" si="33"/>
        <v>0</v>
      </c>
      <c r="L1000" s="61" t="e">
        <f>VLOOKUP(K1000,[1]Mapping!$J$3:$Q$351,8,FALSE)</f>
        <v>#N/A</v>
      </c>
      <c r="M1000" t="s">
        <v>83</v>
      </c>
    </row>
    <row r="1001" spans="5:13" hidden="1" x14ac:dyDescent="0.35">
      <c r="E1001" s="81"/>
      <c r="I1001" s="83" t="e">
        <f>VLOOKUP(E1001,[1]Mapping!$A$3:$B$14,2,FALSE)</f>
        <v>#N/A</v>
      </c>
      <c r="J1001" s="84">
        <f t="shared" si="32"/>
        <v>0</v>
      </c>
      <c r="K1001" s="84">
        <f t="shared" si="33"/>
        <v>0</v>
      </c>
      <c r="L1001" s="61" t="e">
        <f>VLOOKUP(K1001,[1]Mapping!$J$3:$Q$351,8,FALSE)</f>
        <v>#N/A</v>
      </c>
      <c r="M1001" t="s">
        <v>83</v>
      </c>
    </row>
    <row r="1002" spans="5:13" hidden="1" x14ac:dyDescent="0.35">
      <c r="E1002" s="81"/>
      <c r="I1002" s="83" t="e">
        <f>VLOOKUP(E1002,[1]Mapping!$A$3:$B$14,2,FALSE)</f>
        <v>#N/A</v>
      </c>
      <c r="J1002" s="84">
        <f t="shared" si="32"/>
        <v>0</v>
      </c>
      <c r="K1002" s="84">
        <f t="shared" si="33"/>
        <v>0</v>
      </c>
      <c r="L1002" s="61" t="e">
        <f>VLOOKUP(K1002,[1]Mapping!$J$3:$Q$351,8,FALSE)</f>
        <v>#N/A</v>
      </c>
      <c r="M1002" t="s">
        <v>83</v>
      </c>
    </row>
    <row r="1003" spans="5:13" hidden="1" x14ac:dyDescent="0.35">
      <c r="E1003" s="81"/>
      <c r="I1003" s="83" t="e">
        <f>VLOOKUP(E1003,[1]Mapping!$A$3:$B$14,2,FALSE)</f>
        <v>#N/A</v>
      </c>
      <c r="J1003" s="84">
        <f t="shared" si="32"/>
        <v>0</v>
      </c>
      <c r="K1003" s="84">
        <f t="shared" si="33"/>
        <v>0</v>
      </c>
      <c r="L1003" s="61" t="e">
        <f>VLOOKUP(K1003,[1]Mapping!$J$3:$Q$351,8,FALSE)</f>
        <v>#N/A</v>
      </c>
      <c r="M1003" t="s">
        <v>83</v>
      </c>
    </row>
    <row r="1004" spans="5:13" hidden="1" x14ac:dyDescent="0.35">
      <c r="E1004" s="81"/>
      <c r="I1004" s="83" t="e">
        <f>VLOOKUP(E1004,[1]Mapping!$A$3:$B$14,2,FALSE)</f>
        <v>#N/A</v>
      </c>
      <c r="J1004" s="84">
        <f t="shared" si="32"/>
        <v>0</v>
      </c>
      <c r="K1004" s="84">
        <f t="shared" si="33"/>
        <v>0</v>
      </c>
      <c r="L1004" s="61" t="e">
        <f>VLOOKUP(K1004,[1]Mapping!$J$3:$Q$351,8,FALSE)</f>
        <v>#N/A</v>
      </c>
      <c r="M1004" t="s">
        <v>83</v>
      </c>
    </row>
    <row r="1005" spans="5:13" hidden="1" x14ac:dyDescent="0.35">
      <c r="E1005" s="81"/>
      <c r="I1005" s="83" t="e">
        <f>VLOOKUP(E1005,[1]Mapping!$A$3:$B$14,2,FALSE)</f>
        <v>#N/A</v>
      </c>
      <c r="J1005" s="84">
        <f t="shared" si="32"/>
        <v>0</v>
      </c>
      <c r="K1005" s="84">
        <f t="shared" si="33"/>
        <v>0</v>
      </c>
      <c r="L1005" s="61" t="e">
        <f>VLOOKUP(K1005,[1]Mapping!$J$3:$Q$351,8,FALSE)</f>
        <v>#N/A</v>
      </c>
      <c r="M1005" t="s">
        <v>83</v>
      </c>
    </row>
    <row r="1006" spans="5:13" hidden="1" x14ac:dyDescent="0.35">
      <c r="E1006" s="81"/>
      <c r="I1006" s="83" t="e">
        <f>VLOOKUP(E1006,[1]Mapping!$A$3:$B$14,2,FALSE)</f>
        <v>#N/A</v>
      </c>
      <c r="J1006" s="84">
        <f t="shared" si="32"/>
        <v>0</v>
      </c>
      <c r="K1006" s="84">
        <f t="shared" si="33"/>
        <v>0</v>
      </c>
      <c r="L1006" s="61" t="e">
        <f>VLOOKUP(K1006,[1]Mapping!$J$3:$Q$351,8,FALSE)</f>
        <v>#N/A</v>
      </c>
      <c r="M1006" t="s">
        <v>83</v>
      </c>
    </row>
    <row r="1007" spans="5:13" hidden="1" x14ac:dyDescent="0.35">
      <c r="E1007" s="81"/>
      <c r="I1007" s="83" t="e">
        <f>VLOOKUP(E1007,[1]Mapping!$A$3:$B$14,2,FALSE)</f>
        <v>#N/A</v>
      </c>
      <c r="J1007" s="84">
        <f t="shared" si="32"/>
        <v>0</v>
      </c>
      <c r="K1007" s="84">
        <f t="shared" si="33"/>
        <v>0</v>
      </c>
      <c r="L1007" s="61" t="e">
        <f>VLOOKUP(K1007,[1]Mapping!$J$3:$Q$351,8,FALSE)</f>
        <v>#N/A</v>
      </c>
      <c r="M1007" t="s">
        <v>83</v>
      </c>
    </row>
    <row r="1008" spans="5:13" hidden="1" x14ac:dyDescent="0.35">
      <c r="E1008" s="81"/>
      <c r="I1008" s="83" t="e">
        <f>VLOOKUP(E1008,[1]Mapping!$A$3:$B$14,2,FALSE)</f>
        <v>#N/A</v>
      </c>
      <c r="J1008" s="84">
        <f t="shared" si="32"/>
        <v>0</v>
      </c>
      <c r="K1008" s="84">
        <f t="shared" si="33"/>
        <v>0</v>
      </c>
      <c r="L1008" s="61" t="e">
        <f>VLOOKUP(K1008,[1]Mapping!$J$3:$Q$351,8,FALSE)</f>
        <v>#N/A</v>
      </c>
      <c r="M1008" t="s">
        <v>83</v>
      </c>
    </row>
    <row r="1009" spans="5:13" hidden="1" x14ac:dyDescent="0.35">
      <c r="E1009" s="81"/>
      <c r="I1009" s="83" t="e">
        <f>VLOOKUP(E1009,[1]Mapping!$A$3:$B$14,2,FALSE)</f>
        <v>#N/A</v>
      </c>
      <c r="J1009" s="84">
        <f t="shared" si="32"/>
        <v>0</v>
      </c>
      <c r="K1009" s="84">
        <f t="shared" si="33"/>
        <v>0</v>
      </c>
      <c r="L1009" s="61" t="e">
        <f>VLOOKUP(K1009,[1]Mapping!$J$3:$Q$351,8,FALSE)</f>
        <v>#N/A</v>
      </c>
      <c r="M1009" t="s">
        <v>83</v>
      </c>
    </row>
    <row r="1010" spans="5:13" hidden="1" x14ac:dyDescent="0.35">
      <c r="E1010" s="81"/>
      <c r="I1010" s="83" t="e">
        <f>VLOOKUP(E1010,[1]Mapping!$A$3:$B$14,2,FALSE)</f>
        <v>#N/A</v>
      </c>
      <c r="J1010" s="84">
        <f t="shared" si="32"/>
        <v>0</v>
      </c>
      <c r="K1010" s="84">
        <f t="shared" si="33"/>
        <v>0</v>
      </c>
      <c r="L1010" s="61" t="e">
        <f>VLOOKUP(K1010,[1]Mapping!$J$3:$Q$351,8,FALSE)</f>
        <v>#N/A</v>
      </c>
      <c r="M1010" t="s">
        <v>83</v>
      </c>
    </row>
    <row r="1011" spans="5:13" hidden="1" x14ac:dyDescent="0.35">
      <c r="E1011" s="81"/>
      <c r="I1011" s="83" t="e">
        <f>VLOOKUP(E1011,[1]Mapping!$A$3:$B$14,2,FALSE)</f>
        <v>#N/A</v>
      </c>
      <c r="J1011" s="84">
        <f t="shared" si="32"/>
        <v>0</v>
      </c>
      <c r="K1011" s="84">
        <f t="shared" si="33"/>
        <v>0</v>
      </c>
      <c r="L1011" s="61" t="e">
        <f>VLOOKUP(K1011,[1]Mapping!$J$3:$Q$351,8,FALSE)</f>
        <v>#N/A</v>
      </c>
      <c r="M1011" t="s">
        <v>83</v>
      </c>
    </row>
    <row r="1012" spans="5:13" hidden="1" x14ac:dyDescent="0.35">
      <c r="E1012" s="81"/>
      <c r="I1012" s="83" t="e">
        <f>VLOOKUP(E1012,[1]Mapping!$A$3:$B$14,2,FALSE)</f>
        <v>#N/A</v>
      </c>
      <c r="J1012" s="84">
        <f t="shared" si="32"/>
        <v>0</v>
      </c>
      <c r="K1012" s="84">
        <f t="shared" si="33"/>
        <v>0</v>
      </c>
      <c r="L1012" s="61" t="e">
        <f>VLOOKUP(K1012,[1]Mapping!$J$3:$Q$351,8,FALSE)</f>
        <v>#N/A</v>
      </c>
      <c r="M1012" t="s">
        <v>83</v>
      </c>
    </row>
    <row r="1013" spans="5:13" hidden="1" x14ac:dyDescent="0.35">
      <c r="E1013" s="81"/>
      <c r="I1013" s="83" t="e">
        <f>VLOOKUP(E1013,[1]Mapping!$A$3:$B$14,2,FALSE)</f>
        <v>#N/A</v>
      </c>
      <c r="J1013" s="84">
        <f t="shared" si="32"/>
        <v>0</v>
      </c>
      <c r="K1013" s="84">
        <f t="shared" si="33"/>
        <v>0</v>
      </c>
      <c r="L1013" s="61" t="e">
        <f>VLOOKUP(K1013,[1]Mapping!$J$3:$Q$351,8,FALSE)</f>
        <v>#N/A</v>
      </c>
      <c r="M1013" t="s">
        <v>83</v>
      </c>
    </row>
    <row r="1014" spans="5:13" hidden="1" x14ac:dyDescent="0.35">
      <c r="E1014" s="81"/>
      <c r="I1014" s="83" t="e">
        <f>VLOOKUP(E1014,[1]Mapping!$A$3:$B$14,2,FALSE)</f>
        <v>#N/A</v>
      </c>
      <c r="J1014" s="84">
        <f t="shared" si="32"/>
        <v>0</v>
      </c>
      <c r="K1014" s="84">
        <f t="shared" si="33"/>
        <v>0</v>
      </c>
      <c r="L1014" s="61" t="e">
        <f>VLOOKUP(K1014,[1]Mapping!$J$3:$Q$351,8,FALSE)</f>
        <v>#N/A</v>
      </c>
      <c r="M1014" t="s">
        <v>83</v>
      </c>
    </row>
    <row r="1015" spans="5:13" hidden="1" x14ac:dyDescent="0.35">
      <c r="E1015" s="81"/>
      <c r="I1015" s="83" t="e">
        <f>VLOOKUP(E1015,[1]Mapping!$A$3:$B$14,2,FALSE)</f>
        <v>#N/A</v>
      </c>
      <c r="J1015" s="84">
        <f t="shared" si="32"/>
        <v>0</v>
      </c>
      <c r="K1015" s="84">
        <f t="shared" si="33"/>
        <v>0</v>
      </c>
      <c r="L1015" s="61" t="e">
        <f>VLOOKUP(K1015,[1]Mapping!$J$3:$Q$351,8,FALSE)</f>
        <v>#N/A</v>
      </c>
      <c r="M1015" t="s">
        <v>83</v>
      </c>
    </row>
    <row r="1016" spans="5:13" hidden="1" x14ac:dyDescent="0.35">
      <c r="E1016" s="81"/>
      <c r="I1016" s="83" t="e">
        <f>VLOOKUP(E1016,[1]Mapping!$A$3:$B$14,2,FALSE)</f>
        <v>#N/A</v>
      </c>
      <c r="J1016" s="84">
        <f t="shared" si="32"/>
        <v>0</v>
      </c>
      <c r="K1016" s="84">
        <f t="shared" si="33"/>
        <v>0</v>
      </c>
      <c r="L1016" s="61" t="e">
        <f>VLOOKUP(K1016,[1]Mapping!$J$3:$Q$351,8,FALSE)</f>
        <v>#N/A</v>
      </c>
      <c r="M1016" t="s">
        <v>83</v>
      </c>
    </row>
    <row r="1017" spans="5:13" hidden="1" x14ac:dyDescent="0.35">
      <c r="E1017" s="81"/>
      <c r="I1017" s="83" t="e">
        <f>VLOOKUP(E1017,[1]Mapping!$A$3:$B$14,2,FALSE)</f>
        <v>#N/A</v>
      </c>
      <c r="J1017" s="84">
        <f t="shared" si="32"/>
        <v>0</v>
      </c>
      <c r="K1017" s="84">
        <f t="shared" si="33"/>
        <v>0</v>
      </c>
      <c r="L1017" s="61" t="e">
        <f>VLOOKUP(K1017,[1]Mapping!$J$3:$Q$351,8,FALSE)</f>
        <v>#N/A</v>
      </c>
      <c r="M1017" t="s">
        <v>83</v>
      </c>
    </row>
    <row r="1018" spans="5:13" hidden="1" x14ac:dyDescent="0.35">
      <c r="E1018" s="81"/>
      <c r="I1018" s="83" t="e">
        <f>VLOOKUP(E1018,[1]Mapping!$A$3:$B$14,2,FALSE)</f>
        <v>#N/A</v>
      </c>
      <c r="J1018" s="84">
        <f t="shared" si="32"/>
        <v>0</v>
      </c>
      <c r="K1018" s="84">
        <f t="shared" si="33"/>
        <v>0</v>
      </c>
      <c r="L1018" s="61" t="e">
        <f>VLOOKUP(K1018,[1]Mapping!$J$3:$Q$351,8,FALSE)</f>
        <v>#N/A</v>
      </c>
      <c r="M1018" t="s">
        <v>83</v>
      </c>
    </row>
    <row r="1019" spans="5:13" hidden="1" x14ac:dyDescent="0.35">
      <c r="E1019" s="81"/>
      <c r="I1019" s="83" t="e">
        <f>VLOOKUP(E1019,[1]Mapping!$A$3:$B$14,2,FALSE)</f>
        <v>#N/A</v>
      </c>
      <c r="J1019" s="84">
        <f t="shared" si="32"/>
        <v>0</v>
      </c>
      <c r="K1019" s="84">
        <f t="shared" si="33"/>
        <v>0</v>
      </c>
      <c r="L1019" s="61" t="e">
        <f>VLOOKUP(K1019,[1]Mapping!$J$3:$Q$351,8,FALSE)</f>
        <v>#N/A</v>
      </c>
      <c r="M1019" t="s">
        <v>83</v>
      </c>
    </row>
    <row r="1020" spans="5:13" hidden="1" x14ac:dyDescent="0.35">
      <c r="E1020" s="81"/>
      <c r="I1020" s="83" t="e">
        <f>VLOOKUP(E1020,[1]Mapping!$A$3:$B$14,2,FALSE)</f>
        <v>#N/A</v>
      </c>
      <c r="J1020" s="84">
        <f t="shared" si="32"/>
        <v>0</v>
      </c>
      <c r="K1020" s="84">
        <f t="shared" si="33"/>
        <v>0</v>
      </c>
      <c r="L1020" s="61" t="e">
        <f>VLOOKUP(K1020,[1]Mapping!$J$3:$Q$351,8,FALSE)</f>
        <v>#N/A</v>
      </c>
      <c r="M1020" t="s">
        <v>83</v>
      </c>
    </row>
    <row r="1021" spans="5:13" hidden="1" x14ac:dyDescent="0.35">
      <c r="E1021" s="81"/>
      <c r="I1021" s="83" t="e">
        <f>VLOOKUP(E1021,[1]Mapping!$A$3:$B$14,2,FALSE)</f>
        <v>#N/A</v>
      </c>
      <c r="J1021" s="84">
        <f t="shared" si="32"/>
        <v>0</v>
      </c>
      <c r="K1021" s="84">
        <f t="shared" si="33"/>
        <v>0</v>
      </c>
      <c r="L1021" s="61" t="e">
        <f>VLOOKUP(K1021,[1]Mapping!$J$3:$Q$351,8,FALSE)</f>
        <v>#N/A</v>
      </c>
      <c r="M1021" t="s">
        <v>83</v>
      </c>
    </row>
    <row r="1022" spans="5:13" hidden="1" x14ac:dyDescent="0.35">
      <c r="E1022" s="81"/>
      <c r="I1022" s="83" t="e">
        <f>VLOOKUP(E1022,[1]Mapping!$A$3:$B$14,2,FALSE)</f>
        <v>#N/A</v>
      </c>
      <c r="J1022" s="84">
        <f t="shared" si="32"/>
        <v>0</v>
      </c>
      <c r="K1022" s="84">
        <f t="shared" si="33"/>
        <v>0</v>
      </c>
      <c r="L1022" s="61" t="e">
        <f>VLOOKUP(K1022,[1]Mapping!$J$3:$Q$351,8,FALSE)</f>
        <v>#N/A</v>
      </c>
      <c r="M1022" t="s">
        <v>83</v>
      </c>
    </row>
    <row r="1023" spans="5:13" hidden="1" x14ac:dyDescent="0.35">
      <c r="E1023" s="81"/>
      <c r="I1023" s="83" t="e">
        <f>VLOOKUP(E1023,[1]Mapping!$A$3:$B$14,2,FALSE)</f>
        <v>#N/A</v>
      </c>
      <c r="J1023" s="84">
        <f>VALUE(A1023)</f>
        <v>0</v>
      </c>
      <c r="K1023" s="84">
        <f>VALUE(C1023)</f>
        <v>0</v>
      </c>
      <c r="L1023" s="61" t="e">
        <f>VLOOKUP(K1023,[1]Mapping!$J$3:$Q$351,8,FALSE)</f>
        <v>#N/A</v>
      </c>
      <c r="M1023" t="s">
        <v>83</v>
      </c>
    </row>
    <row r="1024" spans="5:13" hidden="1" x14ac:dyDescent="0.35">
      <c r="E1024" s="81"/>
      <c r="I1024" s="83" t="e">
        <f>VLOOKUP(E1024,[1]Mapping!$A$3:$B$14,2,FALSE)</f>
        <v>#N/A</v>
      </c>
      <c r="J1024" s="84">
        <f>VALUE(A1024)</f>
        <v>0</v>
      </c>
      <c r="K1024" s="84">
        <f>VALUE(C1024)</f>
        <v>0</v>
      </c>
      <c r="L1024" s="61" t="e">
        <f>VLOOKUP(K1024,[1]Mapping!$J$3:$Q$351,8,FALSE)</f>
        <v>#N/A</v>
      </c>
      <c r="M1024" t="s">
        <v>83</v>
      </c>
    </row>
    <row r="1025" spans="5:13" hidden="1" x14ac:dyDescent="0.35">
      <c r="E1025" s="81"/>
      <c r="I1025" s="83" t="e">
        <f>VLOOKUP(E1025,[1]Mapping!$A$3:$B$14,2,FALSE)</f>
        <v>#N/A</v>
      </c>
      <c r="J1025" s="84">
        <f>VALUE(A1025)</f>
        <v>0</v>
      </c>
      <c r="K1025" s="84">
        <f>VALUE(C1025)</f>
        <v>0</v>
      </c>
      <c r="L1025" s="61" t="e">
        <f>VLOOKUP(K1025,[1]Mapping!$J$3:$Q$351,8,FALSE)</f>
        <v>#N/A</v>
      </c>
      <c r="M1025" t="s">
        <v>83</v>
      </c>
    </row>
    <row r="1026" spans="5:13" hidden="1" x14ac:dyDescent="0.35">
      <c r="E1026" s="81"/>
      <c r="I1026" s="83" t="e">
        <f>VLOOKUP(E1026,[1]Mapping!$A$3:$B$14,2,FALSE)</f>
        <v>#N/A</v>
      </c>
      <c r="J1026" s="84">
        <f>VALUE(A1026)</f>
        <v>0</v>
      </c>
      <c r="K1026" s="84">
        <f>VALUE(C1026)</f>
        <v>0</v>
      </c>
      <c r="L1026" s="61" t="e">
        <f>VLOOKUP(K1026,[1]Mapping!$J$3:$Q$351,8,FALSE)</f>
        <v>#N/A</v>
      </c>
      <c r="M1026" t="s">
        <v>83</v>
      </c>
    </row>
    <row r="1027" spans="5:13" hidden="1" x14ac:dyDescent="0.35">
      <c r="E1027" s="81"/>
      <c r="I1027" s="83" t="e">
        <f>VLOOKUP(E1027,[1]Mapping!$A$3:$B$14,2,FALSE)</f>
        <v>#N/A</v>
      </c>
      <c r="J1027" s="84">
        <f>VALUE(A1027)</f>
        <v>0</v>
      </c>
      <c r="K1027" s="84">
        <f>VALUE(C1027)</f>
        <v>0</v>
      </c>
      <c r="L1027" s="61" t="e">
        <f>VLOOKUP(K1027,[1]Mapping!$J$3:$Q$351,8,FALSE)</f>
        <v>#N/A</v>
      </c>
      <c r="M1027" t="s">
        <v>83</v>
      </c>
    </row>
    <row r="1028" spans="5:13" hidden="1" x14ac:dyDescent="0.35">
      <c r="E1028" s="81"/>
      <c r="I1028" s="83" t="e">
        <f>VLOOKUP(E1028,[1]Mapping!$A$3:$B$14,2,FALSE)</f>
        <v>#N/A</v>
      </c>
      <c r="J1028" s="84">
        <f t="shared" ref="J1028:J1091" si="34">VALUE(A1028)</f>
        <v>0</v>
      </c>
      <c r="K1028" s="84">
        <f t="shared" ref="K1028:K1091" si="35">VALUE(C1028)</f>
        <v>0</v>
      </c>
      <c r="L1028" s="61" t="e">
        <f>VLOOKUP(K1028,[1]Mapping!$J$3:$Q$351,8,FALSE)</f>
        <v>#N/A</v>
      </c>
      <c r="M1028" t="s">
        <v>83</v>
      </c>
    </row>
    <row r="1029" spans="5:13" hidden="1" x14ac:dyDescent="0.35">
      <c r="E1029" s="81"/>
      <c r="I1029" s="83" t="e">
        <f>VLOOKUP(E1029,[1]Mapping!$A$3:$B$14,2,FALSE)</f>
        <v>#N/A</v>
      </c>
      <c r="J1029" s="84">
        <f t="shared" si="34"/>
        <v>0</v>
      </c>
      <c r="K1029" s="84">
        <f t="shared" si="35"/>
        <v>0</v>
      </c>
      <c r="L1029" s="61" t="e">
        <f>VLOOKUP(K1029,[1]Mapping!$J$3:$Q$351,8,FALSE)</f>
        <v>#N/A</v>
      </c>
      <c r="M1029" t="s">
        <v>83</v>
      </c>
    </row>
    <row r="1030" spans="5:13" hidden="1" x14ac:dyDescent="0.35">
      <c r="E1030" s="81"/>
      <c r="I1030" s="83" t="e">
        <f>VLOOKUP(E1030,[1]Mapping!$A$3:$B$14,2,FALSE)</f>
        <v>#N/A</v>
      </c>
      <c r="J1030" s="84">
        <f t="shared" si="34"/>
        <v>0</v>
      </c>
      <c r="K1030" s="84">
        <f t="shared" si="35"/>
        <v>0</v>
      </c>
      <c r="L1030" s="61" t="e">
        <f>VLOOKUP(K1030,[1]Mapping!$J$3:$Q$351,8,FALSE)</f>
        <v>#N/A</v>
      </c>
      <c r="M1030" t="s">
        <v>83</v>
      </c>
    </row>
    <row r="1031" spans="5:13" hidden="1" x14ac:dyDescent="0.35">
      <c r="E1031" s="81"/>
      <c r="I1031" s="83" t="e">
        <f>VLOOKUP(E1031,[1]Mapping!$A$3:$B$14,2,FALSE)</f>
        <v>#N/A</v>
      </c>
      <c r="J1031" s="84">
        <f t="shared" si="34"/>
        <v>0</v>
      </c>
      <c r="K1031" s="84">
        <f t="shared" si="35"/>
        <v>0</v>
      </c>
      <c r="L1031" s="61" t="e">
        <f>VLOOKUP(K1031,[1]Mapping!$J$3:$Q$351,8,FALSE)</f>
        <v>#N/A</v>
      </c>
      <c r="M1031" t="s">
        <v>83</v>
      </c>
    </row>
    <row r="1032" spans="5:13" hidden="1" x14ac:dyDescent="0.35">
      <c r="E1032" s="81"/>
      <c r="I1032" s="83" t="e">
        <f>VLOOKUP(E1032,[1]Mapping!$A$3:$B$14,2,FALSE)</f>
        <v>#N/A</v>
      </c>
      <c r="J1032" s="84">
        <f t="shared" si="34"/>
        <v>0</v>
      </c>
      <c r="K1032" s="84">
        <f t="shared" si="35"/>
        <v>0</v>
      </c>
      <c r="L1032" s="61" t="e">
        <f>VLOOKUP(K1032,[1]Mapping!$J$3:$Q$351,8,FALSE)</f>
        <v>#N/A</v>
      </c>
      <c r="M1032" t="s">
        <v>83</v>
      </c>
    </row>
    <row r="1033" spans="5:13" hidden="1" x14ac:dyDescent="0.35">
      <c r="E1033" s="81"/>
      <c r="I1033" s="83" t="e">
        <f>VLOOKUP(E1033,[1]Mapping!$A$3:$B$14,2,FALSE)</f>
        <v>#N/A</v>
      </c>
      <c r="J1033" s="84">
        <f t="shared" si="34"/>
        <v>0</v>
      </c>
      <c r="K1033" s="84">
        <f t="shared" si="35"/>
        <v>0</v>
      </c>
      <c r="L1033" s="61" t="e">
        <f>VLOOKUP(K1033,[1]Mapping!$J$3:$Q$351,8,FALSE)</f>
        <v>#N/A</v>
      </c>
      <c r="M1033" t="s">
        <v>83</v>
      </c>
    </row>
    <row r="1034" spans="5:13" hidden="1" x14ac:dyDescent="0.35">
      <c r="E1034" s="81"/>
      <c r="I1034" s="83" t="e">
        <f>VLOOKUP(E1034,[1]Mapping!$A$3:$B$14,2,FALSE)</f>
        <v>#N/A</v>
      </c>
      <c r="J1034" s="84">
        <f t="shared" si="34"/>
        <v>0</v>
      </c>
      <c r="K1034" s="84">
        <f t="shared" si="35"/>
        <v>0</v>
      </c>
      <c r="L1034" s="61" t="e">
        <f>VLOOKUP(K1034,[1]Mapping!$J$3:$Q$351,8,FALSE)</f>
        <v>#N/A</v>
      </c>
      <c r="M1034" t="s">
        <v>83</v>
      </c>
    </row>
    <row r="1035" spans="5:13" hidden="1" x14ac:dyDescent="0.35">
      <c r="E1035" s="81"/>
      <c r="I1035" s="83" t="e">
        <f>VLOOKUP(E1035,[1]Mapping!$A$3:$B$14,2,FALSE)</f>
        <v>#N/A</v>
      </c>
      <c r="J1035" s="84">
        <f t="shared" si="34"/>
        <v>0</v>
      </c>
      <c r="K1035" s="84">
        <f t="shared" si="35"/>
        <v>0</v>
      </c>
      <c r="L1035" s="61" t="e">
        <f>VLOOKUP(K1035,[1]Mapping!$J$3:$Q$351,8,FALSE)</f>
        <v>#N/A</v>
      </c>
      <c r="M1035" t="s">
        <v>83</v>
      </c>
    </row>
    <row r="1036" spans="5:13" hidden="1" x14ac:dyDescent="0.35">
      <c r="E1036" s="81"/>
      <c r="I1036" s="83" t="e">
        <f>VLOOKUP(E1036,[1]Mapping!$A$3:$B$14,2,FALSE)</f>
        <v>#N/A</v>
      </c>
      <c r="J1036" s="84">
        <f t="shared" si="34"/>
        <v>0</v>
      </c>
      <c r="K1036" s="84">
        <f t="shared" si="35"/>
        <v>0</v>
      </c>
      <c r="L1036" s="61" t="e">
        <f>VLOOKUP(K1036,[1]Mapping!$J$3:$Q$351,8,FALSE)</f>
        <v>#N/A</v>
      </c>
      <c r="M1036" t="s">
        <v>83</v>
      </c>
    </row>
    <row r="1037" spans="5:13" hidden="1" x14ac:dyDescent="0.35">
      <c r="E1037" s="81"/>
      <c r="I1037" s="83" t="e">
        <f>VLOOKUP(E1037,[1]Mapping!$A$3:$B$14,2,FALSE)</f>
        <v>#N/A</v>
      </c>
      <c r="J1037" s="84">
        <f t="shared" si="34"/>
        <v>0</v>
      </c>
      <c r="K1037" s="84">
        <f t="shared" si="35"/>
        <v>0</v>
      </c>
      <c r="L1037" s="61" t="e">
        <f>VLOOKUP(K1037,[1]Mapping!$J$3:$Q$351,8,FALSE)</f>
        <v>#N/A</v>
      </c>
      <c r="M1037" t="s">
        <v>83</v>
      </c>
    </row>
    <row r="1038" spans="5:13" hidden="1" x14ac:dyDescent="0.35">
      <c r="E1038" s="81"/>
      <c r="I1038" s="83" t="e">
        <f>VLOOKUP(E1038,[1]Mapping!$A$3:$B$14,2,FALSE)</f>
        <v>#N/A</v>
      </c>
      <c r="J1038" s="84">
        <f t="shared" si="34"/>
        <v>0</v>
      </c>
      <c r="K1038" s="84">
        <f t="shared" si="35"/>
        <v>0</v>
      </c>
      <c r="L1038" s="61" t="e">
        <f>VLOOKUP(K1038,[1]Mapping!$J$3:$Q$351,8,FALSE)</f>
        <v>#N/A</v>
      </c>
      <c r="M1038" t="s">
        <v>83</v>
      </c>
    </row>
    <row r="1039" spans="5:13" hidden="1" x14ac:dyDescent="0.35">
      <c r="E1039" s="81"/>
      <c r="I1039" s="83" t="e">
        <f>VLOOKUP(E1039,[1]Mapping!$A$3:$B$14,2,FALSE)</f>
        <v>#N/A</v>
      </c>
      <c r="J1039" s="84">
        <f t="shared" si="34"/>
        <v>0</v>
      </c>
      <c r="K1039" s="84">
        <f t="shared" si="35"/>
        <v>0</v>
      </c>
      <c r="L1039" s="61" t="e">
        <f>VLOOKUP(K1039,[1]Mapping!$J$3:$Q$351,8,FALSE)</f>
        <v>#N/A</v>
      </c>
      <c r="M1039" t="s">
        <v>83</v>
      </c>
    </row>
    <row r="1040" spans="5:13" hidden="1" x14ac:dyDescent="0.35">
      <c r="E1040" s="81"/>
      <c r="I1040" s="83" t="e">
        <f>VLOOKUP(E1040,[1]Mapping!$A$3:$B$14,2,FALSE)</f>
        <v>#N/A</v>
      </c>
      <c r="J1040" s="84">
        <f t="shared" si="34"/>
        <v>0</v>
      </c>
      <c r="K1040" s="84">
        <f t="shared" si="35"/>
        <v>0</v>
      </c>
      <c r="L1040" s="61" t="e">
        <f>VLOOKUP(K1040,[1]Mapping!$J$3:$Q$351,8,FALSE)</f>
        <v>#N/A</v>
      </c>
      <c r="M1040" t="s">
        <v>83</v>
      </c>
    </row>
    <row r="1041" spans="5:13" hidden="1" x14ac:dyDescent="0.35">
      <c r="E1041" s="81"/>
      <c r="I1041" s="83" t="e">
        <f>VLOOKUP(E1041,[1]Mapping!$A$3:$B$14,2,FALSE)</f>
        <v>#N/A</v>
      </c>
      <c r="J1041" s="84">
        <f t="shared" si="34"/>
        <v>0</v>
      </c>
      <c r="K1041" s="84">
        <f t="shared" si="35"/>
        <v>0</v>
      </c>
      <c r="L1041" s="61" t="e">
        <f>VLOOKUP(K1041,[1]Mapping!$J$3:$Q$351,8,FALSE)</f>
        <v>#N/A</v>
      </c>
      <c r="M1041" t="s">
        <v>83</v>
      </c>
    </row>
    <row r="1042" spans="5:13" hidden="1" x14ac:dyDescent="0.35">
      <c r="E1042" s="81"/>
      <c r="I1042" s="83" t="e">
        <f>VLOOKUP(E1042,[1]Mapping!$A$3:$B$14,2,FALSE)</f>
        <v>#N/A</v>
      </c>
      <c r="J1042" s="84">
        <f t="shared" si="34"/>
        <v>0</v>
      </c>
      <c r="K1042" s="84">
        <f t="shared" si="35"/>
        <v>0</v>
      </c>
      <c r="L1042" s="61" t="e">
        <f>VLOOKUP(K1042,[1]Mapping!$J$3:$Q$351,8,FALSE)</f>
        <v>#N/A</v>
      </c>
      <c r="M1042" t="s">
        <v>83</v>
      </c>
    </row>
    <row r="1043" spans="5:13" hidden="1" x14ac:dyDescent="0.35">
      <c r="E1043" s="81"/>
      <c r="I1043" s="83" t="e">
        <f>VLOOKUP(E1043,[1]Mapping!$A$3:$B$14,2,FALSE)</f>
        <v>#N/A</v>
      </c>
      <c r="J1043" s="84">
        <f t="shared" si="34"/>
        <v>0</v>
      </c>
      <c r="K1043" s="84">
        <f t="shared" si="35"/>
        <v>0</v>
      </c>
      <c r="L1043" s="61" t="e">
        <f>VLOOKUP(K1043,[1]Mapping!$J$3:$Q$351,8,FALSE)</f>
        <v>#N/A</v>
      </c>
      <c r="M1043" t="s">
        <v>83</v>
      </c>
    </row>
    <row r="1044" spans="5:13" hidden="1" x14ac:dyDescent="0.35">
      <c r="E1044" s="81"/>
      <c r="I1044" s="83" t="e">
        <f>VLOOKUP(E1044,[1]Mapping!$A$3:$B$14,2,FALSE)</f>
        <v>#N/A</v>
      </c>
      <c r="J1044" s="84">
        <f t="shared" si="34"/>
        <v>0</v>
      </c>
      <c r="K1044" s="84">
        <f t="shared" si="35"/>
        <v>0</v>
      </c>
      <c r="L1044" s="61" t="e">
        <f>VLOOKUP(K1044,[1]Mapping!$J$3:$Q$351,8,FALSE)</f>
        <v>#N/A</v>
      </c>
      <c r="M1044" t="s">
        <v>83</v>
      </c>
    </row>
    <row r="1045" spans="5:13" hidden="1" x14ac:dyDescent="0.35">
      <c r="E1045" s="81"/>
      <c r="I1045" s="83" t="e">
        <f>VLOOKUP(E1045,[1]Mapping!$A$3:$B$14,2,FALSE)</f>
        <v>#N/A</v>
      </c>
      <c r="J1045" s="84">
        <f t="shared" si="34"/>
        <v>0</v>
      </c>
      <c r="K1045" s="84">
        <f t="shared" si="35"/>
        <v>0</v>
      </c>
      <c r="L1045" s="61" t="e">
        <f>VLOOKUP(K1045,[1]Mapping!$J$3:$Q$351,8,FALSE)</f>
        <v>#N/A</v>
      </c>
      <c r="M1045" t="s">
        <v>83</v>
      </c>
    </row>
    <row r="1046" spans="5:13" hidden="1" x14ac:dyDescent="0.35">
      <c r="E1046" s="81"/>
      <c r="I1046" s="83" t="e">
        <f>VLOOKUP(E1046,[1]Mapping!$A$3:$B$14,2,FALSE)</f>
        <v>#N/A</v>
      </c>
      <c r="J1046" s="84">
        <f t="shared" si="34"/>
        <v>0</v>
      </c>
      <c r="K1046" s="84">
        <f t="shared" si="35"/>
        <v>0</v>
      </c>
      <c r="L1046" s="61" t="e">
        <f>VLOOKUP(K1046,[1]Mapping!$J$3:$Q$351,8,FALSE)</f>
        <v>#N/A</v>
      </c>
      <c r="M1046" t="s">
        <v>83</v>
      </c>
    </row>
    <row r="1047" spans="5:13" hidden="1" x14ac:dyDescent="0.35">
      <c r="E1047" s="81"/>
      <c r="I1047" s="83" t="e">
        <f>VLOOKUP(E1047,[1]Mapping!$A$3:$B$14,2,FALSE)</f>
        <v>#N/A</v>
      </c>
      <c r="J1047" s="84">
        <f t="shared" si="34"/>
        <v>0</v>
      </c>
      <c r="K1047" s="84">
        <f t="shared" si="35"/>
        <v>0</v>
      </c>
      <c r="L1047" s="61" t="e">
        <f>VLOOKUP(K1047,[1]Mapping!$J$3:$Q$351,8,FALSE)</f>
        <v>#N/A</v>
      </c>
      <c r="M1047" t="s">
        <v>83</v>
      </c>
    </row>
    <row r="1048" spans="5:13" hidden="1" x14ac:dyDescent="0.35">
      <c r="E1048" s="81"/>
      <c r="I1048" s="83" t="e">
        <f>VLOOKUP(E1048,[1]Mapping!$A$3:$B$14,2,FALSE)</f>
        <v>#N/A</v>
      </c>
      <c r="J1048" s="84">
        <f t="shared" si="34"/>
        <v>0</v>
      </c>
      <c r="K1048" s="84">
        <f t="shared" si="35"/>
        <v>0</v>
      </c>
      <c r="L1048" s="61" t="e">
        <f>VLOOKUP(K1048,[1]Mapping!$J$3:$Q$351,8,FALSE)</f>
        <v>#N/A</v>
      </c>
      <c r="M1048" t="s">
        <v>83</v>
      </c>
    </row>
    <row r="1049" spans="5:13" hidden="1" x14ac:dyDescent="0.35">
      <c r="E1049" s="81"/>
      <c r="I1049" s="83" t="e">
        <f>VLOOKUP(E1049,[1]Mapping!$A$3:$B$14,2,FALSE)</f>
        <v>#N/A</v>
      </c>
      <c r="J1049" s="84">
        <f t="shared" si="34"/>
        <v>0</v>
      </c>
      <c r="K1049" s="84">
        <f t="shared" si="35"/>
        <v>0</v>
      </c>
      <c r="L1049" s="61" t="e">
        <f>VLOOKUP(K1049,[1]Mapping!$J$3:$Q$351,8,FALSE)</f>
        <v>#N/A</v>
      </c>
      <c r="M1049" t="s">
        <v>83</v>
      </c>
    </row>
    <row r="1050" spans="5:13" hidden="1" x14ac:dyDescent="0.35">
      <c r="E1050" s="81"/>
      <c r="I1050" s="83" t="e">
        <f>VLOOKUP(E1050,[1]Mapping!$A$3:$B$14,2,FALSE)</f>
        <v>#N/A</v>
      </c>
      <c r="J1050" s="84">
        <f t="shared" si="34"/>
        <v>0</v>
      </c>
      <c r="K1050" s="84">
        <f t="shared" si="35"/>
        <v>0</v>
      </c>
      <c r="L1050" s="61" t="e">
        <f>VLOOKUP(K1050,[1]Mapping!$J$3:$Q$351,8,FALSE)</f>
        <v>#N/A</v>
      </c>
      <c r="M1050" t="s">
        <v>83</v>
      </c>
    </row>
    <row r="1051" spans="5:13" hidden="1" x14ac:dyDescent="0.35">
      <c r="E1051" s="81"/>
      <c r="I1051" s="83" t="e">
        <f>VLOOKUP(E1051,[1]Mapping!$A$3:$B$14,2,FALSE)</f>
        <v>#N/A</v>
      </c>
      <c r="J1051" s="84">
        <f t="shared" si="34"/>
        <v>0</v>
      </c>
      <c r="K1051" s="84">
        <f t="shared" si="35"/>
        <v>0</v>
      </c>
      <c r="L1051" s="61" t="e">
        <f>VLOOKUP(K1051,[1]Mapping!$J$3:$Q$351,8,FALSE)</f>
        <v>#N/A</v>
      </c>
      <c r="M1051" t="s">
        <v>83</v>
      </c>
    </row>
    <row r="1052" spans="5:13" hidden="1" x14ac:dyDescent="0.35">
      <c r="E1052" s="81"/>
      <c r="I1052" s="83" t="e">
        <f>VLOOKUP(E1052,[1]Mapping!$A$3:$B$14,2,FALSE)</f>
        <v>#N/A</v>
      </c>
      <c r="J1052" s="84">
        <f t="shared" si="34"/>
        <v>0</v>
      </c>
      <c r="K1052" s="84">
        <f t="shared" si="35"/>
        <v>0</v>
      </c>
      <c r="L1052" s="61" t="e">
        <f>VLOOKUP(K1052,[1]Mapping!$J$3:$Q$351,8,FALSE)</f>
        <v>#N/A</v>
      </c>
      <c r="M1052" t="s">
        <v>83</v>
      </c>
    </row>
    <row r="1053" spans="5:13" hidden="1" x14ac:dyDescent="0.35">
      <c r="E1053" s="81"/>
      <c r="I1053" s="83" t="e">
        <f>VLOOKUP(E1053,[1]Mapping!$A$3:$B$14,2,FALSE)</f>
        <v>#N/A</v>
      </c>
      <c r="J1053" s="84">
        <f t="shared" si="34"/>
        <v>0</v>
      </c>
      <c r="K1053" s="84">
        <f t="shared" si="35"/>
        <v>0</v>
      </c>
      <c r="L1053" s="61" t="e">
        <f>VLOOKUP(K1053,[1]Mapping!$J$3:$Q$351,8,FALSE)</f>
        <v>#N/A</v>
      </c>
      <c r="M1053" t="s">
        <v>83</v>
      </c>
    </row>
    <row r="1054" spans="5:13" hidden="1" x14ac:dyDescent="0.35">
      <c r="E1054" s="81"/>
      <c r="I1054" s="83" t="e">
        <f>VLOOKUP(E1054,[1]Mapping!$A$3:$B$14,2,FALSE)</f>
        <v>#N/A</v>
      </c>
      <c r="J1054" s="84">
        <f t="shared" si="34"/>
        <v>0</v>
      </c>
      <c r="K1054" s="84">
        <f t="shared" si="35"/>
        <v>0</v>
      </c>
      <c r="L1054" s="61" t="e">
        <f>VLOOKUP(K1054,[1]Mapping!$J$3:$Q$351,8,FALSE)</f>
        <v>#N/A</v>
      </c>
      <c r="M1054" t="s">
        <v>83</v>
      </c>
    </row>
    <row r="1055" spans="5:13" hidden="1" x14ac:dyDescent="0.35">
      <c r="E1055" s="81"/>
      <c r="I1055" s="83" t="e">
        <f>VLOOKUP(E1055,[1]Mapping!$A$3:$B$14,2,FALSE)</f>
        <v>#N/A</v>
      </c>
      <c r="J1055" s="84">
        <f t="shared" si="34"/>
        <v>0</v>
      </c>
      <c r="K1055" s="84">
        <f t="shared" si="35"/>
        <v>0</v>
      </c>
      <c r="L1055" s="61" t="e">
        <f>VLOOKUP(K1055,[1]Mapping!$J$3:$Q$351,8,FALSE)</f>
        <v>#N/A</v>
      </c>
      <c r="M1055" t="s">
        <v>83</v>
      </c>
    </row>
    <row r="1056" spans="5:13" hidden="1" x14ac:dyDescent="0.35">
      <c r="E1056" s="81"/>
      <c r="I1056" s="83" t="e">
        <f>VLOOKUP(E1056,[1]Mapping!$A$3:$B$14,2,FALSE)</f>
        <v>#N/A</v>
      </c>
      <c r="J1056" s="84">
        <f t="shared" si="34"/>
        <v>0</v>
      </c>
      <c r="K1056" s="84">
        <f t="shared" si="35"/>
        <v>0</v>
      </c>
      <c r="L1056" s="61" t="e">
        <f>VLOOKUP(K1056,[1]Mapping!$J$3:$Q$351,8,FALSE)</f>
        <v>#N/A</v>
      </c>
      <c r="M1056" t="s">
        <v>83</v>
      </c>
    </row>
    <row r="1057" spans="5:13" hidden="1" x14ac:dyDescent="0.35">
      <c r="E1057" s="81"/>
      <c r="I1057" s="83" t="e">
        <f>VLOOKUP(E1057,[1]Mapping!$A$3:$B$14,2,FALSE)</f>
        <v>#N/A</v>
      </c>
      <c r="J1057" s="84">
        <f t="shared" si="34"/>
        <v>0</v>
      </c>
      <c r="K1057" s="84">
        <f t="shared" si="35"/>
        <v>0</v>
      </c>
      <c r="L1057" s="61" t="e">
        <f>VLOOKUP(K1057,[1]Mapping!$J$3:$Q$351,8,FALSE)</f>
        <v>#N/A</v>
      </c>
      <c r="M1057" t="s">
        <v>83</v>
      </c>
    </row>
    <row r="1058" spans="5:13" hidden="1" x14ac:dyDescent="0.35">
      <c r="E1058" s="81"/>
      <c r="I1058" s="83" t="e">
        <f>VLOOKUP(E1058,[1]Mapping!$A$3:$B$14,2,FALSE)</f>
        <v>#N/A</v>
      </c>
      <c r="J1058" s="84">
        <f t="shared" si="34"/>
        <v>0</v>
      </c>
      <c r="K1058" s="84">
        <f t="shared" si="35"/>
        <v>0</v>
      </c>
      <c r="L1058" s="61" t="e">
        <f>VLOOKUP(K1058,[1]Mapping!$J$3:$Q$351,8,FALSE)</f>
        <v>#N/A</v>
      </c>
      <c r="M1058" t="s">
        <v>83</v>
      </c>
    </row>
    <row r="1059" spans="5:13" hidden="1" x14ac:dyDescent="0.35">
      <c r="E1059" s="81"/>
      <c r="I1059" s="83" t="e">
        <f>VLOOKUP(E1059,[1]Mapping!$A$3:$B$14,2,FALSE)</f>
        <v>#N/A</v>
      </c>
      <c r="J1059" s="84">
        <f t="shared" si="34"/>
        <v>0</v>
      </c>
      <c r="K1059" s="84">
        <f t="shared" si="35"/>
        <v>0</v>
      </c>
      <c r="L1059" s="61" t="e">
        <f>VLOOKUP(K1059,[1]Mapping!$J$3:$Q$351,8,FALSE)</f>
        <v>#N/A</v>
      </c>
      <c r="M1059" t="s">
        <v>83</v>
      </c>
    </row>
    <row r="1060" spans="5:13" hidden="1" x14ac:dyDescent="0.35">
      <c r="E1060" s="81"/>
      <c r="I1060" s="83" t="e">
        <f>VLOOKUP(E1060,[1]Mapping!$A$3:$B$14,2,FALSE)</f>
        <v>#N/A</v>
      </c>
      <c r="J1060" s="84">
        <f t="shared" si="34"/>
        <v>0</v>
      </c>
      <c r="K1060" s="84">
        <f t="shared" si="35"/>
        <v>0</v>
      </c>
      <c r="L1060" s="61" t="e">
        <f>VLOOKUP(K1060,[1]Mapping!$J$3:$Q$351,8,FALSE)</f>
        <v>#N/A</v>
      </c>
      <c r="M1060" t="s">
        <v>83</v>
      </c>
    </row>
    <row r="1061" spans="5:13" hidden="1" x14ac:dyDescent="0.35">
      <c r="E1061" s="81"/>
      <c r="I1061" s="83" t="e">
        <f>VLOOKUP(E1061,[1]Mapping!$A$3:$B$14,2,FALSE)</f>
        <v>#N/A</v>
      </c>
      <c r="J1061" s="84">
        <f t="shared" si="34"/>
        <v>0</v>
      </c>
      <c r="K1061" s="84">
        <f t="shared" si="35"/>
        <v>0</v>
      </c>
      <c r="L1061" s="61" t="e">
        <f>VLOOKUP(K1061,[1]Mapping!$J$3:$Q$351,8,FALSE)</f>
        <v>#N/A</v>
      </c>
      <c r="M1061" t="s">
        <v>83</v>
      </c>
    </row>
    <row r="1062" spans="5:13" hidden="1" x14ac:dyDescent="0.35">
      <c r="E1062" s="81"/>
      <c r="I1062" s="83" t="e">
        <f>VLOOKUP(E1062,[1]Mapping!$A$3:$B$14,2,FALSE)</f>
        <v>#N/A</v>
      </c>
      <c r="J1062" s="84">
        <f t="shared" si="34"/>
        <v>0</v>
      </c>
      <c r="K1062" s="84">
        <f t="shared" si="35"/>
        <v>0</v>
      </c>
      <c r="L1062" s="61" t="e">
        <f>VLOOKUP(K1062,[1]Mapping!$J$3:$Q$351,8,FALSE)</f>
        <v>#N/A</v>
      </c>
      <c r="M1062" t="s">
        <v>83</v>
      </c>
    </row>
    <row r="1063" spans="5:13" hidden="1" x14ac:dyDescent="0.35">
      <c r="E1063" s="81"/>
      <c r="I1063" s="83" t="e">
        <f>VLOOKUP(E1063,[1]Mapping!$A$3:$B$14,2,FALSE)</f>
        <v>#N/A</v>
      </c>
      <c r="J1063" s="84">
        <f t="shared" si="34"/>
        <v>0</v>
      </c>
      <c r="K1063" s="84">
        <f t="shared" si="35"/>
        <v>0</v>
      </c>
      <c r="L1063" s="61" t="e">
        <f>VLOOKUP(K1063,[1]Mapping!$J$3:$Q$351,8,FALSE)</f>
        <v>#N/A</v>
      </c>
      <c r="M1063" t="s">
        <v>83</v>
      </c>
    </row>
    <row r="1064" spans="5:13" hidden="1" x14ac:dyDescent="0.35">
      <c r="E1064" s="81"/>
      <c r="I1064" s="83" t="e">
        <f>VLOOKUP(E1064,[1]Mapping!$A$3:$B$14,2,FALSE)</f>
        <v>#N/A</v>
      </c>
      <c r="J1064" s="84">
        <f t="shared" si="34"/>
        <v>0</v>
      </c>
      <c r="K1064" s="84">
        <f t="shared" si="35"/>
        <v>0</v>
      </c>
      <c r="L1064" s="61" t="e">
        <f>VLOOKUP(K1064,[1]Mapping!$J$3:$Q$351,8,FALSE)</f>
        <v>#N/A</v>
      </c>
      <c r="M1064" t="s">
        <v>83</v>
      </c>
    </row>
    <row r="1065" spans="5:13" hidden="1" x14ac:dyDescent="0.35">
      <c r="E1065" s="81"/>
      <c r="I1065" s="83" t="e">
        <f>VLOOKUP(E1065,[1]Mapping!$A$3:$B$14,2,FALSE)</f>
        <v>#N/A</v>
      </c>
      <c r="J1065" s="84">
        <f t="shared" si="34"/>
        <v>0</v>
      </c>
      <c r="K1065" s="84">
        <f t="shared" si="35"/>
        <v>0</v>
      </c>
      <c r="L1065" s="61" t="e">
        <f>VLOOKUP(K1065,[1]Mapping!$J$3:$Q$351,8,FALSE)</f>
        <v>#N/A</v>
      </c>
      <c r="M1065" t="s">
        <v>83</v>
      </c>
    </row>
    <row r="1066" spans="5:13" hidden="1" x14ac:dyDescent="0.35">
      <c r="E1066" s="81"/>
      <c r="I1066" s="83" t="e">
        <f>VLOOKUP(E1066,[1]Mapping!$A$3:$B$14,2,FALSE)</f>
        <v>#N/A</v>
      </c>
      <c r="J1066" s="84">
        <f t="shared" si="34"/>
        <v>0</v>
      </c>
      <c r="K1066" s="84">
        <f t="shared" si="35"/>
        <v>0</v>
      </c>
      <c r="L1066" s="61" t="e">
        <f>VLOOKUP(K1066,[1]Mapping!$J$3:$Q$351,8,FALSE)</f>
        <v>#N/A</v>
      </c>
      <c r="M1066" t="s">
        <v>83</v>
      </c>
    </row>
    <row r="1067" spans="5:13" hidden="1" x14ac:dyDescent="0.35">
      <c r="E1067" s="81"/>
      <c r="I1067" s="83" t="e">
        <f>VLOOKUP(E1067,[1]Mapping!$A$3:$B$14,2,FALSE)</f>
        <v>#N/A</v>
      </c>
      <c r="J1067" s="84">
        <f t="shared" si="34"/>
        <v>0</v>
      </c>
      <c r="K1067" s="84">
        <f t="shared" si="35"/>
        <v>0</v>
      </c>
      <c r="L1067" s="61" t="e">
        <f>VLOOKUP(K1067,[1]Mapping!$J$3:$Q$351,8,FALSE)</f>
        <v>#N/A</v>
      </c>
      <c r="M1067" t="s">
        <v>83</v>
      </c>
    </row>
    <row r="1068" spans="5:13" hidden="1" x14ac:dyDescent="0.35">
      <c r="E1068" s="81"/>
      <c r="I1068" s="83" t="e">
        <f>VLOOKUP(E1068,[1]Mapping!$A$3:$B$14,2,FALSE)</f>
        <v>#N/A</v>
      </c>
      <c r="J1068" s="84">
        <f t="shared" si="34"/>
        <v>0</v>
      </c>
      <c r="K1068" s="84">
        <f t="shared" si="35"/>
        <v>0</v>
      </c>
      <c r="L1068" s="61" t="e">
        <f>VLOOKUP(K1068,[1]Mapping!$J$3:$Q$351,8,FALSE)</f>
        <v>#N/A</v>
      </c>
      <c r="M1068" t="s">
        <v>83</v>
      </c>
    </row>
    <row r="1069" spans="5:13" hidden="1" x14ac:dyDescent="0.35">
      <c r="E1069" s="81"/>
      <c r="I1069" s="83" t="e">
        <f>VLOOKUP(E1069,[1]Mapping!$A$3:$B$14,2,FALSE)</f>
        <v>#N/A</v>
      </c>
      <c r="J1069" s="84">
        <f t="shared" si="34"/>
        <v>0</v>
      </c>
      <c r="K1069" s="84">
        <f t="shared" si="35"/>
        <v>0</v>
      </c>
      <c r="L1069" s="61" t="e">
        <f>VLOOKUP(K1069,[1]Mapping!$J$3:$Q$351,8,FALSE)</f>
        <v>#N/A</v>
      </c>
      <c r="M1069" t="s">
        <v>83</v>
      </c>
    </row>
    <row r="1070" spans="5:13" hidden="1" x14ac:dyDescent="0.35">
      <c r="E1070" s="81"/>
      <c r="I1070" s="83" t="e">
        <f>VLOOKUP(E1070,[1]Mapping!$A$3:$B$14,2,FALSE)</f>
        <v>#N/A</v>
      </c>
      <c r="J1070" s="84">
        <f t="shared" si="34"/>
        <v>0</v>
      </c>
      <c r="K1070" s="84">
        <f t="shared" si="35"/>
        <v>0</v>
      </c>
      <c r="L1070" s="61" t="e">
        <f>VLOOKUP(K1070,[1]Mapping!$J$3:$Q$351,8,FALSE)</f>
        <v>#N/A</v>
      </c>
      <c r="M1070" t="s">
        <v>83</v>
      </c>
    </row>
    <row r="1071" spans="5:13" hidden="1" x14ac:dyDescent="0.35">
      <c r="E1071" s="81"/>
      <c r="I1071" s="83" t="e">
        <f>VLOOKUP(E1071,[1]Mapping!$A$3:$B$14,2,FALSE)</f>
        <v>#N/A</v>
      </c>
      <c r="J1071" s="84">
        <f t="shared" si="34"/>
        <v>0</v>
      </c>
      <c r="K1071" s="84">
        <f t="shared" si="35"/>
        <v>0</v>
      </c>
      <c r="L1071" s="61" t="e">
        <f>VLOOKUP(K1071,[1]Mapping!$J$3:$Q$351,8,FALSE)</f>
        <v>#N/A</v>
      </c>
      <c r="M1071" t="s">
        <v>83</v>
      </c>
    </row>
    <row r="1072" spans="5:13" hidden="1" x14ac:dyDescent="0.35">
      <c r="E1072" s="81"/>
      <c r="I1072" s="83" t="e">
        <f>VLOOKUP(E1072,[1]Mapping!$A$3:$B$14,2,FALSE)</f>
        <v>#N/A</v>
      </c>
      <c r="J1072" s="84">
        <f t="shared" si="34"/>
        <v>0</v>
      </c>
      <c r="K1072" s="84">
        <f t="shared" si="35"/>
        <v>0</v>
      </c>
      <c r="L1072" s="61" t="e">
        <f>VLOOKUP(K1072,[1]Mapping!$J$3:$Q$351,8,FALSE)</f>
        <v>#N/A</v>
      </c>
      <c r="M1072" t="s">
        <v>83</v>
      </c>
    </row>
    <row r="1073" spans="5:13" hidden="1" x14ac:dyDescent="0.35">
      <c r="E1073" s="81"/>
      <c r="I1073" s="83" t="e">
        <f>VLOOKUP(E1073,[1]Mapping!$A$3:$B$14,2,FALSE)</f>
        <v>#N/A</v>
      </c>
      <c r="J1073" s="84">
        <f t="shared" si="34"/>
        <v>0</v>
      </c>
      <c r="K1073" s="84">
        <f t="shared" si="35"/>
        <v>0</v>
      </c>
      <c r="L1073" s="61" t="e">
        <f>VLOOKUP(K1073,[1]Mapping!$J$3:$Q$351,8,FALSE)</f>
        <v>#N/A</v>
      </c>
      <c r="M1073" t="s">
        <v>83</v>
      </c>
    </row>
    <row r="1074" spans="5:13" hidden="1" x14ac:dyDescent="0.35">
      <c r="E1074" s="81"/>
      <c r="I1074" s="83" t="e">
        <f>VLOOKUP(E1074,[1]Mapping!$A$3:$B$14,2,FALSE)</f>
        <v>#N/A</v>
      </c>
      <c r="J1074" s="84">
        <f t="shared" si="34"/>
        <v>0</v>
      </c>
      <c r="K1074" s="84">
        <f t="shared" si="35"/>
        <v>0</v>
      </c>
      <c r="L1074" s="61" t="e">
        <f>VLOOKUP(K1074,[1]Mapping!$J$3:$Q$351,8,FALSE)</f>
        <v>#N/A</v>
      </c>
      <c r="M1074" t="s">
        <v>83</v>
      </c>
    </row>
    <row r="1075" spans="5:13" hidden="1" x14ac:dyDescent="0.35">
      <c r="E1075" s="81"/>
      <c r="I1075" s="83" t="e">
        <f>VLOOKUP(E1075,[1]Mapping!$A$3:$B$14,2,FALSE)</f>
        <v>#N/A</v>
      </c>
      <c r="J1075" s="84">
        <f t="shared" si="34"/>
        <v>0</v>
      </c>
      <c r="K1075" s="84">
        <f t="shared" si="35"/>
        <v>0</v>
      </c>
      <c r="L1075" s="61" t="e">
        <f>VLOOKUP(K1075,[1]Mapping!$J$3:$Q$351,8,FALSE)</f>
        <v>#N/A</v>
      </c>
      <c r="M1075" t="s">
        <v>83</v>
      </c>
    </row>
    <row r="1076" spans="5:13" hidden="1" x14ac:dyDescent="0.35">
      <c r="E1076" s="81"/>
      <c r="I1076" s="83" t="e">
        <f>VLOOKUP(E1076,[1]Mapping!$A$3:$B$14,2,FALSE)</f>
        <v>#N/A</v>
      </c>
      <c r="J1076" s="84">
        <f t="shared" si="34"/>
        <v>0</v>
      </c>
      <c r="K1076" s="84">
        <f t="shared" si="35"/>
        <v>0</v>
      </c>
      <c r="L1076" s="61" t="e">
        <f>VLOOKUP(K1076,[1]Mapping!$J$3:$Q$351,8,FALSE)</f>
        <v>#N/A</v>
      </c>
      <c r="M1076" t="s">
        <v>83</v>
      </c>
    </row>
    <row r="1077" spans="5:13" hidden="1" x14ac:dyDescent="0.35">
      <c r="E1077" s="81"/>
      <c r="I1077" s="83" t="e">
        <f>VLOOKUP(E1077,[1]Mapping!$A$3:$B$14,2,FALSE)</f>
        <v>#N/A</v>
      </c>
      <c r="J1077" s="84">
        <f t="shared" si="34"/>
        <v>0</v>
      </c>
      <c r="K1077" s="84">
        <f t="shared" si="35"/>
        <v>0</v>
      </c>
      <c r="L1077" s="61" t="e">
        <f>VLOOKUP(K1077,[1]Mapping!$J$3:$Q$351,8,FALSE)</f>
        <v>#N/A</v>
      </c>
      <c r="M1077" t="s">
        <v>83</v>
      </c>
    </row>
    <row r="1078" spans="5:13" hidden="1" x14ac:dyDescent="0.35">
      <c r="E1078" s="81"/>
      <c r="I1078" s="83" t="e">
        <f>VLOOKUP(E1078,[1]Mapping!$A$3:$B$14,2,FALSE)</f>
        <v>#N/A</v>
      </c>
      <c r="J1078" s="84">
        <f t="shared" si="34"/>
        <v>0</v>
      </c>
      <c r="K1078" s="84">
        <f t="shared" si="35"/>
        <v>0</v>
      </c>
      <c r="L1078" s="61" t="e">
        <f>VLOOKUP(K1078,[1]Mapping!$J$3:$Q$351,8,FALSE)</f>
        <v>#N/A</v>
      </c>
      <c r="M1078" t="s">
        <v>83</v>
      </c>
    </row>
    <row r="1079" spans="5:13" hidden="1" x14ac:dyDescent="0.35">
      <c r="E1079" s="81"/>
      <c r="I1079" s="83" t="e">
        <f>VLOOKUP(E1079,[1]Mapping!$A$3:$B$14,2,FALSE)</f>
        <v>#N/A</v>
      </c>
      <c r="J1079" s="84">
        <f t="shared" si="34"/>
        <v>0</v>
      </c>
      <c r="K1079" s="84">
        <f t="shared" si="35"/>
        <v>0</v>
      </c>
      <c r="L1079" s="61" t="e">
        <f>VLOOKUP(K1079,[1]Mapping!$J$3:$Q$351,8,FALSE)</f>
        <v>#N/A</v>
      </c>
      <c r="M1079" t="s">
        <v>83</v>
      </c>
    </row>
    <row r="1080" spans="5:13" hidden="1" x14ac:dyDescent="0.35">
      <c r="E1080" s="81"/>
      <c r="I1080" s="83" t="e">
        <f>VLOOKUP(E1080,[1]Mapping!$A$3:$B$14,2,FALSE)</f>
        <v>#N/A</v>
      </c>
      <c r="J1080" s="84">
        <f t="shared" si="34"/>
        <v>0</v>
      </c>
      <c r="K1080" s="84">
        <f t="shared" si="35"/>
        <v>0</v>
      </c>
      <c r="L1080" s="61" t="e">
        <f>VLOOKUP(K1080,[1]Mapping!$J$3:$Q$351,8,FALSE)</f>
        <v>#N/A</v>
      </c>
      <c r="M1080" t="s">
        <v>83</v>
      </c>
    </row>
    <row r="1081" spans="5:13" hidden="1" x14ac:dyDescent="0.35">
      <c r="E1081" s="81"/>
      <c r="I1081" s="83" t="e">
        <f>VLOOKUP(E1081,[1]Mapping!$A$3:$B$14,2,FALSE)</f>
        <v>#N/A</v>
      </c>
      <c r="J1081" s="84">
        <f t="shared" si="34"/>
        <v>0</v>
      </c>
      <c r="K1081" s="84">
        <f t="shared" si="35"/>
        <v>0</v>
      </c>
      <c r="L1081" s="61" t="e">
        <f>VLOOKUP(K1081,[1]Mapping!$J$3:$Q$351,8,FALSE)</f>
        <v>#N/A</v>
      </c>
      <c r="M1081" t="s">
        <v>83</v>
      </c>
    </row>
    <row r="1082" spans="5:13" hidden="1" x14ac:dyDescent="0.35">
      <c r="E1082" s="81"/>
      <c r="I1082" s="83" t="e">
        <f>VLOOKUP(E1082,[1]Mapping!$A$3:$B$14,2,FALSE)</f>
        <v>#N/A</v>
      </c>
      <c r="J1082" s="84">
        <f t="shared" si="34"/>
        <v>0</v>
      </c>
      <c r="K1082" s="84">
        <f t="shared" si="35"/>
        <v>0</v>
      </c>
      <c r="L1082" s="61" t="e">
        <f>VLOOKUP(K1082,[1]Mapping!$J$3:$Q$351,8,FALSE)</f>
        <v>#N/A</v>
      </c>
      <c r="M1082" t="s">
        <v>83</v>
      </c>
    </row>
    <row r="1083" spans="5:13" hidden="1" x14ac:dyDescent="0.35">
      <c r="E1083" s="81"/>
      <c r="I1083" s="83" t="e">
        <f>VLOOKUP(E1083,[1]Mapping!$A$3:$B$14,2,FALSE)</f>
        <v>#N/A</v>
      </c>
      <c r="J1083" s="84">
        <f t="shared" si="34"/>
        <v>0</v>
      </c>
      <c r="K1083" s="84">
        <f t="shared" si="35"/>
        <v>0</v>
      </c>
      <c r="L1083" s="61" t="e">
        <f>VLOOKUP(K1083,[1]Mapping!$J$3:$Q$351,8,FALSE)</f>
        <v>#N/A</v>
      </c>
      <c r="M1083" t="s">
        <v>83</v>
      </c>
    </row>
    <row r="1084" spans="5:13" hidden="1" x14ac:dyDescent="0.35">
      <c r="E1084" s="81"/>
      <c r="I1084" s="83" t="e">
        <f>VLOOKUP(E1084,[1]Mapping!$A$3:$B$14,2,FALSE)</f>
        <v>#N/A</v>
      </c>
      <c r="J1084" s="84">
        <f t="shared" si="34"/>
        <v>0</v>
      </c>
      <c r="K1084" s="84">
        <f t="shared" si="35"/>
        <v>0</v>
      </c>
      <c r="L1084" s="61" t="e">
        <f>VLOOKUP(K1084,[1]Mapping!$J$3:$Q$351,8,FALSE)</f>
        <v>#N/A</v>
      </c>
      <c r="M1084" t="s">
        <v>83</v>
      </c>
    </row>
    <row r="1085" spans="5:13" hidden="1" x14ac:dyDescent="0.35">
      <c r="E1085" s="81"/>
      <c r="I1085" s="83" t="e">
        <f>VLOOKUP(E1085,[1]Mapping!$A$3:$B$14,2,FALSE)</f>
        <v>#N/A</v>
      </c>
      <c r="J1085" s="84">
        <f t="shared" si="34"/>
        <v>0</v>
      </c>
      <c r="K1085" s="84">
        <f t="shared" si="35"/>
        <v>0</v>
      </c>
      <c r="L1085" s="61" t="e">
        <f>VLOOKUP(K1085,[1]Mapping!$J$3:$Q$351,8,FALSE)</f>
        <v>#N/A</v>
      </c>
      <c r="M1085" t="s">
        <v>83</v>
      </c>
    </row>
    <row r="1086" spans="5:13" hidden="1" x14ac:dyDescent="0.35">
      <c r="E1086" s="81"/>
      <c r="I1086" s="83" t="e">
        <f>VLOOKUP(E1086,[1]Mapping!$A$3:$B$14,2,FALSE)</f>
        <v>#N/A</v>
      </c>
      <c r="J1086" s="84">
        <f t="shared" si="34"/>
        <v>0</v>
      </c>
      <c r="K1086" s="84">
        <f t="shared" si="35"/>
        <v>0</v>
      </c>
      <c r="L1086" s="61" t="e">
        <f>VLOOKUP(K1086,[1]Mapping!$J$3:$Q$351,8,FALSE)</f>
        <v>#N/A</v>
      </c>
      <c r="M1086" t="s">
        <v>83</v>
      </c>
    </row>
    <row r="1087" spans="5:13" hidden="1" x14ac:dyDescent="0.35">
      <c r="E1087" s="81"/>
      <c r="I1087" s="83" t="e">
        <f>VLOOKUP(E1087,[1]Mapping!$A$3:$B$14,2,FALSE)</f>
        <v>#N/A</v>
      </c>
      <c r="J1087" s="84">
        <f t="shared" si="34"/>
        <v>0</v>
      </c>
      <c r="K1087" s="84">
        <f t="shared" si="35"/>
        <v>0</v>
      </c>
      <c r="L1087" s="61" t="e">
        <f>VLOOKUP(K1087,[1]Mapping!$J$3:$Q$351,8,FALSE)</f>
        <v>#N/A</v>
      </c>
      <c r="M1087" t="s">
        <v>83</v>
      </c>
    </row>
    <row r="1088" spans="5:13" hidden="1" x14ac:dyDescent="0.35">
      <c r="E1088" s="81"/>
      <c r="I1088" s="83" t="e">
        <f>VLOOKUP(E1088,[1]Mapping!$A$3:$B$14,2,FALSE)</f>
        <v>#N/A</v>
      </c>
      <c r="J1088" s="84">
        <f t="shared" si="34"/>
        <v>0</v>
      </c>
      <c r="K1088" s="84">
        <f t="shared" si="35"/>
        <v>0</v>
      </c>
      <c r="L1088" s="61" t="e">
        <f>VLOOKUP(K1088,[1]Mapping!$J$3:$Q$351,8,FALSE)</f>
        <v>#N/A</v>
      </c>
      <c r="M1088" t="s">
        <v>83</v>
      </c>
    </row>
    <row r="1089" spans="5:13" hidden="1" x14ac:dyDescent="0.35">
      <c r="E1089" s="81"/>
      <c r="I1089" s="83" t="e">
        <f>VLOOKUP(E1089,[1]Mapping!$A$3:$B$14,2,FALSE)</f>
        <v>#N/A</v>
      </c>
      <c r="J1089" s="84">
        <f t="shared" si="34"/>
        <v>0</v>
      </c>
      <c r="K1089" s="84">
        <f t="shared" si="35"/>
        <v>0</v>
      </c>
      <c r="L1089" s="61" t="e">
        <f>VLOOKUP(K1089,[1]Mapping!$J$3:$Q$351,8,FALSE)</f>
        <v>#N/A</v>
      </c>
      <c r="M1089" t="s">
        <v>83</v>
      </c>
    </row>
    <row r="1090" spans="5:13" hidden="1" x14ac:dyDescent="0.35">
      <c r="E1090" s="81"/>
      <c r="I1090" s="83" t="e">
        <f>VLOOKUP(E1090,[1]Mapping!$A$3:$B$14,2,FALSE)</f>
        <v>#N/A</v>
      </c>
      <c r="J1090" s="84">
        <f t="shared" si="34"/>
        <v>0</v>
      </c>
      <c r="K1090" s="84">
        <f t="shared" si="35"/>
        <v>0</v>
      </c>
      <c r="L1090" s="61" t="e">
        <f>VLOOKUP(K1090,[1]Mapping!$J$3:$Q$351,8,FALSE)</f>
        <v>#N/A</v>
      </c>
      <c r="M1090" t="s">
        <v>83</v>
      </c>
    </row>
    <row r="1091" spans="5:13" hidden="1" x14ac:dyDescent="0.35">
      <c r="E1091" s="81"/>
      <c r="I1091" s="83" t="e">
        <f>VLOOKUP(E1091,[1]Mapping!$A$3:$B$14,2,FALSE)</f>
        <v>#N/A</v>
      </c>
      <c r="J1091" s="84">
        <f t="shared" si="34"/>
        <v>0</v>
      </c>
      <c r="K1091" s="84">
        <f t="shared" si="35"/>
        <v>0</v>
      </c>
      <c r="L1091" s="61" t="e">
        <f>VLOOKUP(K1091,[1]Mapping!$J$3:$Q$351,8,FALSE)</f>
        <v>#N/A</v>
      </c>
      <c r="M1091" t="s">
        <v>83</v>
      </c>
    </row>
    <row r="1092" spans="5:13" hidden="1" x14ac:dyDescent="0.35">
      <c r="E1092" s="81"/>
      <c r="I1092" s="83" t="e">
        <f>VLOOKUP(E1092,[1]Mapping!$A$3:$B$14,2,FALSE)</f>
        <v>#N/A</v>
      </c>
      <c r="J1092" s="84">
        <f t="shared" ref="J1092:J1155" si="36">VALUE(A1092)</f>
        <v>0</v>
      </c>
      <c r="K1092" s="84">
        <f t="shared" ref="K1092:K1155" si="37">VALUE(C1092)</f>
        <v>0</v>
      </c>
      <c r="L1092" s="61" t="e">
        <f>VLOOKUP(K1092,[1]Mapping!$J$3:$Q$351,8,FALSE)</f>
        <v>#N/A</v>
      </c>
      <c r="M1092" t="s">
        <v>83</v>
      </c>
    </row>
    <row r="1093" spans="5:13" hidden="1" x14ac:dyDescent="0.35">
      <c r="E1093" s="81"/>
      <c r="I1093" s="83" t="e">
        <f>VLOOKUP(E1093,[1]Mapping!$A$3:$B$14,2,FALSE)</f>
        <v>#N/A</v>
      </c>
      <c r="J1093" s="84">
        <f t="shared" si="36"/>
        <v>0</v>
      </c>
      <c r="K1093" s="84">
        <f t="shared" si="37"/>
        <v>0</v>
      </c>
      <c r="L1093" s="61" t="e">
        <f>VLOOKUP(K1093,[1]Mapping!$J$3:$Q$351,8,FALSE)</f>
        <v>#N/A</v>
      </c>
      <c r="M1093" t="s">
        <v>83</v>
      </c>
    </row>
    <row r="1094" spans="5:13" hidden="1" x14ac:dyDescent="0.35">
      <c r="E1094" s="81"/>
      <c r="I1094" s="83" t="e">
        <f>VLOOKUP(E1094,[1]Mapping!$A$3:$B$14,2,FALSE)</f>
        <v>#N/A</v>
      </c>
      <c r="J1094" s="84">
        <f t="shared" si="36"/>
        <v>0</v>
      </c>
      <c r="K1094" s="84">
        <f t="shared" si="37"/>
        <v>0</v>
      </c>
      <c r="L1094" s="61" t="e">
        <f>VLOOKUP(K1094,[1]Mapping!$J$3:$Q$351,8,FALSE)</f>
        <v>#N/A</v>
      </c>
      <c r="M1094" t="s">
        <v>83</v>
      </c>
    </row>
    <row r="1095" spans="5:13" hidden="1" x14ac:dyDescent="0.35">
      <c r="E1095" s="81"/>
      <c r="I1095" s="83" t="e">
        <f>VLOOKUP(E1095,[1]Mapping!$A$3:$B$14,2,FALSE)</f>
        <v>#N/A</v>
      </c>
      <c r="J1095" s="84">
        <f t="shared" si="36"/>
        <v>0</v>
      </c>
      <c r="K1095" s="84">
        <f t="shared" si="37"/>
        <v>0</v>
      </c>
      <c r="L1095" s="61" t="e">
        <f>VLOOKUP(K1095,[1]Mapping!$J$3:$Q$351,8,FALSE)</f>
        <v>#N/A</v>
      </c>
      <c r="M1095" t="s">
        <v>83</v>
      </c>
    </row>
    <row r="1096" spans="5:13" hidden="1" x14ac:dyDescent="0.35">
      <c r="E1096" s="81"/>
      <c r="I1096" s="83" t="e">
        <f>VLOOKUP(E1096,[1]Mapping!$A$3:$B$14,2,FALSE)</f>
        <v>#N/A</v>
      </c>
      <c r="J1096" s="84">
        <f t="shared" si="36"/>
        <v>0</v>
      </c>
      <c r="K1096" s="84">
        <f t="shared" si="37"/>
        <v>0</v>
      </c>
      <c r="L1096" s="61" t="e">
        <f>VLOOKUP(K1096,[1]Mapping!$J$3:$Q$351,8,FALSE)</f>
        <v>#N/A</v>
      </c>
      <c r="M1096" t="s">
        <v>83</v>
      </c>
    </row>
    <row r="1097" spans="5:13" hidden="1" x14ac:dyDescent="0.35">
      <c r="E1097" s="81"/>
      <c r="I1097" s="83" t="e">
        <f>VLOOKUP(E1097,[1]Mapping!$A$3:$B$14,2,FALSE)</f>
        <v>#N/A</v>
      </c>
      <c r="J1097" s="84">
        <f t="shared" si="36"/>
        <v>0</v>
      </c>
      <c r="K1097" s="84">
        <f t="shared" si="37"/>
        <v>0</v>
      </c>
      <c r="L1097" s="61" t="e">
        <f>VLOOKUP(K1097,[1]Mapping!$J$3:$Q$351,8,FALSE)</f>
        <v>#N/A</v>
      </c>
      <c r="M1097" t="s">
        <v>83</v>
      </c>
    </row>
    <row r="1098" spans="5:13" hidden="1" x14ac:dyDescent="0.35">
      <c r="E1098" s="81"/>
      <c r="I1098" s="83" t="e">
        <f>VLOOKUP(E1098,[1]Mapping!$A$3:$B$14,2,FALSE)</f>
        <v>#N/A</v>
      </c>
      <c r="J1098" s="84">
        <f t="shared" si="36"/>
        <v>0</v>
      </c>
      <c r="K1098" s="84">
        <f t="shared" si="37"/>
        <v>0</v>
      </c>
      <c r="L1098" s="61" t="e">
        <f>VLOOKUP(K1098,[1]Mapping!$J$3:$Q$351,8,FALSE)</f>
        <v>#N/A</v>
      </c>
      <c r="M1098" t="s">
        <v>83</v>
      </c>
    </row>
    <row r="1099" spans="5:13" hidden="1" x14ac:dyDescent="0.35">
      <c r="E1099" s="81"/>
      <c r="I1099" s="83" t="e">
        <f>VLOOKUP(E1099,[1]Mapping!$A$3:$B$14,2,FALSE)</f>
        <v>#N/A</v>
      </c>
      <c r="J1099" s="84">
        <f t="shared" si="36"/>
        <v>0</v>
      </c>
      <c r="K1099" s="84">
        <f t="shared" si="37"/>
        <v>0</v>
      </c>
      <c r="L1099" s="61" t="e">
        <f>VLOOKUP(K1099,[1]Mapping!$J$3:$Q$351,8,FALSE)</f>
        <v>#N/A</v>
      </c>
      <c r="M1099" t="s">
        <v>83</v>
      </c>
    </row>
    <row r="1100" spans="5:13" hidden="1" x14ac:dyDescent="0.35">
      <c r="E1100" s="81"/>
      <c r="I1100" s="83" t="e">
        <f>VLOOKUP(E1100,[1]Mapping!$A$3:$B$14,2,FALSE)</f>
        <v>#N/A</v>
      </c>
      <c r="J1100" s="84">
        <f t="shared" si="36"/>
        <v>0</v>
      </c>
      <c r="K1100" s="84">
        <f t="shared" si="37"/>
        <v>0</v>
      </c>
      <c r="L1100" s="61" t="e">
        <f>VLOOKUP(K1100,[1]Mapping!$J$3:$Q$351,8,FALSE)</f>
        <v>#N/A</v>
      </c>
      <c r="M1100" t="s">
        <v>83</v>
      </c>
    </row>
    <row r="1101" spans="5:13" hidden="1" x14ac:dyDescent="0.35">
      <c r="E1101" s="81"/>
      <c r="I1101" s="83" t="e">
        <f>VLOOKUP(E1101,[1]Mapping!$A$3:$B$14,2,FALSE)</f>
        <v>#N/A</v>
      </c>
      <c r="J1101" s="84">
        <f t="shared" si="36"/>
        <v>0</v>
      </c>
      <c r="K1101" s="84">
        <f t="shared" si="37"/>
        <v>0</v>
      </c>
      <c r="L1101" s="61" t="e">
        <f>VLOOKUP(K1101,[1]Mapping!$J$3:$Q$351,8,FALSE)</f>
        <v>#N/A</v>
      </c>
      <c r="M1101" t="s">
        <v>83</v>
      </c>
    </row>
    <row r="1102" spans="5:13" hidden="1" x14ac:dyDescent="0.35">
      <c r="E1102" s="81"/>
      <c r="I1102" s="83" t="e">
        <f>VLOOKUP(E1102,[1]Mapping!$A$3:$B$14,2,FALSE)</f>
        <v>#N/A</v>
      </c>
      <c r="J1102" s="84">
        <f t="shared" si="36"/>
        <v>0</v>
      </c>
      <c r="K1102" s="84">
        <f t="shared" si="37"/>
        <v>0</v>
      </c>
      <c r="L1102" s="61" t="e">
        <f>VLOOKUP(K1102,[1]Mapping!$J$3:$Q$351,8,FALSE)</f>
        <v>#N/A</v>
      </c>
      <c r="M1102" t="s">
        <v>83</v>
      </c>
    </row>
    <row r="1103" spans="5:13" hidden="1" x14ac:dyDescent="0.35">
      <c r="E1103" s="81"/>
      <c r="I1103" s="83" t="e">
        <f>VLOOKUP(E1103,[1]Mapping!$A$3:$B$14,2,FALSE)</f>
        <v>#N/A</v>
      </c>
      <c r="J1103" s="84">
        <f t="shared" si="36"/>
        <v>0</v>
      </c>
      <c r="K1103" s="84">
        <f t="shared" si="37"/>
        <v>0</v>
      </c>
      <c r="L1103" s="61" t="e">
        <f>VLOOKUP(K1103,[1]Mapping!$J$3:$Q$351,8,FALSE)</f>
        <v>#N/A</v>
      </c>
      <c r="M1103" t="s">
        <v>83</v>
      </c>
    </row>
    <row r="1104" spans="5:13" hidden="1" x14ac:dyDescent="0.35">
      <c r="E1104" s="81"/>
      <c r="I1104" s="83" t="e">
        <f>VLOOKUP(E1104,[1]Mapping!$A$3:$B$14,2,FALSE)</f>
        <v>#N/A</v>
      </c>
      <c r="J1104" s="84">
        <f t="shared" si="36"/>
        <v>0</v>
      </c>
      <c r="K1104" s="84">
        <f t="shared" si="37"/>
        <v>0</v>
      </c>
      <c r="L1104" s="61" t="e">
        <f>VLOOKUP(K1104,[1]Mapping!$J$3:$Q$351,8,FALSE)</f>
        <v>#N/A</v>
      </c>
      <c r="M1104" t="s">
        <v>83</v>
      </c>
    </row>
    <row r="1105" spans="5:13" hidden="1" x14ac:dyDescent="0.35">
      <c r="E1105" s="81"/>
      <c r="I1105" s="83" t="e">
        <f>VLOOKUP(E1105,[1]Mapping!$A$3:$B$14,2,FALSE)</f>
        <v>#N/A</v>
      </c>
      <c r="J1105" s="84">
        <f t="shared" si="36"/>
        <v>0</v>
      </c>
      <c r="K1105" s="84">
        <f t="shared" si="37"/>
        <v>0</v>
      </c>
      <c r="L1105" s="61" t="e">
        <f>VLOOKUP(K1105,[1]Mapping!$J$3:$Q$351,8,FALSE)</f>
        <v>#N/A</v>
      </c>
      <c r="M1105" t="s">
        <v>83</v>
      </c>
    </row>
    <row r="1106" spans="5:13" hidden="1" x14ac:dyDescent="0.35">
      <c r="E1106" s="81"/>
      <c r="I1106" s="83" t="e">
        <f>VLOOKUP(E1106,[1]Mapping!$A$3:$B$14,2,FALSE)</f>
        <v>#N/A</v>
      </c>
      <c r="J1106" s="84">
        <f t="shared" si="36"/>
        <v>0</v>
      </c>
      <c r="K1106" s="84">
        <f t="shared" si="37"/>
        <v>0</v>
      </c>
      <c r="L1106" s="61" t="e">
        <f>VLOOKUP(K1106,[1]Mapping!$J$3:$Q$351,8,FALSE)</f>
        <v>#N/A</v>
      </c>
      <c r="M1106" t="s">
        <v>83</v>
      </c>
    </row>
    <row r="1107" spans="5:13" hidden="1" x14ac:dyDescent="0.35">
      <c r="E1107" s="81"/>
      <c r="I1107" s="83" t="e">
        <f>VLOOKUP(E1107,[1]Mapping!$A$3:$B$14,2,FALSE)</f>
        <v>#N/A</v>
      </c>
      <c r="J1107" s="84">
        <f t="shared" si="36"/>
        <v>0</v>
      </c>
      <c r="K1107" s="84">
        <f t="shared" si="37"/>
        <v>0</v>
      </c>
      <c r="L1107" s="61" t="e">
        <f>VLOOKUP(K1107,[1]Mapping!$J$3:$Q$351,8,FALSE)</f>
        <v>#N/A</v>
      </c>
      <c r="M1107" t="s">
        <v>83</v>
      </c>
    </row>
    <row r="1108" spans="5:13" hidden="1" x14ac:dyDescent="0.35">
      <c r="E1108" s="81"/>
      <c r="I1108" s="83" t="e">
        <f>VLOOKUP(E1108,[1]Mapping!$A$3:$B$14,2,FALSE)</f>
        <v>#N/A</v>
      </c>
      <c r="J1108" s="84">
        <f t="shared" si="36"/>
        <v>0</v>
      </c>
      <c r="K1108" s="84">
        <f t="shared" si="37"/>
        <v>0</v>
      </c>
      <c r="L1108" s="61" t="e">
        <f>VLOOKUP(K1108,[1]Mapping!$J$3:$Q$351,8,FALSE)</f>
        <v>#N/A</v>
      </c>
      <c r="M1108" t="s">
        <v>83</v>
      </c>
    </row>
    <row r="1109" spans="5:13" hidden="1" x14ac:dyDescent="0.35">
      <c r="E1109" s="81"/>
      <c r="I1109" s="83" t="e">
        <f>VLOOKUP(E1109,[1]Mapping!$A$3:$B$14,2,FALSE)</f>
        <v>#N/A</v>
      </c>
      <c r="J1109" s="84">
        <f t="shared" si="36"/>
        <v>0</v>
      </c>
      <c r="K1109" s="84">
        <f t="shared" si="37"/>
        <v>0</v>
      </c>
      <c r="L1109" s="61" t="e">
        <f>VLOOKUP(K1109,[1]Mapping!$J$3:$Q$351,8,FALSE)</f>
        <v>#N/A</v>
      </c>
      <c r="M1109" t="s">
        <v>83</v>
      </c>
    </row>
    <row r="1110" spans="5:13" hidden="1" x14ac:dyDescent="0.35">
      <c r="E1110" s="81"/>
      <c r="I1110" s="83" t="e">
        <f>VLOOKUP(E1110,[1]Mapping!$A$3:$B$14,2,FALSE)</f>
        <v>#N/A</v>
      </c>
      <c r="J1110" s="84">
        <f t="shared" si="36"/>
        <v>0</v>
      </c>
      <c r="K1110" s="84">
        <f t="shared" si="37"/>
        <v>0</v>
      </c>
      <c r="L1110" s="61" t="e">
        <f>VLOOKUP(K1110,[1]Mapping!$J$3:$Q$351,8,FALSE)</f>
        <v>#N/A</v>
      </c>
      <c r="M1110" t="s">
        <v>83</v>
      </c>
    </row>
    <row r="1111" spans="5:13" hidden="1" x14ac:dyDescent="0.35">
      <c r="E1111" s="81"/>
      <c r="I1111" s="83" t="e">
        <f>VLOOKUP(E1111,[1]Mapping!$A$3:$B$14,2,FALSE)</f>
        <v>#N/A</v>
      </c>
      <c r="J1111" s="84">
        <f t="shared" si="36"/>
        <v>0</v>
      </c>
      <c r="K1111" s="84">
        <f t="shared" si="37"/>
        <v>0</v>
      </c>
      <c r="L1111" s="61" t="e">
        <f>VLOOKUP(K1111,[1]Mapping!$J$3:$Q$351,8,FALSE)</f>
        <v>#N/A</v>
      </c>
      <c r="M1111" t="s">
        <v>83</v>
      </c>
    </row>
    <row r="1112" spans="5:13" hidden="1" x14ac:dyDescent="0.35">
      <c r="E1112" s="81"/>
      <c r="I1112" s="83" t="e">
        <f>VLOOKUP(E1112,[1]Mapping!$A$3:$B$14,2,FALSE)</f>
        <v>#N/A</v>
      </c>
      <c r="J1112" s="84">
        <f t="shared" si="36"/>
        <v>0</v>
      </c>
      <c r="K1112" s="84">
        <f t="shared" si="37"/>
        <v>0</v>
      </c>
      <c r="L1112" s="61" t="e">
        <f>VLOOKUP(K1112,[1]Mapping!$J$3:$Q$351,8,FALSE)</f>
        <v>#N/A</v>
      </c>
      <c r="M1112" t="s">
        <v>83</v>
      </c>
    </row>
    <row r="1113" spans="5:13" hidden="1" x14ac:dyDescent="0.35">
      <c r="E1113" s="81"/>
      <c r="I1113" s="83" t="e">
        <f>VLOOKUP(E1113,[1]Mapping!$A$3:$B$14,2,FALSE)</f>
        <v>#N/A</v>
      </c>
      <c r="J1113" s="84">
        <f t="shared" si="36"/>
        <v>0</v>
      </c>
      <c r="K1113" s="84">
        <f t="shared" si="37"/>
        <v>0</v>
      </c>
      <c r="L1113" s="61" t="e">
        <f>VLOOKUP(K1113,[1]Mapping!$J$3:$Q$351,8,FALSE)</f>
        <v>#N/A</v>
      </c>
      <c r="M1113" t="s">
        <v>83</v>
      </c>
    </row>
    <row r="1114" spans="5:13" hidden="1" x14ac:dyDescent="0.35">
      <c r="E1114" s="81"/>
      <c r="I1114" s="83" t="e">
        <f>VLOOKUP(E1114,[1]Mapping!$A$3:$B$14,2,FALSE)</f>
        <v>#N/A</v>
      </c>
      <c r="J1114" s="84">
        <f t="shared" si="36"/>
        <v>0</v>
      </c>
      <c r="K1114" s="84">
        <f t="shared" si="37"/>
        <v>0</v>
      </c>
      <c r="L1114" s="61" t="e">
        <f>VLOOKUP(K1114,[1]Mapping!$J$3:$Q$351,8,FALSE)</f>
        <v>#N/A</v>
      </c>
      <c r="M1114" t="s">
        <v>83</v>
      </c>
    </row>
    <row r="1115" spans="5:13" hidden="1" x14ac:dyDescent="0.35">
      <c r="E1115" s="81"/>
      <c r="I1115" s="83" t="e">
        <f>VLOOKUP(E1115,[1]Mapping!$A$3:$B$14,2,FALSE)</f>
        <v>#N/A</v>
      </c>
      <c r="J1115" s="84">
        <f t="shared" si="36"/>
        <v>0</v>
      </c>
      <c r="K1115" s="84">
        <f t="shared" si="37"/>
        <v>0</v>
      </c>
      <c r="L1115" s="61" t="e">
        <f>VLOOKUP(K1115,[1]Mapping!$J$3:$Q$351,8,FALSE)</f>
        <v>#N/A</v>
      </c>
      <c r="M1115" t="s">
        <v>83</v>
      </c>
    </row>
    <row r="1116" spans="5:13" hidden="1" x14ac:dyDescent="0.35">
      <c r="E1116" s="81"/>
      <c r="I1116" s="83" t="e">
        <f>VLOOKUP(E1116,[1]Mapping!$A$3:$B$14,2,FALSE)</f>
        <v>#N/A</v>
      </c>
      <c r="J1116" s="84">
        <f t="shared" si="36"/>
        <v>0</v>
      </c>
      <c r="K1116" s="84">
        <f t="shared" si="37"/>
        <v>0</v>
      </c>
      <c r="L1116" s="61" t="e">
        <f>VLOOKUP(K1116,[1]Mapping!$J$3:$Q$351,8,FALSE)</f>
        <v>#N/A</v>
      </c>
      <c r="M1116" t="s">
        <v>83</v>
      </c>
    </row>
    <row r="1117" spans="5:13" hidden="1" x14ac:dyDescent="0.35">
      <c r="E1117" s="81"/>
      <c r="I1117" s="83" t="e">
        <f>VLOOKUP(E1117,[1]Mapping!$A$3:$B$14,2,FALSE)</f>
        <v>#N/A</v>
      </c>
      <c r="J1117" s="84">
        <f t="shared" si="36"/>
        <v>0</v>
      </c>
      <c r="K1117" s="84">
        <f t="shared" si="37"/>
        <v>0</v>
      </c>
      <c r="L1117" s="61" t="e">
        <f>VLOOKUP(K1117,[1]Mapping!$J$3:$Q$351,8,FALSE)</f>
        <v>#N/A</v>
      </c>
      <c r="M1117" t="s">
        <v>83</v>
      </c>
    </row>
    <row r="1118" spans="5:13" hidden="1" x14ac:dyDescent="0.35">
      <c r="E1118" s="81"/>
      <c r="I1118" s="83" t="e">
        <f>VLOOKUP(E1118,[1]Mapping!$A$3:$B$14,2,FALSE)</f>
        <v>#N/A</v>
      </c>
      <c r="J1118" s="84">
        <f t="shared" si="36"/>
        <v>0</v>
      </c>
      <c r="K1118" s="84">
        <f t="shared" si="37"/>
        <v>0</v>
      </c>
      <c r="L1118" s="61" t="e">
        <f>VLOOKUP(K1118,[1]Mapping!$J$3:$Q$351,8,FALSE)</f>
        <v>#N/A</v>
      </c>
      <c r="M1118" t="s">
        <v>83</v>
      </c>
    </row>
    <row r="1119" spans="5:13" hidden="1" x14ac:dyDescent="0.35">
      <c r="E1119" s="81"/>
      <c r="I1119" s="83" t="e">
        <f>VLOOKUP(E1119,[1]Mapping!$A$3:$B$14,2,FALSE)</f>
        <v>#N/A</v>
      </c>
      <c r="J1119" s="84">
        <f t="shared" si="36"/>
        <v>0</v>
      </c>
      <c r="K1119" s="84">
        <f t="shared" si="37"/>
        <v>0</v>
      </c>
      <c r="L1119" s="61" t="e">
        <f>VLOOKUP(K1119,[1]Mapping!$J$3:$Q$351,8,FALSE)</f>
        <v>#N/A</v>
      </c>
      <c r="M1119" t="s">
        <v>83</v>
      </c>
    </row>
    <row r="1120" spans="5:13" hidden="1" x14ac:dyDescent="0.35">
      <c r="E1120" s="81"/>
      <c r="I1120" s="83" t="e">
        <f>VLOOKUP(E1120,[1]Mapping!$A$3:$B$14,2,FALSE)</f>
        <v>#N/A</v>
      </c>
      <c r="J1120" s="84">
        <f t="shared" si="36"/>
        <v>0</v>
      </c>
      <c r="K1120" s="84">
        <f t="shared" si="37"/>
        <v>0</v>
      </c>
      <c r="L1120" s="61" t="e">
        <f>VLOOKUP(K1120,[1]Mapping!$J$3:$Q$351,8,FALSE)</f>
        <v>#N/A</v>
      </c>
      <c r="M1120" t="s">
        <v>83</v>
      </c>
    </row>
    <row r="1121" spans="5:13" hidden="1" x14ac:dyDescent="0.35">
      <c r="E1121" s="81"/>
      <c r="I1121" s="83" t="e">
        <f>VLOOKUP(E1121,[1]Mapping!$A$3:$B$14,2,FALSE)</f>
        <v>#N/A</v>
      </c>
      <c r="J1121" s="84">
        <f t="shared" si="36"/>
        <v>0</v>
      </c>
      <c r="K1121" s="84">
        <f t="shared" si="37"/>
        <v>0</v>
      </c>
      <c r="L1121" s="61" t="e">
        <f>VLOOKUP(K1121,[1]Mapping!$J$3:$Q$351,8,FALSE)</f>
        <v>#N/A</v>
      </c>
      <c r="M1121" t="s">
        <v>83</v>
      </c>
    </row>
    <row r="1122" spans="5:13" hidden="1" x14ac:dyDescent="0.35">
      <c r="E1122" s="81"/>
      <c r="I1122" s="83" t="e">
        <f>VLOOKUP(E1122,[1]Mapping!$A$3:$B$14,2,FALSE)</f>
        <v>#N/A</v>
      </c>
      <c r="J1122" s="84">
        <f t="shared" si="36"/>
        <v>0</v>
      </c>
      <c r="K1122" s="84">
        <f t="shared" si="37"/>
        <v>0</v>
      </c>
      <c r="L1122" s="61" t="e">
        <f>VLOOKUP(K1122,[1]Mapping!$J$3:$Q$351,8,FALSE)</f>
        <v>#N/A</v>
      </c>
      <c r="M1122" t="s">
        <v>83</v>
      </c>
    </row>
    <row r="1123" spans="5:13" hidden="1" x14ac:dyDescent="0.35">
      <c r="E1123" s="81"/>
      <c r="I1123" s="83" t="e">
        <f>VLOOKUP(E1123,[1]Mapping!$A$3:$B$14,2,FALSE)</f>
        <v>#N/A</v>
      </c>
      <c r="J1123" s="84">
        <f t="shared" si="36"/>
        <v>0</v>
      </c>
      <c r="K1123" s="84">
        <f t="shared" si="37"/>
        <v>0</v>
      </c>
      <c r="L1123" s="61" t="e">
        <f>VLOOKUP(K1123,[1]Mapping!$J$3:$Q$351,8,FALSE)</f>
        <v>#N/A</v>
      </c>
      <c r="M1123" t="s">
        <v>83</v>
      </c>
    </row>
    <row r="1124" spans="5:13" hidden="1" x14ac:dyDescent="0.35">
      <c r="E1124" s="81"/>
      <c r="I1124" s="83" t="e">
        <f>VLOOKUP(E1124,[1]Mapping!$A$3:$B$14,2,FALSE)</f>
        <v>#N/A</v>
      </c>
      <c r="J1124" s="84">
        <f t="shared" si="36"/>
        <v>0</v>
      </c>
      <c r="K1124" s="84">
        <f t="shared" si="37"/>
        <v>0</v>
      </c>
      <c r="L1124" s="61" t="e">
        <f>VLOOKUP(K1124,[1]Mapping!$J$3:$Q$351,8,FALSE)</f>
        <v>#N/A</v>
      </c>
      <c r="M1124" t="s">
        <v>83</v>
      </c>
    </row>
    <row r="1125" spans="5:13" hidden="1" x14ac:dyDescent="0.35">
      <c r="E1125" s="81"/>
      <c r="I1125" s="83" t="e">
        <f>VLOOKUP(E1125,[1]Mapping!$A$3:$B$14,2,FALSE)</f>
        <v>#N/A</v>
      </c>
      <c r="J1125" s="84">
        <f t="shared" si="36"/>
        <v>0</v>
      </c>
      <c r="K1125" s="84">
        <f t="shared" si="37"/>
        <v>0</v>
      </c>
      <c r="L1125" s="61" t="e">
        <f>VLOOKUP(K1125,[1]Mapping!$J$3:$Q$351,8,FALSE)</f>
        <v>#N/A</v>
      </c>
      <c r="M1125" t="s">
        <v>83</v>
      </c>
    </row>
    <row r="1126" spans="5:13" hidden="1" x14ac:dyDescent="0.35">
      <c r="E1126" s="81"/>
      <c r="I1126" s="83" t="e">
        <f>VLOOKUP(E1126,[1]Mapping!$A$3:$B$14,2,FALSE)</f>
        <v>#N/A</v>
      </c>
      <c r="J1126" s="84">
        <f t="shared" si="36"/>
        <v>0</v>
      </c>
      <c r="K1126" s="84">
        <f t="shared" si="37"/>
        <v>0</v>
      </c>
      <c r="L1126" s="61" t="e">
        <f>VLOOKUP(K1126,[1]Mapping!$J$3:$Q$351,8,FALSE)</f>
        <v>#N/A</v>
      </c>
      <c r="M1126" t="s">
        <v>83</v>
      </c>
    </row>
    <row r="1127" spans="5:13" hidden="1" x14ac:dyDescent="0.35">
      <c r="E1127" s="81"/>
      <c r="I1127" s="83" t="e">
        <f>VLOOKUP(E1127,[1]Mapping!$A$3:$B$14,2,FALSE)</f>
        <v>#N/A</v>
      </c>
      <c r="J1127" s="84">
        <f t="shared" si="36"/>
        <v>0</v>
      </c>
      <c r="K1127" s="84">
        <f t="shared" si="37"/>
        <v>0</v>
      </c>
      <c r="L1127" s="61" t="e">
        <f>VLOOKUP(K1127,[1]Mapping!$J$3:$Q$351,8,FALSE)</f>
        <v>#N/A</v>
      </c>
      <c r="M1127" t="s">
        <v>83</v>
      </c>
    </row>
    <row r="1128" spans="5:13" hidden="1" x14ac:dyDescent="0.35">
      <c r="E1128" s="81"/>
      <c r="I1128" s="83" t="e">
        <f>VLOOKUP(E1128,[1]Mapping!$A$3:$B$14,2,FALSE)</f>
        <v>#N/A</v>
      </c>
      <c r="J1128" s="84">
        <f t="shared" si="36"/>
        <v>0</v>
      </c>
      <c r="K1128" s="84">
        <f t="shared" si="37"/>
        <v>0</v>
      </c>
      <c r="L1128" s="61" t="e">
        <f>VLOOKUP(K1128,[1]Mapping!$J$3:$Q$351,8,FALSE)</f>
        <v>#N/A</v>
      </c>
      <c r="M1128" t="s">
        <v>83</v>
      </c>
    </row>
    <row r="1129" spans="5:13" hidden="1" x14ac:dyDescent="0.35">
      <c r="E1129" s="81"/>
      <c r="I1129" s="83" t="e">
        <f>VLOOKUP(E1129,[1]Mapping!$A$3:$B$14,2,FALSE)</f>
        <v>#N/A</v>
      </c>
      <c r="J1129" s="84">
        <f t="shared" si="36"/>
        <v>0</v>
      </c>
      <c r="K1129" s="84">
        <f t="shared" si="37"/>
        <v>0</v>
      </c>
      <c r="L1129" s="61" t="e">
        <f>VLOOKUP(K1129,[1]Mapping!$J$3:$Q$351,8,FALSE)</f>
        <v>#N/A</v>
      </c>
      <c r="M1129" t="s">
        <v>83</v>
      </c>
    </row>
    <row r="1130" spans="5:13" hidden="1" x14ac:dyDescent="0.35">
      <c r="E1130" s="81"/>
      <c r="I1130" s="83" t="e">
        <f>VLOOKUP(E1130,[1]Mapping!$A$3:$B$14,2,FALSE)</f>
        <v>#N/A</v>
      </c>
      <c r="J1130" s="84">
        <f t="shared" si="36"/>
        <v>0</v>
      </c>
      <c r="K1130" s="84">
        <f t="shared" si="37"/>
        <v>0</v>
      </c>
      <c r="L1130" s="61" t="e">
        <f>VLOOKUP(K1130,[1]Mapping!$J$3:$Q$351,8,FALSE)</f>
        <v>#N/A</v>
      </c>
      <c r="M1130" t="s">
        <v>83</v>
      </c>
    </row>
    <row r="1131" spans="5:13" hidden="1" x14ac:dyDescent="0.35">
      <c r="E1131" s="81"/>
      <c r="I1131" s="83" t="e">
        <f>VLOOKUP(E1131,[1]Mapping!$A$3:$B$14,2,FALSE)</f>
        <v>#N/A</v>
      </c>
      <c r="J1131" s="84">
        <f t="shared" si="36"/>
        <v>0</v>
      </c>
      <c r="K1131" s="84">
        <f t="shared" si="37"/>
        <v>0</v>
      </c>
      <c r="L1131" s="61" t="e">
        <f>VLOOKUP(K1131,[1]Mapping!$J$3:$Q$351,8,FALSE)</f>
        <v>#N/A</v>
      </c>
      <c r="M1131" t="s">
        <v>83</v>
      </c>
    </row>
    <row r="1132" spans="5:13" hidden="1" x14ac:dyDescent="0.35">
      <c r="E1132" s="81"/>
      <c r="I1132" s="83" t="e">
        <f>VLOOKUP(E1132,[1]Mapping!$A$3:$B$14,2,FALSE)</f>
        <v>#N/A</v>
      </c>
      <c r="J1132" s="84">
        <f t="shared" si="36"/>
        <v>0</v>
      </c>
      <c r="K1132" s="84">
        <f t="shared" si="37"/>
        <v>0</v>
      </c>
      <c r="L1132" s="61" t="e">
        <f>VLOOKUP(K1132,[1]Mapping!$J$3:$Q$351,8,FALSE)</f>
        <v>#N/A</v>
      </c>
      <c r="M1132" t="s">
        <v>83</v>
      </c>
    </row>
    <row r="1133" spans="5:13" hidden="1" x14ac:dyDescent="0.35">
      <c r="E1133" s="81"/>
      <c r="I1133" s="83" t="e">
        <f>VLOOKUP(E1133,[1]Mapping!$A$3:$B$14,2,FALSE)</f>
        <v>#N/A</v>
      </c>
      <c r="J1133" s="84">
        <f t="shared" si="36"/>
        <v>0</v>
      </c>
      <c r="K1133" s="84">
        <f t="shared" si="37"/>
        <v>0</v>
      </c>
      <c r="L1133" s="61" t="e">
        <f>VLOOKUP(K1133,[1]Mapping!$J$3:$Q$351,8,FALSE)</f>
        <v>#N/A</v>
      </c>
      <c r="M1133" t="s">
        <v>83</v>
      </c>
    </row>
    <row r="1134" spans="5:13" hidden="1" x14ac:dyDescent="0.35">
      <c r="E1134" s="81"/>
      <c r="I1134" s="83" t="e">
        <f>VLOOKUP(E1134,[1]Mapping!$A$3:$B$14,2,FALSE)</f>
        <v>#N/A</v>
      </c>
      <c r="J1134" s="84">
        <f t="shared" si="36"/>
        <v>0</v>
      </c>
      <c r="K1134" s="84">
        <f t="shared" si="37"/>
        <v>0</v>
      </c>
      <c r="L1134" s="61" t="e">
        <f>VLOOKUP(K1134,[1]Mapping!$J$3:$Q$351,8,FALSE)</f>
        <v>#N/A</v>
      </c>
      <c r="M1134" t="s">
        <v>83</v>
      </c>
    </row>
    <row r="1135" spans="5:13" hidden="1" x14ac:dyDescent="0.35">
      <c r="E1135" s="81"/>
      <c r="I1135" s="83" t="e">
        <f>VLOOKUP(E1135,[1]Mapping!$A$3:$B$14,2,FALSE)</f>
        <v>#N/A</v>
      </c>
      <c r="J1135" s="84">
        <f t="shared" si="36"/>
        <v>0</v>
      </c>
      <c r="K1135" s="84">
        <f t="shared" si="37"/>
        <v>0</v>
      </c>
      <c r="L1135" s="61" t="e">
        <f>VLOOKUP(K1135,[1]Mapping!$J$3:$Q$351,8,FALSE)</f>
        <v>#N/A</v>
      </c>
      <c r="M1135" t="s">
        <v>83</v>
      </c>
    </row>
    <row r="1136" spans="5:13" hidden="1" x14ac:dyDescent="0.35">
      <c r="E1136" s="81"/>
      <c r="I1136" s="83" t="e">
        <f>VLOOKUP(E1136,[1]Mapping!$A$3:$B$14,2,FALSE)</f>
        <v>#N/A</v>
      </c>
      <c r="J1136" s="84">
        <f t="shared" si="36"/>
        <v>0</v>
      </c>
      <c r="K1136" s="84">
        <f t="shared" si="37"/>
        <v>0</v>
      </c>
      <c r="L1136" s="61" t="e">
        <f>VLOOKUP(K1136,[1]Mapping!$J$3:$Q$351,8,FALSE)</f>
        <v>#N/A</v>
      </c>
      <c r="M1136" t="s">
        <v>83</v>
      </c>
    </row>
    <row r="1137" spans="5:13" hidden="1" x14ac:dyDescent="0.35">
      <c r="E1137" s="81"/>
      <c r="I1137" s="83" t="e">
        <f>VLOOKUP(E1137,[1]Mapping!$A$3:$B$14,2,FALSE)</f>
        <v>#N/A</v>
      </c>
      <c r="J1137" s="84">
        <f t="shared" si="36"/>
        <v>0</v>
      </c>
      <c r="K1137" s="84">
        <f t="shared" si="37"/>
        <v>0</v>
      </c>
      <c r="L1137" s="61" t="e">
        <f>VLOOKUP(K1137,[1]Mapping!$J$3:$Q$351,8,FALSE)</f>
        <v>#N/A</v>
      </c>
      <c r="M1137" t="s">
        <v>83</v>
      </c>
    </row>
    <row r="1138" spans="5:13" hidden="1" x14ac:dyDescent="0.35">
      <c r="E1138" s="81"/>
      <c r="I1138" s="83" t="e">
        <f>VLOOKUP(E1138,[1]Mapping!$A$3:$B$14,2,FALSE)</f>
        <v>#N/A</v>
      </c>
      <c r="J1138" s="84">
        <f t="shared" si="36"/>
        <v>0</v>
      </c>
      <c r="K1138" s="84">
        <f t="shared" si="37"/>
        <v>0</v>
      </c>
      <c r="L1138" s="61" t="e">
        <f>VLOOKUP(K1138,[1]Mapping!$J$3:$Q$351,8,FALSE)</f>
        <v>#N/A</v>
      </c>
      <c r="M1138" t="s">
        <v>83</v>
      </c>
    </row>
    <row r="1139" spans="5:13" hidden="1" x14ac:dyDescent="0.35">
      <c r="E1139" s="81"/>
      <c r="I1139" s="83" t="e">
        <f>VLOOKUP(E1139,[1]Mapping!$A$3:$B$14,2,FALSE)</f>
        <v>#N/A</v>
      </c>
      <c r="J1139" s="84">
        <f t="shared" si="36"/>
        <v>0</v>
      </c>
      <c r="K1139" s="84">
        <f t="shared" si="37"/>
        <v>0</v>
      </c>
      <c r="L1139" s="61" t="e">
        <f>VLOOKUP(K1139,[1]Mapping!$J$3:$Q$351,8,FALSE)</f>
        <v>#N/A</v>
      </c>
      <c r="M1139" t="s">
        <v>83</v>
      </c>
    </row>
    <row r="1140" spans="5:13" hidden="1" x14ac:dyDescent="0.35">
      <c r="E1140" s="81"/>
      <c r="I1140" s="83" t="e">
        <f>VLOOKUP(E1140,[1]Mapping!$A$3:$B$14,2,FALSE)</f>
        <v>#N/A</v>
      </c>
      <c r="J1140" s="84">
        <f t="shared" si="36"/>
        <v>0</v>
      </c>
      <c r="K1140" s="84">
        <f t="shared" si="37"/>
        <v>0</v>
      </c>
      <c r="L1140" s="61" t="e">
        <f>VLOOKUP(K1140,[1]Mapping!$J$3:$Q$351,8,FALSE)</f>
        <v>#N/A</v>
      </c>
      <c r="M1140" t="s">
        <v>83</v>
      </c>
    </row>
    <row r="1141" spans="5:13" hidden="1" x14ac:dyDescent="0.35">
      <c r="E1141" s="81"/>
      <c r="I1141" s="83" t="e">
        <f>VLOOKUP(E1141,[1]Mapping!$A$3:$B$14,2,FALSE)</f>
        <v>#N/A</v>
      </c>
      <c r="J1141" s="84">
        <f t="shared" si="36"/>
        <v>0</v>
      </c>
      <c r="K1141" s="84">
        <f t="shared" si="37"/>
        <v>0</v>
      </c>
      <c r="L1141" s="61" t="e">
        <f>VLOOKUP(K1141,[1]Mapping!$J$3:$Q$351,8,FALSE)</f>
        <v>#N/A</v>
      </c>
      <c r="M1141" t="s">
        <v>83</v>
      </c>
    </row>
    <row r="1142" spans="5:13" hidden="1" x14ac:dyDescent="0.35">
      <c r="E1142" s="81"/>
      <c r="I1142" s="83" t="e">
        <f>VLOOKUP(E1142,[1]Mapping!$A$3:$B$14,2,FALSE)</f>
        <v>#N/A</v>
      </c>
      <c r="J1142" s="84">
        <f t="shared" si="36"/>
        <v>0</v>
      </c>
      <c r="K1142" s="84">
        <f t="shared" si="37"/>
        <v>0</v>
      </c>
      <c r="L1142" s="61" t="e">
        <f>VLOOKUP(K1142,[1]Mapping!$J$3:$Q$351,8,FALSE)</f>
        <v>#N/A</v>
      </c>
      <c r="M1142" t="s">
        <v>83</v>
      </c>
    </row>
    <row r="1143" spans="5:13" hidden="1" x14ac:dyDescent="0.35">
      <c r="E1143" s="81"/>
      <c r="I1143" s="83" t="e">
        <f>VLOOKUP(E1143,[1]Mapping!$A$3:$B$14,2,FALSE)</f>
        <v>#N/A</v>
      </c>
      <c r="J1143" s="84">
        <f t="shared" si="36"/>
        <v>0</v>
      </c>
      <c r="K1143" s="84">
        <f t="shared" si="37"/>
        <v>0</v>
      </c>
      <c r="L1143" s="61" t="e">
        <f>VLOOKUP(K1143,[1]Mapping!$J$3:$Q$351,8,FALSE)</f>
        <v>#N/A</v>
      </c>
      <c r="M1143" t="s">
        <v>83</v>
      </c>
    </row>
    <row r="1144" spans="5:13" hidden="1" x14ac:dyDescent="0.35">
      <c r="E1144" s="81"/>
      <c r="I1144" s="83" t="e">
        <f>VLOOKUP(E1144,[1]Mapping!$A$3:$B$14,2,FALSE)</f>
        <v>#N/A</v>
      </c>
      <c r="J1144" s="84">
        <f t="shared" si="36"/>
        <v>0</v>
      </c>
      <c r="K1144" s="84">
        <f t="shared" si="37"/>
        <v>0</v>
      </c>
      <c r="L1144" s="61" t="e">
        <f>VLOOKUP(K1144,[1]Mapping!$J$3:$Q$351,8,FALSE)</f>
        <v>#N/A</v>
      </c>
      <c r="M1144" t="s">
        <v>83</v>
      </c>
    </row>
    <row r="1145" spans="5:13" hidden="1" x14ac:dyDescent="0.35">
      <c r="E1145" s="81"/>
      <c r="I1145" s="83" t="e">
        <f>VLOOKUP(E1145,[1]Mapping!$A$3:$B$14,2,FALSE)</f>
        <v>#N/A</v>
      </c>
      <c r="J1145" s="84">
        <f t="shared" si="36"/>
        <v>0</v>
      </c>
      <c r="K1145" s="84">
        <f t="shared" si="37"/>
        <v>0</v>
      </c>
      <c r="L1145" s="61" t="e">
        <f>VLOOKUP(K1145,[1]Mapping!$J$3:$Q$351,8,FALSE)</f>
        <v>#N/A</v>
      </c>
      <c r="M1145" t="s">
        <v>83</v>
      </c>
    </row>
    <row r="1146" spans="5:13" hidden="1" x14ac:dyDescent="0.35">
      <c r="E1146" s="81"/>
      <c r="I1146" s="83" t="e">
        <f>VLOOKUP(E1146,[1]Mapping!$A$3:$B$14,2,FALSE)</f>
        <v>#N/A</v>
      </c>
      <c r="J1146" s="84">
        <f t="shared" si="36"/>
        <v>0</v>
      </c>
      <c r="K1146" s="84">
        <f t="shared" si="37"/>
        <v>0</v>
      </c>
      <c r="L1146" s="61" t="e">
        <f>VLOOKUP(K1146,[1]Mapping!$J$3:$Q$351,8,FALSE)</f>
        <v>#N/A</v>
      </c>
      <c r="M1146" t="s">
        <v>83</v>
      </c>
    </row>
    <row r="1147" spans="5:13" hidden="1" x14ac:dyDescent="0.35">
      <c r="E1147" s="81"/>
      <c r="I1147" s="83" t="e">
        <f>VLOOKUP(E1147,[1]Mapping!$A$3:$B$14,2,FALSE)</f>
        <v>#N/A</v>
      </c>
      <c r="J1147" s="84">
        <f t="shared" si="36"/>
        <v>0</v>
      </c>
      <c r="K1147" s="84">
        <f t="shared" si="37"/>
        <v>0</v>
      </c>
      <c r="L1147" s="61" t="e">
        <f>VLOOKUP(K1147,[1]Mapping!$J$3:$Q$351,8,FALSE)</f>
        <v>#N/A</v>
      </c>
      <c r="M1147" t="s">
        <v>83</v>
      </c>
    </row>
    <row r="1148" spans="5:13" hidden="1" x14ac:dyDescent="0.35">
      <c r="E1148" s="81"/>
      <c r="I1148" s="83" t="e">
        <f>VLOOKUP(E1148,[1]Mapping!$A$3:$B$14,2,FALSE)</f>
        <v>#N/A</v>
      </c>
      <c r="J1148" s="84">
        <f t="shared" si="36"/>
        <v>0</v>
      </c>
      <c r="K1148" s="84">
        <f t="shared" si="37"/>
        <v>0</v>
      </c>
      <c r="L1148" s="61" t="e">
        <f>VLOOKUP(K1148,[1]Mapping!$J$3:$Q$351,8,FALSE)</f>
        <v>#N/A</v>
      </c>
      <c r="M1148" t="s">
        <v>83</v>
      </c>
    </row>
    <row r="1149" spans="5:13" hidden="1" x14ac:dyDescent="0.35">
      <c r="E1149" s="81"/>
      <c r="I1149" s="83" t="e">
        <f>VLOOKUP(E1149,[1]Mapping!$A$3:$B$14,2,FALSE)</f>
        <v>#N/A</v>
      </c>
      <c r="J1149" s="84">
        <f t="shared" si="36"/>
        <v>0</v>
      </c>
      <c r="K1149" s="84">
        <f t="shared" si="37"/>
        <v>0</v>
      </c>
      <c r="L1149" s="61" t="e">
        <f>VLOOKUP(K1149,[1]Mapping!$J$3:$Q$351,8,FALSE)</f>
        <v>#N/A</v>
      </c>
      <c r="M1149" t="s">
        <v>83</v>
      </c>
    </row>
    <row r="1150" spans="5:13" hidden="1" x14ac:dyDescent="0.35">
      <c r="E1150" s="81"/>
      <c r="I1150" s="83" t="e">
        <f>VLOOKUP(E1150,[1]Mapping!$A$3:$B$14,2,FALSE)</f>
        <v>#N/A</v>
      </c>
      <c r="J1150" s="84">
        <f t="shared" si="36"/>
        <v>0</v>
      </c>
      <c r="K1150" s="84">
        <f t="shared" si="37"/>
        <v>0</v>
      </c>
      <c r="L1150" s="61" t="e">
        <f>VLOOKUP(K1150,[1]Mapping!$J$3:$Q$351,8,FALSE)</f>
        <v>#N/A</v>
      </c>
      <c r="M1150" t="s">
        <v>83</v>
      </c>
    </row>
    <row r="1151" spans="5:13" hidden="1" x14ac:dyDescent="0.35">
      <c r="E1151" s="81"/>
      <c r="I1151" s="83" t="e">
        <f>VLOOKUP(E1151,[1]Mapping!$A$3:$B$14,2,FALSE)</f>
        <v>#N/A</v>
      </c>
      <c r="J1151" s="84">
        <f t="shared" si="36"/>
        <v>0</v>
      </c>
      <c r="K1151" s="84">
        <f t="shared" si="37"/>
        <v>0</v>
      </c>
      <c r="L1151" s="61" t="e">
        <f>VLOOKUP(K1151,[1]Mapping!$J$3:$Q$351,8,FALSE)</f>
        <v>#N/A</v>
      </c>
      <c r="M1151" t="s">
        <v>83</v>
      </c>
    </row>
    <row r="1152" spans="5:13" hidden="1" x14ac:dyDescent="0.35">
      <c r="E1152" s="81"/>
      <c r="I1152" s="83" t="e">
        <f>VLOOKUP(E1152,[1]Mapping!$A$3:$B$14,2,FALSE)</f>
        <v>#N/A</v>
      </c>
      <c r="J1152" s="84">
        <f t="shared" si="36"/>
        <v>0</v>
      </c>
      <c r="K1152" s="84">
        <f t="shared" si="37"/>
        <v>0</v>
      </c>
      <c r="L1152" s="61" t="e">
        <f>VLOOKUP(K1152,[1]Mapping!$J$3:$Q$351,8,FALSE)</f>
        <v>#N/A</v>
      </c>
      <c r="M1152" t="s">
        <v>83</v>
      </c>
    </row>
    <row r="1153" spans="5:13" hidden="1" x14ac:dyDescent="0.35">
      <c r="E1153" s="81"/>
      <c r="I1153" s="83" t="e">
        <f>VLOOKUP(E1153,[1]Mapping!$A$3:$B$14,2,FALSE)</f>
        <v>#N/A</v>
      </c>
      <c r="J1153" s="84">
        <f t="shared" si="36"/>
        <v>0</v>
      </c>
      <c r="K1153" s="84">
        <f t="shared" si="37"/>
        <v>0</v>
      </c>
      <c r="L1153" s="61" t="e">
        <f>VLOOKUP(K1153,[1]Mapping!$J$3:$Q$351,8,FALSE)</f>
        <v>#N/A</v>
      </c>
      <c r="M1153" t="s">
        <v>83</v>
      </c>
    </row>
    <row r="1154" spans="5:13" hidden="1" x14ac:dyDescent="0.35">
      <c r="E1154" s="81"/>
      <c r="I1154" s="83" t="e">
        <f>VLOOKUP(E1154,[1]Mapping!$A$3:$B$14,2,FALSE)</f>
        <v>#N/A</v>
      </c>
      <c r="J1154" s="84">
        <f t="shared" si="36"/>
        <v>0</v>
      </c>
      <c r="K1154" s="84">
        <f t="shared" si="37"/>
        <v>0</v>
      </c>
      <c r="L1154" s="61" t="e">
        <f>VLOOKUP(K1154,[1]Mapping!$J$3:$Q$351,8,FALSE)</f>
        <v>#N/A</v>
      </c>
      <c r="M1154" t="s">
        <v>83</v>
      </c>
    </row>
    <row r="1155" spans="5:13" hidden="1" x14ac:dyDescent="0.35">
      <c r="E1155" s="81"/>
      <c r="I1155" s="83" t="e">
        <f>VLOOKUP(E1155,[1]Mapping!$A$3:$B$14,2,FALSE)</f>
        <v>#N/A</v>
      </c>
      <c r="J1155" s="84">
        <f t="shared" si="36"/>
        <v>0</v>
      </c>
      <c r="K1155" s="84">
        <f t="shared" si="37"/>
        <v>0</v>
      </c>
      <c r="L1155" s="61" t="e">
        <f>VLOOKUP(K1155,[1]Mapping!$J$3:$Q$351,8,FALSE)</f>
        <v>#N/A</v>
      </c>
      <c r="M1155" t="s">
        <v>83</v>
      </c>
    </row>
    <row r="1156" spans="5:13" hidden="1" x14ac:dyDescent="0.35">
      <c r="E1156" s="81"/>
      <c r="I1156" s="83" t="e">
        <f>VLOOKUP(E1156,[1]Mapping!$A$3:$B$14,2,FALSE)</f>
        <v>#N/A</v>
      </c>
      <c r="J1156" s="84">
        <f t="shared" ref="J1156:J1219" si="38">VALUE(A1156)</f>
        <v>0</v>
      </c>
      <c r="K1156" s="84">
        <f t="shared" ref="K1156:K1219" si="39">VALUE(C1156)</f>
        <v>0</v>
      </c>
      <c r="L1156" s="61" t="e">
        <f>VLOOKUP(K1156,[1]Mapping!$J$3:$Q$351,8,FALSE)</f>
        <v>#N/A</v>
      </c>
      <c r="M1156" t="s">
        <v>83</v>
      </c>
    </row>
    <row r="1157" spans="5:13" hidden="1" x14ac:dyDescent="0.35">
      <c r="E1157" s="81"/>
      <c r="I1157" s="83" t="e">
        <f>VLOOKUP(E1157,[1]Mapping!$A$3:$B$14,2,FALSE)</f>
        <v>#N/A</v>
      </c>
      <c r="J1157" s="84">
        <f t="shared" si="38"/>
        <v>0</v>
      </c>
      <c r="K1157" s="84">
        <f t="shared" si="39"/>
        <v>0</v>
      </c>
      <c r="L1157" s="61" t="e">
        <f>VLOOKUP(K1157,[1]Mapping!$J$3:$Q$351,8,FALSE)</f>
        <v>#N/A</v>
      </c>
      <c r="M1157" t="s">
        <v>83</v>
      </c>
    </row>
    <row r="1158" spans="5:13" hidden="1" x14ac:dyDescent="0.35">
      <c r="E1158" s="81"/>
      <c r="I1158" s="83" t="e">
        <f>VLOOKUP(E1158,[1]Mapping!$A$3:$B$14,2,FALSE)</f>
        <v>#N/A</v>
      </c>
      <c r="J1158" s="84">
        <f t="shared" si="38"/>
        <v>0</v>
      </c>
      <c r="K1158" s="84">
        <f t="shared" si="39"/>
        <v>0</v>
      </c>
      <c r="L1158" s="61" t="e">
        <f>VLOOKUP(K1158,[1]Mapping!$J$3:$Q$351,8,FALSE)</f>
        <v>#N/A</v>
      </c>
      <c r="M1158" t="s">
        <v>83</v>
      </c>
    </row>
    <row r="1159" spans="5:13" hidden="1" x14ac:dyDescent="0.35">
      <c r="E1159" s="81"/>
      <c r="I1159" s="83" t="e">
        <f>VLOOKUP(E1159,[1]Mapping!$A$3:$B$14,2,FALSE)</f>
        <v>#N/A</v>
      </c>
      <c r="J1159" s="84">
        <f t="shared" si="38"/>
        <v>0</v>
      </c>
      <c r="K1159" s="84">
        <f t="shared" si="39"/>
        <v>0</v>
      </c>
      <c r="L1159" s="61" t="e">
        <f>VLOOKUP(K1159,[1]Mapping!$J$3:$Q$351,8,FALSE)</f>
        <v>#N/A</v>
      </c>
      <c r="M1159" t="s">
        <v>83</v>
      </c>
    </row>
    <row r="1160" spans="5:13" hidden="1" x14ac:dyDescent="0.35">
      <c r="E1160" s="81"/>
      <c r="I1160" s="83" t="e">
        <f>VLOOKUP(E1160,[1]Mapping!$A$3:$B$14,2,FALSE)</f>
        <v>#N/A</v>
      </c>
      <c r="J1160" s="84">
        <f t="shared" si="38"/>
        <v>0</v>
      </c>
      <c r="K1160" s="84">
        <f t="shared" si="39"/>
        <v>0</v>
      </c>
      <c r="L1160" s="61" t="e">
        <f>VLOOKUP(K1160,[1]Mapping!$J$3:$Q$351,8,FALSE)</f>
        <v>#N/A</v>
      </c>
      <c r="M1160" t="s">
        <v>83</v>
      </c>
    </row>
    <row r="1161" spans="5:13" hidden="1" x14ac:dyDescent="0.35">
      <c r="E1161" s="81"/>
      <c r="I1161" s="83" t="e">
        <f>VLOOKUP(E1161,[1]Mapping!$A$3:$B$14,2,FALSE)</f>
        <v>#N/A</v>
      </c>
      <c r="J1161" s="84">
        <f t="shared" si="38"/>
        <v>0</v>
      </c>
      <c r="K1161" s="84">
        <f t="shared" si="39"/>
        <v>0</v>
      </c>
      <c r="L1161" s="61" t="e">
        <f>VLOOKUP(K1161,[1]Mapping!$J$3:$Q$351,8,FALSE)</f>
        <v>#N/A</v>
      </c>
      <c r="M1161" t="s">
        <v>83</v>
      </c>
    </row>
    <row r="1162" spans="5:13" hidden="1" x14ac:dyDescent="0.35">
      <c r="E1162" s="81"/>
      <c r="I1162" s="83" t="e">
        <f>VLOOKUP(E1162,[1]Mapping!$A$3:$B$14,2,FALSE)</f>
        <v>#N/A</v>
      </c>
      <c r="J1162" s="84">
        <f t="shared" si="38"/>
        <v>0</v>
      </c>
      <c r="K1162" s="84">
        <f t="shared" si="39"/>
        <v>0</v>
      </c>
      <c r="L1162" s="61" t="e">
        <f>VLOOKUP(K1162,[1]Mapping!$J$3:$Q$351,8,FALSE)</f>
        <v>#N/A</v>
      </c>
      <c r="M1162" t="s">
        <v>83</v>
      </c>
    </row>
    <row r="1163" spans="5:13" hidden="1" x14ac:dyDescent="0.35">
      <c r="E1163" s="81"/>
      <c r="I1163" s="83" t="e">
        <f>VLOOKUP(E1163,[1]Mapping!$A$3:$B$14,2,FALSE)</f>
        <v>#N/A</v>
      </c>
      <c r="J1163" s="84">
        <f t="shared" si="38"/>
        <v>0</v>
      </c>
      <c r="K1163" s="84">
        <f t="shared" si="39"/>
        <v>0</v>
      </c>
      <c r="L1163" s="61" t="e">
        <f>VLOOKUP(K1163,[1]Mapping!$J$3:$Q$351,8,FALSE)</f>
        <v>#N/A</v>
      </c>
      <c r="M1163" t="s">
        <v>83</v>
      </c>
    </row>
    <row r="1164" spans="5:13" hidden="1" x14ac:dyDescent="0.35">
      <c r="E1164" s="81"/>
      <c r="I1164" s="83" t="e">
        <f>VLOOKUP(E1164,[1]Mapping!$A$3:$B$14,2,FALSE)</f>
        <v>#N/A</v>
      </c>
      <c r="J1164" s="84">
        <f t="shared" si="38"/>
        <v>0</v>
      </c>
      <c r="K1164" s="84">
        <f t="shared" si="39"/>
        <v>0</v>
      </c>
      <c r="L1164" s="61" t="e">
        <f>VLOOKUP(K1164,[1]Mapping!$J$3:$Q$351,8,FALSE)</f>
        <v>#N/A</v>
      </c>
      <c r="M1164" t="s">
        <v>83</v>
      </c>
    </row>
    <row r="1165" spans="5:13" hidden="1" x14ac:dyDescent="0.35">
      <c r="E1165" s="81"/>
      <c r="I1165" s="83" t="e">
        <f>VLOOKUP(E1165,[1]Mapping!$A$3:$B$14,2,FALSE)</f>
        <v>#N/A</v>
      </c>
      <c r="J1165" s="84">
        <f t="shared" si="38"/>
        <v>0</v>
      </c>
      <c r="K1165" s="84">
        <f t="shared" si="39"/>
        <v>0</v>
      </c>
      <c r="L1165" s="61" t="e">
        <f>VLOOKUP(K1165,[1]Mapping!$J$3:$Q$351,8,FALSE)</f>
        <v>#N/A</v>
      </c>
      <c r="M1165" t="s">
        <v>83</v>
      </c>
    </row>
    <row r="1166" spans="5:13" hidden="1" x14ac:dyDescent="0.35">
      <c r="E1166" s="81"/>
      <c r="I1166" s="83" t="e">
        <f>VLOOKUP(E1166,[1]Mapping!$A$3:$B$14,2,FALSE)</f>
        <v>#N/A</v>
      </c>
      <c r="J1166" s="84">
        <f t="shared" si="38"/>
        <v>0</v>
      </c>
      <c r="K1166" s="84">
        <f t="shared" si="39"/>
        <v>0</v>
      </c>
      <c r="L1166" s="61" t="e">
        <f>VLOOKUP(K1166,[1]Mapping!$J$3:$Q$351,8,FALSE)</f>
        <v>#N/A</v>
      </c>
      <c r="M1166" t="s">
        <v>83</v>
      </c>
    </row>
    <row r="1167" spans="5:13" hidden="1" x14ac:dyDescent="0.35">
      <c r="E1167" s="81"/>
      <c r="I1167" s="83" t="e">
        <f>VLOOKUP(E1167,[1]Mapping!$A$3:$B$14,2,FALSE)</f>
        <v>#N/A</v>
      </c>
      <c r="J1167" s="84">
        <f t="shared" si="38"/>
        <v>0</v>
      </c>
      <c r="K1167" s="84">
        <f t="shared" si="39"/>
        <v>0</v>
      </c>
      <c r="L1167" s="61" t="e">
        <f>VLOOKUP(K1167,[1]Mapping!$J$3:$Q$351,8,FALSE)</f>
        <v>#N/A</v>
      </c>
      <c r="M1167" t="s">
        <v>83</v>
      </c>
    </row>
    <row r="1168" spans="5:13" hidden="1" x14ac:dyDescent="0.35">
      <c r="E1168" s="81"/>
      <c r="I1168" s="83" t="e">
        <f>VLOOKUP(E1168,[1]Mapping!$A$3:$B$14,2,FALSE)</f>
        <v>#N/A</v>
      </c>
      <c r="J1168" s="84">
        <f t="shared" si="38"/>
        <v>0</v>
      </c>
      <c r="K1168" s="84">
        <f t="shared" si="39"/>
        <v>0</v>
      </c>
      <c r="L1168" s="61" t="e">
        <f>VLOOKUP(K1168,[1]Mapping!$J$3:$Q$351,8,FALSE)</f>
        <v>#N/A</v>
      </c>
      <c r="M1168" t="s">
        <v>83</v>
      </c>
    </row>
    <row r="1169" spans="5:13" hidden="1" x14ac:dyDescent="0.35">
      <c r="E1169" s="81"/>
      <c r="I1169" s="83" t="e">
        <f>VLOOKUP(E1169,[1]Mapping!$A$3:$B$14,2,FALSE)</f>
        <v>#N/A</v>
      </c>
      <c r="J1169" s="84">
        <f t="shared" si="38"/>
        <v>0</v>
      </c>
      <c r="K1169" s="84">
        <f t="shared" si="39"/>
        <v>0</v>
      </c>
      <c r="L1169" s="61" t="e">
        <f>VLOOKUP(K1169,[1]Mapping!$J$3:$Q$351,8,FALSE)</f>
        <v>#N/A</v>
      </c>
      <c r="M1169" t="s">
        <v>83</v>
      </c>
    </row>
    <row r="1170" spans="5:13" hidden="1" x14ac:dyDescent="0.35">
      <c r="E1170" s="81"/>
      <c r="I1170" s="83" t="e">
        <f>VLOOKUP(E1170,[1]Mapping!$A$3:$B$14,2,FALSE)</f>
        <v>#N/A</v>
      </c>
      <c r="J1170" s="84">
        <f t="shared" si="38"/>
        <v>0</v>
      </c>
      <c r="K1170" s="84">
        <f t="shared" si="39"/>
        <v>0</v>
      </c>
      <c r="L1170" s="61" t="e">
        <f>VLOOKUP(K1170,[1]Mapping!$J$3:$Q$351,8,FALSE)</f>
        <v>#N/A</v>
      </c>
      <c r="M1170" t="s">
        <v>83</v>
      </c>
    </row>
    <row r="1171" spans="5:13" hidden="1" x14ac:dyDescent="0.35">
      <c r="E1171" s="81"/>
      <c r="I1171" s="83" t="e">
        <f>VLOOKUP(E1171,[1]Mapping!$A$3:$B$14,2,FALSE)</f>
        <v>#N/A</v>
      </c>
      <c r="J1171" s="84">
        <f t="shared" si="38"/>
        <v>0</v>
      </c>
      <c r="K1171" s="84">
        <f t="shared" si="39"/>
        <v>0</v>
      </c>
      <c r="L1171" s="61" t="e">
        <f>VLOOKUP(K1171,[1]Mapping!$J$3:$Q$351,8,FALSE)</f>
        <v>#N/A</v>
      </c>
      <c r="M1171" t="s">
        <v>83</v>
      </c>
    </row>
    <row r="1172" spans="5:13" hidden="1" x14ac:dyDescent="0.35">
      <c r="E1172" s="81"/>
      <c r="I1172" s="83" t="e">
        <f>VLOOKUP(E1172,[1]Mapping!$A$3:$B$14,2,FALSE)</f>
        <v>#N/A</v>
      </c>
      <c r="J1172" s="84">
        <f t="shared" si="38"/>
        <v>0</v>
      </c>
      <c r="K1172" s="84">
        <f t="shared" si="39"/>
        <v>0</v>
      </c>
      <c r="L1172" s="61" t="e">
        <f>VLOOKUP(K1172,[1]Mapping!$J$3:$Q$351,8,FALSE)</f>
        <v>#N/A</v>
      </c>
      <c r="M1172" t="s">
        <v>83</v>
      </c>
    </row>
    <row r="1173" spans="5:13" hidden="1" x14ac:dyDescent="0.35">
      <c r="E1173" s="81"/>
      <c r="I1173" s="83" t="e">
        <f>VLOOKUP(E1173,[1]Mapping!$A$3:$B$14,2,FALSE)</f>
        <v>#N/A</v>
      </c>
      <c r="J1173" s="84">
        <f t="shared" si="38"/>
        <v>0</v>
      </c>
      <c r="K1173" s="84">
        <f t="shared" si="39"/>
        <v>0</v>
      </c>
      <c r="L1173" s="61" t="e">
        <f>VLOOKUP(K1173,[1]Mapping!$J$3:$Q$351,8,FALSE)</f>
        <v>#N/A</v>
      </c>
      <c r="M1173" t="s">
        <v>83</v>
      </c>
    </row>
    <row r="1174" spans="5:13" hidden="1" x14ac:dyDescent="0.35">
      <c r="E1174" s="81"/>
      <c r="I1174" s="83" t="e">
        <f>VLOOKUP(E1174,[1]Mapping!$A$3:$B$14,2,FALSE)</f>
        <v>#N/A</v>
      </c>
      <c r="J1174" s="84">
        <f t="shared" si="38"/>
        <v>0</v>
      </c>
      <c r="K1174" s="84">
        <f t="shared" si="39"/>
        <v>0</v>
      </c>
      <c r="L1174" s="61" t="e">
        <f>VLOOKUP(K1174,[1]Mapping!$J$3:$Q$351,8,FALSE)</f>
        <v>#N/A</v>
      </c>
      <c r="M1174" t="s">
        <v>83</v>
      </c>
    </row>
    <row r="1175" spans="5:13" hidden="1" x14ac:dyDescent="0.35">
      <c r="E1175" s="81"/>
      <c r="I1175" s="83" t="e">
        <f>VLOOKUP(E1175,[1]Mapping!$A$3:$B$14,2,FALSE)</f>
        <v>#N/A</v>
      </c>
      <c r="J1175" s="84">
        <f t="shared" si="38"/>
        <v>0</v>
      </c>
      <c r="K1175" s="84">
        <f t="shared" si="39"/>
        <v>0</v>
      </c>
      <c r="L1175" s="61" t="e">
        <f>VLOOKUP(K1175,[1]Mapping!$J$3:$Q$351,8,FALSE)</f>
        <v>#N/A</v>
      </c>
      <c r="M1175" t="s">
        <v>83</v>
      </c>
    </row>
    <row r="1176" spans="5:13" hidden="1" x14ac:dyDescent="0.35">
      <c r="E1176" s="81"/>
      <c r="I1176" s="83" t="e">
        <f>VLOOKUP(E1176,[1]Mapping!$A$3:$B$14,2,FALSE)</f>
        <v>#N/A</v>
      </c>
      <c r="J1176" s="84">
        <f t="shared" si="38"/>
        <v>0</v>
      </c>
      <c r="K1176" s="84">
        <f t="shared" si="39"/>
        <v>0</v>
      </c>
      <c r="L1176" s="61" t="e">
        <f>VLOOKUP(K1176,[1]Mapping!$J$3:$Q$351,8,FALSE)</f>
        <v>#N/A</v>
      </c>
      <c r="M1176" t="s">
        <v>83</v>
      </c>
    </row>
    <row r="1177" spans="5:13" hidden="1" x14ac:dyDescent="0.35">
      <c r="E1177" s="81"/>
      <c r="I1177" s="83" t="e">
        <f>VLOOKUP(E1177,[1]Mapping!$A$3:$B$14,2,FALSE)</f>
        <v>#N/A</v>
      </c>
      <c r="J1177" s="84">
        <f t="shared" si="38"/>
        <v>0</v>
      </c>
      <c r="K1177" s="84">
        <f t="shared" si="39"/>
        <v>0</v>
      </c>
      <c r="L1177" s="61" t="e">
        <f>VLOOKUP(K1177,[1]Mapping!$J$3:$Q$351,8,FALSE)</f>
        <v>#N/A</v>
      </c>
      <c r="M1177" t="s">
        <v>83</v>
      </c>
    </row>
    <row r="1178" spans="5:13" hidden="1" x14ac:dyDescent="0.35">
      <c r="E1178" s="81"/>
      <c r="I1178" s="83" t="e">
        <f>VLOOKUP(E1178,[1]Mapping!$A$3:$B$14,2,FALSE)</f>
        <v>#N/A</v>
      </c>
      <c r="J1178" s="84">
        <f t="shared" si="38"/>
        <v>0</v>
      </c>
      <c r="K1178" s="84">
        <f t="shared" si="39"/>
        <v>0</v>
      </c>
      <c r="L1178" s="61" t="e">
        <f>VLOOKUP(K1178,[1]Mapping!$J$3:$Q$351,8,FALSE)</f>
        <v>#N/A</v>
      </c>
      <c r="M1178" t="s">
        <v>83</v>
      </c>
    </row>
    <row r="1179" spans="5:13" hidden="1" x14ac:dyDescent="0.35">
      <c r="E1179" s="81"/>
      <c r="I1179" s="83" t="e">
        <f>VLOOKUP(E1179,[1]Mapping!$A$3:$B$14,2,FALSE)</f>
        <v>#N/A</v>
      </c>
      <c r="J1179" s="84">
        <f t="shared" si="38"/>
        <v>0</v>
      </c>
      <c r="K1179" s="84">
        <f t="shared" si="39"/>
        <v>0</v>
      </c>
      <c r="L1179" s="61" t="e">
        <f>VLOOKUP(K1179,[1]Mapping!$J$3:$Q$351,8,FALSE)</f>
        <v>#N/A</v>
      </c>
      <c r="M1179" t="s">
        <v>83</v>
      </c>
    </row>
    <row r="1180" spans="5:13" hidden="1" x14ac:dyDescent="0.35">
      <c r="E1180" s="81"/>
      <c r="I1180" s="83" t="e">
        <f>VLOOKUP(E1180,[1]Mapping!$A$3:$B$14,2,FALSE)</f>
        <v>#N/A</v>
      </c>
      <c r="J1180" s="84">
        <f t="shared" si="38"/>
        <v>0</v>
      </c>
      <c r="K1180" s="84">
        <f t="shared" si="39"/>
        <v>0</v>
      </c>
      <c r="L1180" s="61" t="e">
        <f>VLOOKUP(K1180,[1]Mapping!$J$3:$Q$351,8,FALSE)</f>
        <v>#N/A</v>
      </c>
      <c r="M1180" t="s">
        <v>83</v>
      </c>
    </row>
    <row r="1181" spans="5:13" hidden="1" x14ac:dyDescent="0.35">
      <c r="E1181" s="81"/>
      <c r="I1181" s="83" t="e">
        <f>VLOOKUP(E1181,[1]Mapping!$A$3:$B$14,2,FALSE)</f>
        <v>#N/A</v>
      </c>
      <c r="J1181" s="84">
        <f t="shared" si="38"/>
        <v>0</v>
      </c>
      <c r="K1181" s="84">
        <f t="shared" si="39"/>
        <v>0</v>
      </c>
      <c r="L1181" s="61" t="e">
        <f>VLOOKUP(K1181,[1]Mapping!$J$3:$Q$351,8,FALSE)</f>
        <v>#N/A</v>
      </c>
      <c r="M1181" t="s">
        <v>83</v>
      </c>
    </row>
    <row r="1182" spans="5:13" hidden="1" x14ac:dyDescent="0.35">
      <c r="E1182" s="81"/>
      <c r="I1182" s="83" t="e">
        <f>VLOOKUP(E1182,[1]Mapping!$A$3:$B$14,2,FALSE)</f>
        <v>#N/A</v>
      </c>
      <c r="J1182" s="84">
        <f t="shared" si="38"/>
        <v>0</v>
      </c>
      <c r="K1182" s="84">
        <f t="shared" si="39"/>
        <v>0</v>
      </c>
      <c r="L1182" s="61" t="e">
        <f>VLOOKUP(K1182,[1]Mapping!$J$3:$Q$351,8,FALSE)</f>
        <v>#N/A</v>
      </c>
      <c r="M1182" t="s">
        <v>83</v>
      </c>
    </row>
    <row r="1183" spans="5:13" hidden="1" x14ac:dyDescent="0.35">
      <c r="E1183" s="81"/>
      <c r="I1183" s="83" t="e">
        <f>VLOOKUP(E1183,[1]Mapping!$A$3:$B$14,2,FALSE)</f>
        <v>#N/A</v>
      </c>
      <c r="J1183" s="84">
        <f t="shared" si="38"/>
        <v>0</v>
      </c>
      <c r="K1183" s="84">
        <f t="shared" si="39"/>
        <v>0</v>
      </c>
      <c r="L1183" s="61" t="e">
        <f>VLOOKUP(K1183,[1]Mapping!$J$3:$Q$351,8,FALSE)</f>
        <v>#N/A</v>
      </c>
      <c r="M1183" t="s">
        <v>83</v>
      </c>
    </row>
    <row r="1184" spans="5:13" hidden="1" x14ac:dyDescent="0.35">
      <c r="E1184" s="81"/>
      <c r="I1184" s="83" t="e">
        <f>VLOOKUP(E1184,[1]Mapping!$A$3:$B$14,2,FALSE)</f>
        <v>#N/A</v>
      </c>
      <c r="J1184" s="84">
        <f t="shared" si="38"/>
        <v>0</v>
      </c>
      <c r="K1184" s="84">
        <f t="shared" si="39"/>
        <v>0</v>
      </c>
      <c r="L1184" s="61" t="e">
        <f>VLOOKUP(K1184,[1]Mapping!$J$3:$Q$351,8,FALSE)</f>
        <v>#N/A</v>
      </c>
      <c r="M1184" t="s">
        <v>83</v>
      </c>
    </row>
    <row r="1185" spans="5:13" hidden="1" x14ac:dyDescent="0.35">
      <c r="E1185" s="81"/>
      <c r="I1185" s="83" t="e">
        <f>VLOOKUP(E1185,[1]Mapping!$A$3:$B$14,2,FALSE)</f>
        <v>#N/A</v>
      </c>
      <c r="J1185" s="84">
        <f t="shared" si="38"/>
        <v>0</v>
      </c>
      <c r="K1185" s="84">
        <f t="shared" si="39"/>
        <v>0</v>
      </c>
      <c r="L1185" s="61" t="e">
        <f>VLOOKUP(K1185,[1]Mapping!$J$3:$Q$351,8,FALSE)</f>
        <v>#N/A</v>
      </c>
      <c r="M1185" t="s">
        <v>83</v>
      </c>
    </row>
    <row r="1186" spans="5:13" hidden="1" x14ac:dyDescent="0.35">
      <c r="E1186" s="81"/>
      <c r="I1186" s="83" t="e">
        <f>VLOOKUP(E1186,[1]Mapping!$A$3:$B$14,2,FALSE)</f>
        <v>#N/A</v>
      </c>
      <c r="J1186" s="84">
        <f t="shared" si="38"/>
        <v>0</v>
      </c>
      <c r="K1186" s="84">
        <f t="shared" si="39"/>
        <v>0</v>
      </c>
      <c r="L1186" s="61" t="e">
        <f>VLOOKUP(K1186,[1]Mapping!$J$3:$Q$351,8,FALSE)</f>
        <v>#N/A</v>
      </c>
      <c r="M1186" t="s">
        <v>83</v>
      </c>
    </row>
    <row r="1187" spans="5:13" hidden="1" x14ac:dyDescent="0.35">
      <c r="E1187" s="81"/>
      <c r="I1187" s="83" t="e">
        <f>VLOOKUP(E1187,[1]Mapping!$A$3:$B$14,2,FALSE)</f>
        <v>#N/A</v>
      </c>
      <c r="J1187" s="84">
        <f t="shared" si="38"/>
        <v>0</v>
      </c>
      <c r="K1187" s="84">
        <f t="shared" si="39"/>
        <v>0</v>
      </c>
      <c r="L1187" s="61" t="e">
        <f>VLOOKUP(K1187,[1]Mapping!$J$3:$Q$351,8,FALSE)</f>
        <v>#N/A</v>
      </c>
      <c r="M1187" t="s">
        <v>83</v>
      </c>
    </row>
    <row r="1188" spans="5:13" hidden="1" x14ac:dyDescent="0.35">
      <c r="E1188" s="81"/>
      <c r="I1188" s="83" t="e">
        <f>VLOOKUP(E1188,[1]Mapping!$A$3:$B$14,2,FALSE)</f>
        <v>#N/A</v>
      </c>
      <c r="J1188" s="84">
        <f t="shared" si="38"/>
        <v>0</v>
      </c>
      <c r="K1188" s="84">
        <f t="shared" si="39"/>
        <v>0</v>
      </c>
      <c r="L1188" s="61" t="e">
        <f>VLOOKUP(K1188,[1]Mapping!$J$3:$Q$351,8,FALSE)</f>
        <v>#N/A</v>
      </c>
      <c r="M1188" t="s">
        <v>83</v>
      </c>
    </row>
    <row r="1189" spans="5:13" hidden="1" x14ac:dyDescent="0.35">
      <c r="E1189" s="81"/>
      <c r="I1189" s="83" t="e">
        <f>VLOOKUP(E1189,[1]Mapping!$A$3:$B$14,2,FALSE)</f>
        <v>#N/A</v>
      </c>
      <c r="J1189" s="84">
        <f t="shared" si="38"/>
        <v>0</v>
      </c>
      <c r="K1189" s="84">
        <f t="shared" si="39"/>
        <v>0</v>
      </c>
      <c r="L1189" s="61" t="e">
        <f>VLOOKUP(K1189,[1]Mapping!$J$3:$Q$351,8,FALSE)</f>
        <v>#N/A</v>
      </c>
      <c r="M1189" t="s">
        <v>83</v>
      </c>
    </row>
    <row r="1190" spans="5:13" hidden="1" x14ac:dyDescent="0.35">
      <c r="E1190" s="81"/>
      <c r="I1190" s="83" t="e">
        <f>VLOOKUP(E1190,[1]Mapping!$A$3:$B$14,2,FALSE)</f>
        <v>#N/A</v>
      </c>
      <c r="J1190" s="84">
        <f t="shared" si="38"/>
        <v>0</v>
      </c>
      <c r="K1190" s="84">
        <f t="shared" si="39"/>
        <v>0</v>
      </c>
      <c r="L1190" s="61" t="e">
        <f>VLOOKUP(K1190,[1]Mapping!$J$3:$Q$351,8,FALSE)</f>
        <v>#N/A</v>
      </c>
      <c r="M1190" t="s">
        <v>83</v>
      </c>
    </row>
    <row r="1191" spans="5:13" hidden="1" x14ac:dyDescent="0.35">
      <c r="E1191" s="81"/>
      <c r="I1191" s="83" t="e">
        <f>VLOOKUP(E1191,[1]Mapping!$A$3:$B$14,2,FALSE)</f>
        <v>#N/A</v>
      </c>
      <c r="J1191" s="84">
        <f t="shared" si="38"/>
        <v>0</v>
      </c>
      <c r="K1191" s="84">
        <f t="shared" si="39"/>
        <v>0</v>
      </c>
      <c r="L1191" s="61" t="e">
        <f>VLOOKUP(K1191,[1]Mapping!$J$3:$Q$351,8,FALSE)</f>
        <v>#N/A</v>
      </c>
      <c r="M1191" t="s">
        <v>83</v>
      </c>
    </row>
    <row r="1192" spans="5:13" hidden="1" x14ac:dyDescent="0.35">
      <c r="E1192" s="81"/>
      <c r="I1192" s="83" t="e">
        <f>VLOOKUP(E1192,[1]Mapping!$A$3:$B$14,2,FALSE)</f>
        <v>#N/A</v>
      </c>
      <c r="J1192" s="84">
        <f t="shared" si="38"/>
        <v>0</v>
      </c>
      <c r="K1192" s="84">
        <f t="shared" si="39"/>
        <v>0</v>
      </c>
      <c r="L1192" s="61" t="e">
        <f>VLOOKUP(K1192,[1]Mapping!$J$3:$Q$351,8,FALSE)</f>
        <v>#N/A</v>
      </c>
      <c r="M1192" t="s">
        <v>83</v>
      </c>
    </row>
    <row r="1193" spans="5:13" hidden="1" x14ac:dyDescent="0.35">
      <c r="E1193" s="81"/>
      <c r="I1193" s="83" t="e">
        <f>VLOOKUP(E1193,[1]Mapping!$A$3:$B$14,2,FALSE)</f>
        <v>#N/A</v>
      </c>
      <c r="J1193" s="84">
        <f t="shared" si="38"/>
        <v>0</v>
      </c>
      <c r="K1193" s="84">
        <f t="shared" si="39"/>
        <v>0</v>
      </c>
      <c r="L1193" s="61" t="e">
        <f>VLOOKUP(K1193,[1]Mapping!$J$3:$Q$351,8,FALSE)</f>
        <v>#N/A</v>
      </c>
      <c r="M1193" t="s">
        <v>83</v>
      </c>
    </row>
    <row r="1194" spans="5:13" hidden="1" x14ac:dyDescent="0.35">
      <c r="E1194" s="81"/>
      <c r="I1194" s="83" t="e">
        <f>VLOOKUP(E1194,[1]Mapping!$A$3:$B$14,2,FALSE)</f>
        <v>#N/A</v>
      </c>
      <c r="J1194" s="84">
        <f t="shared" si="38"/>
        <v>0</v>
      </c>
      <c r="K1194" s="84">
        <f t="shared" si="39"/>
        <v>0</v>
      </c>
      <c r="L1194" s="61" t="e">
        <f>VLOOKUP(K1194,[1]Mapping!$J$3:$Q$351,8,FALSE)</f>
        <v>#N/A</v>
      </c>
      <c r="M1194" t="s">
        <v>83</v>
      </c>
    </row>
    <row r="1195" spans="5:13" hidden="1" x14ac:dyDescent="0.35">
      <c r="E1195" s="81"/>
      <c r="I1195" s="83" t="e">
        <f>VLOOKUP(E1195,[1]Mapping!$A$3:$B$14,2,FALSE)</f>
        <v>#N/A</v>
      </c>
      <c r="J1195" s="84">
        <f t="shared" si="38"/>
        <v>0</v>
      </c>
      <c r="K1195" s="84">
        <f t="shared" si="39"/>
        <v>0</v>
      </c>
      <c r="L1195" s="61" t="e">
        <f>VLOOKUP(K1195,[1]Mapping!$J$3:$Q$351,8,FALSE)</f>
        <v>#N/A</v>
      </c>
      <c r="M1195" t="s">
        <v>83</v>
      </c>
    </row>
    <row r="1196" spans="5:13" hidden="1" x14ac:dyDescent="0.35">
      <c r="E1196" s="81"/>
      <c r="I1196" s="83" t="e">
        <f>VLOOKUP(E1196,[1]Mapping!$A$3:$B$14,2,FALSE)</f>
        <v>#N/A</v>
      </c>
      <c r="J1196" s="84">
        <f t="shared" si="38"/>
        <v>0</v>
      </c>
      <c r="K1196" s="84">
        <f t="shared" si="39"/>
        <v>0</v>
      </c>
      <c r="L1196" s="61" t="e">
        <f>VLOOKUP(K1196,[1]Mapping!$J$3:$Q$351,8,FALSE)</f>
        <v>#N/A</v>
      </c>
      <c r="M1196" t="s">
        <v>83</v>
      </c>
    </row>
    <row r="1197" spans="5:13" hidden="1" x14ac:dyDescent="0.35">
      <c r="E1197" s="81"/>
      <c r="I1197" s="83" t="e">
        <f>VLOOKUP(E1197,[1]Mapping!$A$3:$B$14,2,FALSE)</f>
        <v>#N/A</v>
      </c>
      <c r="J1197" s="84">
        <f t="shared" si="38"/>
        <v>0</v>
      </c>
      <c r="K1197" s="84">
        <f t="shared" si="39"/>
        <v>0</v>
      </c>
      <c r="L1197" s="61" t="e">
        <f>VLOOKUP(K1197,[1]Mapping!$J$3:$Q$351,8,FALSE)</f>
        <v>#N/A</v>
      </c>
      <c r="M1197" t="s">
        <v>83</v>
      </c>
    </row>
    <row r="1198" spans="5:13" hidden="1" x14ac:dyDescent="0.35">
      <c r="E1198" s="81"/>
      <c r="I1198" s="83" t="e">
        <f>VLOOKUP(E1198,[1]Mapping!$A$3:$B$14,2,FALSE)</f>
        <v>#N/A</v>
      </c>
      <c r="J1198" s="84">
        <f t="shared" si="38"/>
        <v>0</v>
      </c>
      <c r="K1198" s="84">
        <f t="shared" si="39"/>
        <v>0</v>
      </c>
      <c r="L1198" s="61" t="e">
        <f>VLOOKUP(K1198,[1]Mapping!$J$3:$Q$351,8,FALSE)</f>
        <v>#N/A</v>
      </c>
      <c r="M1198" t="s">
        <v>83</v>
      </c>
    </row>
    <row r="1199" spans="5:13" hidden="1" x14ac:dyDescent="0.35">
      <c r="E1199" s="81"/>
      <c r="I1199" s="83" t="e">
        <f>VLOOKUP(E1199,[1]Mapping!$A$3:$B$14,2,FALSE)</f>
        <v>#N/A</v>
      </c>
      <c r="J1199" s="84">
        <f t="shared" si="38"/>
        <v>0</v>
      </c>
      <c r="K1199" s="84">
        <f t="shared" si="39"/>
        <v>0</v>
      </c>
      <c r="L1199" s="61" t="e">
        <f>VLOOKUP(K1199,[1]Mapping!$J$3:$Q$351,8,FALSE)</f>
        <v>#N/A</v>
      </c>
      <c r="M1199" t="s">
        <v>83</v>
      </c>
    </row>
    <row r="1200" spans="5:13" hidden="1" x14ac:dyDescent="0.35">
      <c r="E1200" s="81"/>
      <c r="I1200" s="83" t="e">
        <f>VLOOKUP(E1200,[1]Mapping!$A$3:$B$14,2,FALSE)</f>
        <v>#N/A</v>
      </c>
      <c r="J1200" s="84">
        <f t="shared" si="38"/>
        <v>0</v>
      </c>
      <c r="K1200" s="84">
        <f t="shared" si="39"/>
        <v>0</v>
      </c>
      <c r="L1200" s="61" t="e">
        <f>VLOOKUP(K1200,[1]Mapping!$J$3:$Q$351,8,FALSE)</f>
        <v>#N/A</v>
      </c>
      <c r="M1200" t="s">
        <v>83</v>
      </c>
    </row>
    <row r="1201" spans="5:15" hidden="1" x14ac:dyDescent="0.35">
      <c r="E1201" s="81"/>
      <c r="I1201" s="83" t="e">
        <f>VLOOKUP(E1201,[1]Mapping!$A$3:$B$14,2,FALSE)</f>
        <v>#N/A</v>
      </c>
      <c r="J1201" s="84">
        <f t="shared" si="38"/>
        <v>0</v>
      </c>
      <c r="K1201" s="84">
        <f t="shared" si="39"/>
        <v>0</v>
      </c>
      <c r="L1201" s="61" t="e">
        <f>VLOOKUP(K1201,[1]Mapping!$J$3:$Q$351,8,FALSE)</f>
        <v>#N/A</v>
      </c>
      <c r="M1201" t="s">
        <v>83</v>
      </c>
    </row>
    <row r="1202" spans="5:15" hidden="1" x14ac:dyDescent="0.35">
      <c r="E1202" s="81"/>
      <c r="I1202" s="83" t="e">
        <f>VLOOKUP(E1202,[1]Mapping!$A$3:$B$14,2,FALSE)</f>
        <v>#N/A</v>
      </c>
      <c r="J1202" s="84">
        <f t="shared" si="38"/>
        <v>0</v>
      </c>
      <c r="K1202" s="84">
        <f t="shared" si="39"/>
        <v>0</v>
      </c>
      <c r="L1202" s="61" t="e">
        <f>VLOOKUP(K1202,[1]Mapping!$J$3:$Q$351,8,FALSE)</f>
        <v>#N/A</v>
      </c>
      <c r="M1202" t="s">
        <v>83</v>
      </c>
    </row>
    <row r="1203" spans="5:15" hidden="1" x14ac:dyDescent="0.35">
      <c r="E1203" s="81"/>
      <c r="I1203" s="83" t="e">
        <f>VLOOKUP(E1203,[1]Mapping!$A$3:$B$14,2,FALSE)</f>
        <v>#N/A</v>
      </c>
      <c r="J1203" s="84">
        <f t="shared" si="38"/>
        <v>0</v>
      </c>
      <c r="K1203" s="84">
        <f t="shared" si="39"/>
        <v>0</v>
      </c>
      <c r="L1203" s="61" t="e">
        <f>VLOOKUP(K1203,[1]Mapping!$J$3:$Q$351,8,FALSE)</f>
        <v>#N/A</v>
      </c>
      <c r="M1203" t="s">
        <v>83</v>
      </c>
    </row>
    <row r="1204" spans="5:15" hidden="1" x14ac:dyDescent="0.35">
      <c r="E1204" s="81"/>
      <c r="I1204" s="83" t="e">
        <f>VLOOKUP(E1204,[1]Mapping!$A$3:$B$14,2,FALSE)</f>
        <v>#N/A</v>
      </c>
      <c r="J1204" s="84">
        <f t="shared" si="38"/>
        <v>0</v>
      </c>
      <c r="K1204" s="84">
        <f t="shared" si="39"/>
        <v>0</v>
      </c>
      <c r="L1204" s="61" t="e">
        <f>VLOOKUP(K1204,[1]Mapping!$J$3:$Q$351,8,FALSE)</f>
        <v>#N/A</v>
      </c>
      <c r="M1204" t="s">
        <v>83</v>
      </c>
    </row>
    <row r="1205" spans="5:15" hidden="1" x14ac:dyDescent="0.35">
      <c r="E1205" s="81"/>
      <c r="I1205" s="83" t="e">
        <f>VLOOKUP(E1205,[1]Mapping!$A$3:$B$14,2,FALSE)</f>
        <v>#N/A</v>
      </c>
      <c r="J1205" s="84">
        <f t="shared" si="38"/>
        <v>0</v>
      </c>
      <c r="K1205" s="84">
        <f t="shared" si="39"/>
        <v>0</v>
      </c>
      <c r="L1205" s="61" t="e">
        <f>VLOOKUP(K1205,[1]Mapping!$J$3:$Q$351,8,FALSE)</f>
        <v>#N/A</v>
      </c>
      <c r="M1205" t="s">
        <v>83</v>
      </c>
    </row>
    <row r="1206" spans="5:15" hidden="1" x14ac:dyDescent="0.35">
      <c r="E1206" s="81"/>
      <c r="I1206" s="83" t="e">
        <f>VLOOKUP(E1206,[1]Mapping!$A$3:$B$14,2,FALSE)</f>
        <v>#N/A</v>
      </c>
      <c r="J1206" s="84">
        <f t="shared" si="38"/>
        <v>0</v>
      </c>
      <c r="K1206" s="84">
        <f t="shared" si="39"/>
        <v>0</v>
      </c>
      <c r="L1206" s="61" t="e">
        <f>VLOOKUP(K1206,[1]Mapping!$J$3:$Q$351,8,FALSE)</f>
        <v>#N/A</v>
      </c>
      <c r="M1206" t="s">
        <v>83</v>
      </c>
    </row>
    <row r="1207" spans="5:15" hidden="1" x14ac:dyDescent="0.35">
      <c r="E1207" s="81"/>
      <c r="I1207" s="83" t="e">
        <f>VLOOKUP(E1207,[1]Mapping!$A$3:$B$14,2,FALSE)</f>
        <v>#N/A</v>
      </c>
      <c r="J1207" s="84">
        <f t="shared" si="38"/>
        <v>0</v>
      </c>
      <c r="K1207" s="84">
        <f t="shared" si="39"/>
        <v>0</v>
      </c>
      <c r="L1207" s="61" t="e">
        <f>VLOOKUP(K1207,[1]Mapping!$J$3:$Q$351,8,FALSE)</f>
        <v>#N/A</v>
      </c>
      <c r="M1207" t="s">
        <v>83</v>
      </c>
    </row>
    <row r="1208" spans="5:15" hidden="1" x14ac:dyDescent="0.35">
      <c r="E1208" s="81"/>
      <c r="I1208" s="83" t="e">
        <f>VLOOKUP(E1208,[1]Mapping!$A$3:$B$14,2,FALSE)</f>
        <v>#N/A</v>
      </c>
      <c r="J1208" s="84">
        <f t="shared" si="38"/>
        <v>0</v>
      </c>
      <c r="K1208" s="84">
        <f t="shared" si="39"/>
        <v>0</v>
      </c>
      <c r="L1208" s="61" t="e">
        <f>VLOOKUP(K1208,[1]Mapping!$J$3:$Q$351,8,FALSE)</f>
        <v>#N/A</v>
      </c>
      <c r="M1208" t="s">
        <v>83</v>
      </c>
    </row>
    <row r="1209" spans="5:15" hidden="1" x14ac:dyDescent="0.35">
      <c r="E1209" s="81"/>
      <c r="I1209" s="83" t="e">
        <f>VLOOKUP(E1209,[1]Mapping!$A$3:$B$14,2,FALSE)</f>
        <v>#N/A</v>
      </c>
      <c r="J1209" s="84">
        <f t="shared" si="38"/>
        <v>0</v>
      </c>
      <c r="K1209" s="84">
        <f t="shared" si="39"/>
        <v>0</v>
      </c>
      <c r="L1209" s="61" t="e">
        <f>VLOOKUP(K1209,[1]Mapping!$J$3:$Q$351,8,FALSE)</f>
        <v>#N/A</v>
      </c>
      <c r="M1209" t="s">
        <v>83</v>
      </c>
    </row>
    <row r="1210" spans="5:15" hidden="1" x14ac:dyDescent="0.35">
      <c r="E1210" s="81"/>
      <c r="I1210" s="83" t="e">
        <f>VLOOKUP(E1210,[1]Mapping!$A$3:$B$14,2,FALSE)</f>
        <v>#N/A</v>
      </c>
      <c r="J1210" s="84">
        <f t="shared" si="38"/>
        <v>0</v>
      </c>
      <c r="K1210" s="84">
        <f t="shared" si="39"/>
        <v>0</v>
      </c>
      <c r="L1210" s="61" t="e">
        <f>VLOOKUP(K1210,[1]Mapping!$J$3:$Q$351,8,FALSE)</f>
        <v>#N/A</v>
      </c>
      <c r="M1210" t="s">
        <v>83</v>
      </c>
    </row>
    <row r="1211" spans="5:15" hidden="1" x14ac:dyDescent="0.35">
      <c r="E1211" s="81"/>
      <c r="I1211" s="83" t="e">
        <f>VLOOKUP(E1211,[1]Mapping!$A$3:$B$14,2,FALSE)</f>
        <v>#N/A</v>
      </c>
      <c r="J1211" s="84">
        <f t="shared" si="38"/>
        <v>0</v>
      </c>
      <c r="K1211" s="84">
        <f t="shared" si="39"/>
        <v>0</v>
      </c>
      <c r="L1211" s="61" t="e">
        <f>VLOOKUP(K1211,[1]Mapping!$J$3:$Q$351,8,FALSE)</f>
        <v>#N/A</v>
      </c>
      <c r="M1211" t="s">
        <v>83</v>
      </c>
    </row>
    <row r="1212" spans="5:15" hidden="1" x14ac:dyDescent="0.35">
      <c r="E1212" s="81"/>
      <c r="I1212" s="83" t="e">
        <f>VLOOKUP(E1212,[1]Mapping!$A$3:$B$14,2,FALSE)</f>
        <v>#N/A</v>
      </c>
      <c r="J1212" s="84">
        <f t="shared" si="38"/>
        <v>0</v>
      </c>
      <c r="K1212" s="84">
        <f t="shared" si="39"/>
        <v>0</v>
      </c>
      <c r="L1212" s="61" t="e">
        <f>VLOOKUP(K1212,[1]Mapping!$J$3:$Q$351,8,FALSE)</f>
        <v>#N/A</v>
      </c>
      <c r="M1212" t="s">
        <v>83</v>
      </c>
    </row>
    <row r="1213" spans="5:15" hidden="1" x14ac:dyDescent="0.35">
      <c r="E1213" s="81"/>
      <c r="I1213" s="83" t="e">
        <f>VLOOKUP(E1213,[1]Mapping!$A$3:$B$14,2,FALSE)</f>
        <v>#N/A</v>
      </c>
      <c r="J1213" s="84">
        <f t="shared" si="38"/>
        <v>0</v>
      </c>
      <c r="K1213" s="84">
        <f t="shared" si="39"/>
        <v>0</v>
      </c>
      <c r="L1213" s="61" t="e">
        <f>VLOOKUP(K1213,[1]Mapping!$J$3:$Q$351,8,FALSE)</f>
        <v>#N/A</v>
      </c>
      <c r="M1213" t="s">
        <v>83</v>
      </c>
    </row>
    <row r="1214" spans="5:15" hidden="1" x14ac:dyDescent="0.35">
      <c r="E1214" s="81"/>
      <c r="I1214" s="83" t="e">
        <f>VLOOKUP(E1214,[1]Mapping!$A$3:$B$14,2,FALSE)</f>
        <v>#N/A</v>
      </c>
      <c r="J1214" s="84">
        <f t="shared" si="38"/>
        <v>0</v>
      </c>
      <c r="K1214" s="84">
        <f t="shared" si="39"/>
        <v>0</v>
      </c>
      <c r="L1214" s="61" t="e">
        <f>VLOOKUP(K1214,[1]Mapping!$J$3:$Q$351,8,FALSE)</f>
        <v>#N/A</v>
      </c>
      <c r="M1214" t="s">
        <v>83</v>
      </c>
    </row>
    <row r="1215" spans="5:15" hidden="1" x14ac:dyDescent="0.35">
      <c r="E1215" s="81"/>
      <c r="I1215" s="83" t="e">
        <f>VLOOKUP(E1215,[1]Mapping!$A$3:$B$14,2,FALSE)</f>
        <v>#N/A</v>
      </c>
      <c r="J1215" s="84">
        <f t="shared" si="38"/>
        <v>0</v>
      </c>
      <c r="K1215" s="84">
        <f t="shared" si="39"/>
        <v>0</v>
      </c>
      <c r="L1215" s="61" t="e">
        <f>VLOOKUP(K1215,[1]Mapping!$J$3:$Q$351,8,FALSE)</f>
        <v>#N/A</v>
      </c>
      <c r="M1215" t="s">
        <v>83</v>
      </c>
    </row>
    <row r="1216" spans="5:15" hidden="1" x14ac:dyDescent="0.35">
      <c r="E1216" s="81"/>
      <c r="H1216" s="82"/>
      <c r="I1216" s="83" t="e">
        <f>VLOOKUP(E1216,[1]Mapping!$A$3:$B$14,2,FALSE)</f>
        <v>#N/A</v>
      </c>
      <c r="J1216" s="84">
        <f t="shared" si="38"/>
        <v>0</v>
      </c>
      <c r="K1216" s="84">
        <f t="shared" si="39"/>
        <v>0</v>
      </c>
      <c r="L1216" s="61" t="e">
        <f>VLOOKUP(K1216,[1]Mapping!$J$3:$Q$351,8,FALSE)</f>
        <v>#N/A</v>
      </c>
      <c r="M1216" t="s">
        <v>83</v>
      </c>
      <c r="N1216" t="s">
        <v>177</v>
      </c>
      <c r="O1216" t="s">
        <v>178</v>
      </c>
    </row>
    <row r="1217" spans="5:15" hidden="1" x14ac:dyDescent="0.35">
      <c r="E1217" s="81"/>
      <c r="H1217" s="82"/>
      <c r="I1217" s="83" t="e">
        <f>VLOOKUP(E1217,[1]Mapping!$A$3:$B$14,2,FALSE)</f>
        <v>#N/A</v>
      </c>
      <c r="J1217" s="84">
        <f t="shared" si="38"/>
        <v>0</v>
      </c>
      <c r="K1217" s="84">
        <f t="shared" si="39"/>
        <v>0</v>
      </c>
      <c r="L1217" s="61" t="e">
        <f>VLOOKUP(K1217,[1]Mapping!$J$3:$Q$351,8,FALSE)</f>
        <v>#N/A</v>
      </c>
      <c r="M1217" t="s">
        <v>83</v>
      </c>
      <c r="N1217" t="s">
        <v>177</v>
      </c>
      <c r="O1217" t="s">
        <v>178</v>
      </c>
    </row>
    <row r="1218" spans="5:15" hidden="1" x14ac:dyDescent="0.35">
      <c r="E1218" s="81"/>
      <c r="H1218" s="82"/>
      <c r="I1218" s="83" t="e">
        <f>VLOOKUP(E1218,[1]Mapping!$A$3:$B$14,2,FALSE)</f>
        <v>#N/A</v>
      </c>
      <c r="J1218" s="84">
        <f t="shared" si="38"/>
        <v>0</v>
      </c>
      <c r="K1218" s="84">
        <f t="shared" si="39"/>
        <v>0</v>
      </c>
      <c r="L1218" s="61" t="e">
        <f>VLOOKUP(K1218,[1]Mapping!$J$3:$Q$351,8,FALSE)</f>
        <v>#N/A</v>
      </c>
      <c r="M1218" t="s">
        <v>83</v>
      </c>
      <c r="N1218" t="s">
        <v>177</v>
      </c>
      <c r="O1218" t="s">
        <v>178</v>
      </c>
    </row>
    <row r="1219" spans="5:15" hidden="1" x14ac:dyDescent="0.35">
      <c r="E1219" s="81"/>
      <c r="H1219" s="82"/>
      <c r="I1219" s="83" t="e">
        <f>VLOOKUP(E1219,[1]Mapping!$A$3:$B$14,2,FALSE)</f>
        <v>#N/A</v>
      </c>
      <c r="J1219" s="84">
        <f t="shared" si="38"/>
        <v>0</v>
      </c>
      <c r="K1219" s="84">
        <f t="shared" si="39"/>
        <v>0</v>
      </c>
      <c r="L1219" s="61" t="e">
        <f>VLOOKUP(K1219,[1]Mapping!$J$3:$Q$351,8,FALSE)</f>
        <v>#N/A</v>
      </c>
      <c r="M1219" t="s">
        <v>83</v>
      </c>
      <c r="N1219" t="s">
        <v>177</v>
      </c>
      <c r="O1219" t="s">
        <v>178</v>
      </c>
    </row>
    <row r="1220" spans="5:15" hidden="1" x14ac:dyDescent="0.35">
      <c r="E1220" s="81"/>
      <c r="H1220" s="82"/>
      <c r="I1220" s="83" t="e">
        <f>VLOOKUP(E1220,[1]Mapping!$A$3:$B$14,2,FALSE)</f>
        <v>#N/A</v>
      </c>
      <c r="J1220" s="84">
        <f t="shared" ref="J1220:J1283" si="40">VALUE(A1220)</f>
        <v>0</v>
      </c>
      <c r="K1220" s="84">
        <f t="shared" ref="K1220:K1283" si="41">VALUE(C1220)</f>
        <v>0</v>
      </c>
      <c r="L1220" s="61" t="e">
        <f>VLOOKUP(K1220,[1]Mapping!$J$3:$Q$351,8,FALSE)</f>
        <v>#N/A</v>
      </c>
      <c r="M1220" t="s">
        <v>83</v>
      </c>
      <c r="N1220" t="s">
        <v>177</v>
      </c>
      <c r="O1220" t="s">
        <v>178</v>
      </c>
    </row>
    <row r="1221" spans="5:15" hidden="1" x14ac:dyDescent="0.35">
      <c r="E1221" s="81"/>
      <c r="H1221" s="82"/>
      <c r="I1221" s="83" t="e">
        <f>VLOOKUP(E1221,[1]Mapping!$A$3:$B$14,2,FALSE)</f>
        <v>#N/A</v>
      </c>
      <c r="J1221" s="84">
        <f t="shared" si="40"/>
        <v>0</v>
      </c>
      <c r="K1221" s="84">
        <f t="shared" si="41"/>
        <v>0</v>
      </c>
      <c r="L1221" s="61" t="e">
        <f>VLOOKUP(K1221,[1]Mapping!$J$3:$Q$351,8,FALSE)</f>
        <v>#N/A</v>
      </c>
      <c r="M1221" t="s">
        <v>83</v>
      </c>
      <c r="N1221" t="s">
        <v>177</v>
      </c>
      <c r="O1221" t="s">
        <v>178</v>
      </c>
    </row>
    <row r="1222" spans="5:15" hidden="1" x14ac:dyDescent="0.35">
      <c r="E1222" s="81"/>
      <c r="H1222" s="82"/>
      <c r="I1222" s="83" t="e">
        <f>VLOOKUP(E1222,[1]Mapping!$A$3:$B$14,2,FALSE)</f>
        <v>#N/A</v>
      </c>
      <c r="J1222" s="84">
        <f t="shared" si="40"/>
        <v>0</v>
      </c>
      <c r="K1222" s="84">
        <f t="shared" si="41"/>
        <v>0</v>
      </c>
      <c r="L1222" s="61" t="e">
        <f>VLOOKUP(K1222,[1]Mapping!$J$3:$Q$351,8,FALSE)</f>
        <v>#N/A</v>
      </c>
      <c r="M1222" t="s">
        <v>83</v>
      </c>
      <c r="N1222" t="s">
        <v>177</v>
      </c>
      <c r="O1222" t="s">
        <v>178</v>
      </c>
    </row>
    <row r="1223" spans="5:15" hidden="1" x14ac:dyDescent="0.35">
      <c r="E1223" s="81"/>
      <c r="H1223" s="82"/>
      <c r="I1223" s="83" t="e">
        <f>VLOOKUP(E1223,[1]Mapping!$A$3:$B$14,2,FALSE)</f>
        <v>#N/A</v>
      </c>
      <c r="J1223" s="84">
        <f t="shared" si="40"/>
        <v>0</v>
      </c>
      <c r="K1223" s="84">
        <f t="shared" si="41"/>
        <v>0</v>
      </c>
      <c r="L1223" s="61" t="e">
        <f>VLOOKUP(K1223,[1]Mapping!$J$3:$Q$351,8,FALSE)</f>
        <v>#N/A</v>
      </c>
      <c r="M1223" t="s">
        <v>83</v>
      </c>
      <c r="N1223" t="s">
        <v>180</v>
      </c>
      <c r="O1223" t="s">
        <v>178</v>
      </c>
    </row>
    <row r="1224" spans="5:15" hidden="1" x14ac:dyDescent="0.35">
      <c r="E1224" s="81"/>
      <c r="H1224" s="82"/>
      <c r="I1224" s="83" t="e">
        <f>VLOOKUP(E1224,[1]Mapping!$A$3:$B$14,2,FALSE)</f>
        <v>#N/A</v>
      </c>
      <c r="J1224" s="84">
        <f t="shared" si="40"/>
        <v>0</v>
      </c>
      <c r="K1224" s="84">
        <f t="shared" si="41"/>
        <v>0</v>
      </c>
      <c r="L1224" s="61" t="e">
        <f>VLOOKUP(K1224,[1]Mapping!$J$3:$Q$351,8,FALSE)</f>
        <v>#N/A</v>
      </c>
      <c r="M1224" t="s">
        <v>83</v>
      </c>
    </row>
    <row r="1225" spans="5:15" hidden="1" x14ac:dyDescent="0.35">
      <c r="E1225" s="81"/>
      <c r="H1225" s="82"/>
      <c r="I1225" s="83" t="e">
        <f>VLOOKUP(E1225,[1]Mapping!$A$3:$B$14,2,FALSE)</f>
        <v>#N/A</v>
      </c>
      <c r="J1225" s="84">
        <f t="shared" si="40"/>
        <v>0</v>
      </c>
      <c r="K1225" s="84">
        <f t="shared" si="41"/>
        <v>0</v>
      </c>
      <c r="L1225" s="61" t="e">
        <f>VLOOKUP(K1225,[1]Mapping!$J$3:$Q$351,8,FALSE)</f>
        <v>#N/A</v>
      </c>
      <c r="M1225" t="s">
        <v>83</v>
      </c>
    </row>
    <row r="1226" spans="5:15" hidden="1" x14ac:dyDescent="0.35">
      <c r="E1226" s="81"/>
      <c r="H1226" s="82"/>
      <c r="I1226" s="83" t="e">
        <f>VLOOKUP(E1226,[1]Mapping!$A$3:$B$14,2,FALSE)</f>
        <v>#N/A</v>
      </c>
      <c r="J1226" s="84">
        <f t="shared" si="40"/>
        <v>0</v>
      </c>
      <c r="K1226" s="84">
        <f t="shared" si="41"/>
        <v>0</v>
      </c>
      <c r="L1226" s="61" t="e">
        <f>VLOOKUP(K1226,[1]Mapping!$J$3:$Q$351,8,FALSE)</f>
        <v>#N/A</v>
      </c>
      <c r="M1226" t="s">
        <v>83</v>
      </c>
    </row>
    <row r="1227" spans="5:15" hidden="1" x14ac:dyDescent="0.35">
      <c r="E1227" s="81"/>
      <c r="H1227" s="82"/>
      <c r="I1227" s="83" t="e">
        <f>VLOOKUP(E1227,[1]Mapping!$A$3:$B$14,2,FALSE)</f>
        <v>#N/A</v>
      </c>
      <c r="J1227" s="84">
        <f t="shared" si="40"/>
        <v>0</v>
      </c>
      <c r="K1227" s="84">
        <f t="shared" si="41"/>
        <v>0</v>
      </c>
      <c r="L1227" s="61" t="e">
        <f>VLOOKUP(K1227,[1]Mapping!$J$3:$Q$351,8,FALSE)</f>
        <v>#N/A</v>
      </c>
      <c r="M1227" t="s">
        <v>83</v>
      </c>
    </row>
    <row r="1228" spans="5:15" hidden="1" x14ac:dyDescent="0.35">
      <c r="E1228" s="81"/>
      <c r="H1228" s="82"/>
      <c r="I1228" s="83" t="e">
        <f>VLOOKUP(E1228,[1]Mapping!$A$3:$B$14,2,FALSE)</f>
        <v>#N/A</v>
      </c>
      <c r="J1228" s="84">
        <f t="shared" si="40"/>
        <v>0</v>
      </c>
      <c r="K1228" s="84">
        <f t="shared" si="41"/>
        <v>0</v>
      </c>
      <c r="L1228" s="61" t="e">
        <f>VLOOKUP(K1228,[1]Mapping!$J$3:$Q$351,8,FALSE)</f>
        <v>#N/A</v>
      </c>
      <c r="M1228" t="s">
        <v>83</v>
      </c>
    </row>
    <row r="1229" spans="5:15" hidden="1" x14ac:dyDescent="0.35">
      <c r="E1229" s="81"/>
      <c r="H1229" s="82"/>
      <c r="I1229" s="83" t="e">
        <f>VLOOKUP(E1229,[1]Mapping!$A$3:$B$14,2,FALSE)</f>
        <v>#N/A</v>
      </c>
      <c r="J1229" s="84">
        <f t="shared" si="40"/>
        <v>0</v>
      </c>
      <c r="K1229" s="84">
        <f t="shared" si="41"/>
        <v>0</v>
      </c>
      <c r="L1229" s="61" t="e">
        <f>VLOOKUP(K1229,[1]Mapping!$J$3:$Q$351,8,FALSE)</f>
        <v>#N/A</v>
      </c>
      <c r="M1229" t="s">
        <v>83</v>
      </c>
    </row>
    <row r="1230" spans="5:15" hidden="1" x14ac:dyDescent="0.35">
      <c r="E1230" s="81"/>
      <c r="H1230" s="82"/>
      <c r="I1230" s="83" t="e">
        <f>VLOOKUP(E1230,[1]Mapping!$A$3:$B$14,2,FALSE)</f>
        <v>#N/A</v>
      </c>
      <c r="J1230" s="84">
        <f t="shared" si="40"/>
        <v>0</v>
      </c>
      <c r="K1230" s="84">
        <f t="shared" si="41"/>
        <v>0</v>
      </c>
      <c r="L1230" s="61" t="e">
        <f>VLOOKUP(K1230,[1]Mapping!$J$3:$Q$351,8,FALSE)</f>
        <v>#N/A</v>
      </c>
      <c r="M1230" t="s">
        <v>83</v>
      </c>
    </row>
    <row r="1231" spans="5:15" hidden="1" x14ac:dyDescent="0.35">
      <c r="E1231" s="81"/>
      <c r="H1231" s="82"/>
      <c r="I1231" s="83" t="e">
        <f>VLOOKUP(E1231,[1]Mapping!$A$3:$B$14,2,FALSE)</f>
        <v>#N/A</v>
      </c>
      <c r="J1231" s="84">
        <f t="shared" si="40"/>
        <v>0</v>
      </c>
      <c r="K1231" s="84">
        <f t="shared" si="41"/>
        <v>0</v>
      </c>
      <c r="L1231" s="61" t="e">
        <f>VLOOKUP(K1231,[1]Mapping!$J$3:$Q$351,8,FALSE)</f>
        <v>#N/A</v>
      </c>
      <c r="M1231" t="s">
        <v>83</v>
      </c>
    </row>
    <row r="1232" spans="5:15" hidden="1" x14ac:dyDescent="0.35">
      <c r="E1232" s="81"/>
      <c r="H1232" s="82"/>
      <c r="I1232" s="83" t="e">
        <f>VLOOKUP(E1232,[1]Mapping!$A$3:$B$14,2,FALSE)</f>
        <v>#N/A</v>
      </c>
      <c r="J1232" s="84">
        <f t="shared" si="40"/>
        <v>0</v>
      </c>
      <c r="K1232" s="84">
        <f t="shared" si="41"/>
        <v>0</v>
      </c>
      <c r="L1232" s="61" t="e">
        <f>VLOOKUP(K1232,[1]Mapping!$J$3:$Q$351,8,FALSE)</f>
        <v>#N/A</v>
      </c>
      <c r="M1232" t="s">
        <v>83</v>
      </c>
    </row>
    <row r="1233" spans="5:13" hidden="1" x14ac:dyDescent="0.35">
      <c r="E1233" s="81"/>
      <c r="H1233" s="82"/>
      <c r="I1233" s="83" t="e">
        <f>VLOOKUP(E1233,[1]Mapping!$A$3:$B$14,2,FALSE)</f>
        <v>#N/A</v>
      </c>
      <c r="J1233" s="84">
        <f t="shared" si="40"/>
        <v>0</v>
      </c>
      <c r="K1233" s="84">
        <f t="shared" si="41"/>
        <v>0</v>
      </c>
      <c r="L1233" s="61" t="e">
        <f>VLOOKUP(K1233,[1]Mapping!$J$3:$Q$351,8,FALSE)</f>
        <v>#N/A</v>
      </c>
      <c r="M1233" t="s">
        <v>83</v>
      </c>
    </row>
    <row r="1234" spans="5:13" hidden="1" x14ac:dyDescent="0.35">
      <c r="E1234" s="81"/>
      <c r="H1234" s="82"/>
      <c r="I1234" s="83" t="e">
        <f>VLOOKUP(E1234,[1]Mapping!$A$3:$B$14,2,FALSE)</f>
        <v>#N/A</v>
      </c>
      <c r="J1234" s="84">
        <f t="shared" si="40"/>
        <v>0</v>
      </c>
      <c r="K1234" s="84">
        <f t="shared" si="41"/>
        <v>0</v>
      </c>
      <c r="L1234" s="61" t="e">
        <f>VLOOKUP(K1234,[1]Mapping!$J$3:$Q$351,8,FALSE)</f>
        <v>#N/A</v>
      </c>
      <c r="M1234" t="s">
        <v>83</v>
      </c>
    </row>
    <row r="1235" spans="5:13" hidden="1" x14ac:dyDescent="0.35">
      <c r="E1235" s="81"/>
      <c r="H1235" s="82"/>
      <c r="I1235" s="83" t="e">
        <f>VLOOKUP(E1235,[1]Mapping!$A$3:$B$14,2,FALSE)</f>
        <v>#N/A</v>
      </c>
      <c r="J1235" s="84">
        <f t="shared" si="40"/>
        <v>0</v>
      </c>
      <c r="K1235" s="84">
        <f t="shared" si="41"/>
        <v>0</v>
      </c>
      <c r="L1235" s="61" t="e">
        <f>VLOOKUP(K1235,[1]Mapping!$J$3:$Q$351,8,FALSE)</f>
        <v>#N/A</v>
      </c>
      <c r="M1235" t="s">
        <v>83</v>
      </c>
    </row>
    <row r="1236" spans="5:13" hidden="1" x14ac:dyDescent="0.35">
      <c r="E1236" s="81"/>
      <c r="H1236" s="82"/>
      <c r="I1236" s="83" t="e">
        <f>VLOOKUP(E1236,[1]Mapping!$A$3:$B$14,2,FALSE)</f>
        <v>#N/A</v>
      </c>
      <c r="J1236" s="84">
        <f t="shared" si="40"/>
        <v>0</v>
      </c>
      <c r="K1236" s="84">
        <f t="shared" si="41"/>
        <v>0</v>
      </c>
      <c r="L1236" s="61" t="e">
        <f>VLOOKUP(K1236,[1]Mapping!$J$3:$Q$351,8,FALSE)</f>
        <v>#N/A</v>
      </c>
      <c r="M1236" t="s">
        <v>83</v>
      </c>
    </row>
    <row r="1237" spans="5:13" hidden="1" x14ac:dyDescent="0.35">
      <c r="E1237" s="81"/>
      <c r="H1237" s="82"/>
      <c r="I1237" s="83" t="e">
        <f>VLOOKUP(E1237,[1]Mapping!$A$3:$B$14,2,FALSE)</f>
        <v>#N/A</v>
      </c>
      <c r="J1237" s="84">
        <f t="shared" si="40"/>
        <v>0</v>
      </c>
      <c r="K1237" s="84">
        <f t="shared" si="41"/>
        <v>0</v>
      </c>
      <c r="L1237" s="61" t="e">
        <f>VLOOKUP(K1237,[1]Mapping!$J$3:$Q$351,8,FALSE)</f>
        <v>#N/A</v>
      </c>
      <c r="M1237" t="s">
        <v>83</v>
      </c>
    </row>
    <row r="1238" spans="5:13" hidden="1" x14ac:dyDescent="0.35">
      <c r="E1238" s="81"/>
      <c r="H1238" s="82"/>
      <c r="I1238" s="83" t="e">
        <f>VLOOKUP(E1238,[1]Mapping!$A$3:$B$14,2,FALSE)</f>
        <v>#N/A</v>
      </c>
      <c r="J1238" s="84">
        <f t="shared" si="40"/>
        <v>0</v>
      </c>
      <c r="K1238" s="84">
        <f t="shared" si="41"/>
        <v>0</v>
      </c>
      <c r="L1238" s="61" t="e">
        <f>VLOOKUP(K1238,[1]Mapping!$J$3:$Q$351,8,FALSE)</f>
        <v>#N/A</v>
      </c>
      <c r="M1238" t="s">
        <v>83</v>
      </c>
    </row>
    <row r="1239" spans="5:13" hidden="1" x14ac:dyDescent="0.35">
      <c r="E1239" s="81"/>
      <c r="H1239" s="82"/>
      <c r="I1239" s="83" t="e">
        <f>VLOOKUP(E1239,[1]Mapping!$A$3:$B$14,2,FALSE)</f>
        <v>#N/A</v>
      </c>
      <c r="J1239" s="84">
        <f t="shared" si="40"/>
        <v>0</v>
      </c>
      <c r="K1239" s="84">
        <f t="shared" si="41"/>
        <v>0</v>
      </c>
      <c r="L1239" s="61" t="e">
        <f>VLOOKUP(K1239,[1]Mapping!$J$3:$Q$351,8,FALSE)</f>
        <v>#N/A</v>
      </c>
      <c r="M1239" t="s">
        <v>83</v>
      </c>
    </row>
    <row r="1240" spans="5:13" hidden="1" x14ac:dyDescent="0.35">
      <c r="E1240" s="81"/>
      <c r="H1240" s="82"/>
      <c r="I1240" s="83" t="e">
        <f>VLOOKUP(E1240,[1]Mapping!$A$3:$B$14,2,FALSE)</f>
        <v>#N/A</v>
      </c>
      <c r="J1240" s="84">
        <f t="shared" si="40"/>
        <v>0</v>
      </c>
      <c r="K1240" s="84">
        <f t="shared" si="41"/>
        <v>0</v>
      </c>
      <c r="L1240" s="61" t="e">
        <f>VLOOKUP(K1240,[1]Mapping!$J$3:$Q$351,8,FALSE)</f>
        <v>#N/A</v>
      </c>
      <c r="M1240" t="s">
        <v>83</v>
      </c>
    </row>
    <row r="1241" spans="5:13" hidden="1" x14ac:dyDescent="0.35">
      <c r="E1241" s="81"/>
      <c r="H1241" s="82"/>
      <c r="I1241" s="83" t="e">
        <f>VLOOKUP(E1241,[1]Mapping!$A$3:$B$14,2,FALSE)</f>
        <v>#N/A</v>
      </c>
      <c r="J1241" s="84">
        <f t="shared" si="40"/>
        <v>0</v>
      </c>
      <c r="K1241" s="84">
        <f t="shared" si="41"/>
        <v>0</v>
      </c>
      <c r="L1241" s="61" t="e">
        <f>VLOOKUP(K1241,[1]Mapping!$J$3:$Q$351,8,FALSE)</f>
        <v>#N/A</v>
      </c>
      <c r="M1241" t="s">
        <v>83</v>
      </c>
    </row>
    <row r="1242" spans="5:13" hidden="1" x14ac:dyDescent="0.35">
      <c r="E1242" s="81"/>
      <c r="H1242" s="82"/>
      <c r="I1242" s="83" t="e">
        <f>VLOOKUP(E1242,[1]Mapping!$A$3:$B$14,2,FALSE)</f>
        <v>#N/A</v>
      </c>
      <c r="J1242" s="84">
        <f t="shared" si="40"/>
        <v>0</v>
      </c>
      <c r="K1242" s="84">
        <f t="shared" si="41"/>
        <v>0</v>
      </c>
      <c r="L1242" s="61" t="e">
        <f>VLOOKUP(K1242,[1]Mapping!$J$3:$Q$351,8,FALSE)</f>
        <v>#N/A</v>
      </c>
      <c r="M1242" t="s">
        <v>83</v>
      </c>
    </row>
    <row r="1243" spans="5:13" hidden="1" x14ac:dyDescent="0.35">
      <c r="E1243" s="81"/>
      <c r="H1243" s="82"/>
      <c r="I1243" s="83" t="e">
        <f>VLOOKUP(E1243,[1]Mapping!$A$3:$B$14,2,FALSE)</f>
        <v>#N/A</v>
      </c>
      <c r="J1243" s="84">
        <f t="shared" si="40"/>
        <v>0</v>
      </c>
      <c r="K1243" s="84">
        <f t="shared" si="41"/>
        <v>0</v>
      </c>
      <c r="L1243" s="61" t="e">
        <f>VLOOKUP(K1243,[1]Mapping!$J$3:$Q$351,8,FALSE)</f>
        <v>#N/A</v>
      </c>
      <c r="M1243" t="s">
        <v>83</v>
      </c>
    </row>
    <row r="1244" spans="5:13" hidden="1" x14ac:dyDescent="0.35">
      <c r="E1244" s="81"/>
      <c r="H1244" s="82"/>
      <c r="I1244" s="83" t="e">
        <f>VLOOKUP(E1244,[1]Mapping!$A$3:$B$14,2,FALSE)</f>
        <v>#N/A</v>
      </c>
      <c r="J1244" s="84">
        <f t="shared" si="40"/>
        <v>0</v>
      </c>
      <c r="K1244" s="84">
        <f t="shared" si="41"/>
        <v>0</v>
      </c>
      <c r="L1244" s="61" t="e">
        <f>VLOOKUP(K1244,[1]Mapping!$J$3:$Q$351,8,FALSE)</f>
        <v>#N/A</v>
      </c>
      <c r="M1244" t="s">
        <v>83</v>
      </c>
    </row>
    <row r="1245" spans="5:13" hidden="1" x14ac:dyDescent="0.35">
      <c r="E1245" s="81"/>
      <c r="H1245" s="82"/>
      <c r="I1245" s="83" t="e">
        <f>VLOOKUP(E1245,[1]Mapping!$A$3:$B$14,2,FALSE)</f>
        <v>#N/A</v>
      </c>
      <c r="J1245" s="84">
        <f t="shared" si="40"/>
        <v>0</v>
      </c>
      <c r="K1245" s="84">
        <f t="shared" si="41"/>
        <v>0</v>
      </c>
      <c r="L1245" s="61" t="e">
        <f>VLOOKUP(K1245,[1]Mapping!$J$3:$Q$351,8,FALSE)</f>
        <v>#N/A</v>
      </c>
      <c r="M1245" t="s">
        <v>83</v>
      </c>
    </row>
    <row r="1246" spans="5:13" hidden="1" x14ac:dyDescent="0.35">
      <c r="E1246" s="81"/>
      <c r="H1246" s="82"/>
      <c r="I1246" s="83" t="e">
        <f>VLOOKUP(E1246,[1]Mapping!$A$3:$B$14,2,FALSE)</f>
        <v>#N/A</v>
      </c>
      <c r="J1246" s="84">
        <f t="shared" si="40"/>
        <v>0</v>
      </c>
      <c r="K1246" s="84">
        <f t="shared" si="41"/>
        <v>0</v>
      </c>
      <c r="L1246" s="61" t="e">
        <f>VLOOKUP(K1246,[1]Mapping!$J$3:$Q$351,8,FALSE)</f>
        <v>#N/A</v>
      </c>
      <c r="M1246" t="s">
        <v>83</v>
      </c>
    </row>
    <row r="1247" spans="5:13" hidden="1" x14ac:dyDescent="0.35">
      <c r="E1247" s="81"/>
      <c r="H1247" s="82"/>
      <c r="I1247" s="83" t="e">
        <f>VLOOKUP(E1247,[1]Mapping!$A$3:$B$14,2,FALSE)</f>
        <v>#N/A</v>
      </c>
      <c r="J1247" s="84">
        <f t="shared" si="40"/>
        <v>0</v>
      </c>
      <c r="K1247" s="84">
        <f t="shared" si="41"/>
        <v>0</v>
      </c>
      <c r="L1247" s="61" t="e">
        <f>VLOOKUP(K1247,[1]Mapping!$J$3:$Q$351,8,FALSE)</f>
        <v>#N/A</v>
      </c>
      <c r="M1247" t="s">
        <v>83</v>
      </c>
    </row>
    <row r="1248" spans="5:13" hidden="1" x14ac:dyDescent="0.35">
      <c r="E1248" s="81"/>
      <c r="H1248" s="82"/>
      <c r="I1248" s="83" t="e">
        <f>VLOOKUP(E1248,[1]Mapping!$A$3:$B$14,2,FALSE)</f>
        <v>#N/A</v>
      </c>
      <c r="J1248" s="84">
        <f t="shared" si="40"/>
        <v>0</v>
      </c>
      <c r="K1248" s="84">
        <f t="shared" si="41"/>
        <v>0</v>
      </c>
      <c r="L1248" s="61" t="e">
        <f>VLOOKUP(K1248,[1]Mapping!$J$3:$Q$351,8,FALSE)</f>
        <v>#N/A</v>
      </c>
      <c r="M1248" t="s">
        <v>83</v>
      </c>
    </row>
    <row r="1249" spans="5:13" hidden="1" x14ac:dyDescent="0.35">
      <c r="E1249" s="81"/>
      <c r="H1249" s="82"/>
      <c r="I1249" s="83" t="e">
        <f>VLOOKUP(E1249,[1]Mapping!$A$3:$B$14,2,FALSE)</f>
        <v>#N/A</v>
      </c>
      <c r="J1249" s="84">
        <f t="shared" si="40"/>
        <v>0</v>
      </c>
      <c r="K1249" s="84">
        <f t="shared" si="41"/>
        <v>0</v>
      </c>
      <c r="L1249" s="61" t="e">
        <f>VLOOKUP(K1249,[1]Mapping!$J$3:$Q$351,8,FALSE)</f>
        <v>#N/A</v>
      </c>
      <c r="M1249" t="s">
        <v>83</v>
      </c>
    </row>
    <row r="1250" spans="5:13" hidden="1" x14ac:dyDescent="0.35">
      <c r="E1250" s="81"/>
      <c r="H1250" s="82"/>
      <c r="I1250" s="83" t="e">
        <f>VLOOKUP(E1250,[1]Mapping!$A$3:$B$14,2,FALSE)</f>
        <v>#N/A</v>
      </c>
      <c r="J1250" s="84">
        <f t="shared" si="40"/>
        <v>0</v>
      </c>
      <c r="K1250" s="84">
        <f t="shared" si="41"/>
        <v>0</v>
      </c>
      <c r="L1250" s="61" t="e">
        <f>VLOOKUP(K1250,[1]Mapping!$J$3:$Q$351,8,FALSE)</f>
        <v>#N/A</v>
      </c>
      <c r="M1250" t="s">
        <v>83</v>
      </c>
    </row>
    <row r="1251" spans="5:13" hidden="1" x14ac:dyDescent="0.35">
      <c r="E1251" s="81"/>
      <c r="H1251" s="82"/>
      <c r="I1251" s="83" t="e">
        <f>VLOOKUP(E1251,[1]Mapping!$A$3:$B$14,2,FALSE)</f>
        <v>#N/A</v>
      </c>
      <c r="J1251" s="84">
        <f t="shared" si="40"/>
        <v>0</v>
      </c>
      <c r="K1251" s="84">
        <f t="shared" si="41"/>
        <v>0</v>
      </c>
      <c r="L1251" s="61" t="e">
        <f>VLOOKUP(K1251,[1]Mapping!$J$3:$Q$351,8,FALSE)</f>
        <v>#N/A</v>
      </c>
      <c r="M1251" t="s">
        <v>83</v>
      </c>
    </row>
    <row r="1252" spans="5:13" hidden="1" x14ac:dyDescent="0.35">
      <c r="E1252" s="81"/>
      <c r="H1252" s="82"/>
      <c r="I1252" s="83" t="e">
        <f>VLOOKUP(E1252,[1]Mapping!$A$3:$B$14,2,FALSE)</f>
        <v>#N/A</v>
      </c>
      <c r="J1252" s="84">
        <f t="shared" si="40"/>
        <v>0</v>
      </c>
      <c r="K1252" s="84">
        <f t="shared" si="41"/>
        <v>0</v>
      </c>
      <c r="L1252" s="61" t="e">
        <f>VLOOKUP(K1252,[1]Mapping!$J$3:$Q$351,8,FALSE)</f>
        <v>#N/A</v>
      </c>
      <c r="M1252" t="s">
        <v>83</v>
      </c>
    </row>
    <row r="1253" spans="5:13" hidden="1" x14ac:dyDescent="0.35">
      <c r="E1253" s="81"/>
      <c r="H1253" s="82"/>
      <c r="I1253" s="83" t="e">
        <f>VLOOKUP(E1253,[1]Mapping!$A$3:$B$14,2,FALSE)</f>
        <v>#N/A</v>
      </c>
      <c r="J1253" s="84">
        <f t="shared" si="40"/>
        <v>0</v>
      </c>
      <c r="K1253" s="84">
        <f t="shared" si="41"/>
        <v>0</v>
      </c>
      <c r="L1253" s="61" t="e">
        <f>VLOOKUP(K1253,[1]Mapping!$J$3:$Q$351,8,FALSE)</f>
        <v>#N/A</v>
      </c>
      <c r="M1253" t="s">
        <v>83</v>
      </c>
    </row>
    <row r="1254" spans="5:13" hidden="1" x14ac:dyDescent="0.35">
      <c r="E1254" s="81"/>
      <c r="H1254" s="82"/>
      <c r="I1254" s="83" t="e">
        <f>VLOOKUP(E1254,[1]Mapping!$A$3:$B$14,2,FALSE)</f>
        <v>#N/A</v>
      </c>
      <c r="J1254" s="84">
        <f t="shared" si="40"/>
        <v>0</v>
      </c>
      <c r="K1254" s="84">
        <f t="shared" si="41"/>
        <v>0</v>
      </c>
      <c r="L1254" s="61" t="e">
        <f>VLOOKUP(K1254,[1]Mapping!$J$3:$Q$351,8,FALSE)</f>
        <v>#N/A</v>
      </c>
      <c r="M1254" t="s">
        <v>83</v>
      </c>
    </row>
    <row r="1255" spans="5:13" hidden="1" x14ac:dyDescent="0.35">
      <c r="E1255" s="81"/>
      <c r="H1255" s="82"/>
      <c r="I1255" s="83" t="e">
        <f>VLOOKUP(E1255,[1]Mapping!$A$3:$B$14,2,FALSE)</f>
        <v>#N/A</v>
      </c>
      <c r="J1255" s="84">
        <f t="shared" si="40"/>
        <v>0</v>
      </c>
      <c r="K1255" s="84">
        <f t="shared" si="41"/>
        <v>0</v>
      </c>
      <c r="L1255" s="61" t="e">
        <f>VLOOKUP(K1255,[1]Mapping!$J$3:$Q$351,8,FALSE)</f>
        <v>#N/A</v>
      </c>
      <c r="M1255" t="s">
        <v>83</v>
      </c>
    </row>
    <row r="1256" spans="5:13" hidden="1" x14ac:dyDescent="0.35">
      <c r="E1256" s="81"/>
      <c r="H1256" s="82"/>
      <c r="I1256" s="83" t="e">
        <f>VLOOKUP(E1256,[1]Mapping!$A$3:$B$14,2,FALSE)</f>
        <v>#N/A</v>
      </c>
      <c r="J1256" s="84">
        <f t="shared" si="40"/>
        <v>0</v>
      </c>
      <c r="K1256" s="84">
        <f t="shared" si="41"/>
        <v>0</v>
      </c>
      <c r="L1256" s="61" t="e">
        <f>VLOOKUP(K1256,[1]Mapping!$J$3:$Q$351,8,FALSE)</f>
        <v>#N/A</v>
      </c>
      <c r="M1256" t="s">
        <v>83</v>
      </c>
    </row>
    <row r="1257" spans="5:13" hidden="1" x14ac:dyDescent="0.35">
      <c r="E1257" s="81"/>
      <c r="H1257" s="82"/>
      <c r="I1257" s="83" t="e">
        <f>VLOOKUP(E1257,[1]Mapping!$A$3:$B$14,2,FALSE)</f>
        <v>#N/A</v>
      </c>
      <c r="J1257" s="84">
        <f t="shared" si="40"/>
        <v>0</v>
      </c>
      <c r="K1257" s="84">
        <f t="shared" si="41"/>
        <v>0</v>
      </c>
      <c r="L1257" s="61" t="e">
        <f>VLOOKUP(K1257,[1]Mapping!$J$3:$Q$351,8,FALSE)</f>
        <v>#N/A</v>
      </c>
      <c r="M1257" t="s">
        <v>83</v>
      </c>
    </row>
    <row r="1258" spans="5:13" hidden="1" x14ac:dyDescent="0.35">
      <c r="E1258" s="81"/>
      <c r="H1258" s="82"/>
      <c r="I1258" s="83" t="e">
        <f>VLOOKUP(E1258,[1]Mapping!$A$3:$B$14,2,FALSE)</f>
        <v>#N/A</v>
      </c>
      <c r="J1258" s="84">
        <f t="shared" si="40"/>
        <v>0</v>
      </c>
      <c r="K1258" s="84">
        <f t="shared" si="41"/>
        <v>0</v>
      </c>
      <c r="L1258" s="61" t="e">
        <f>VLOOKUP(K1258,[1]Mapping!$J$3:$Q$351,8,FALSE)</f>
        <v>#N/A</v>
      </c>
      <c r="M1258" t="s">
        <v>83</v>
      </c>
    </row>
    <row r="1259" spans="5:13" hidden="1" x14ac:dyDescent="0.35">
      <c r="E1259" s="81"/>
      <c r="H1259" s="82"/>
      <c r="I1259" s="83" t="e">
        <f>VLOOKUP(E1259,[1]Mapping!$A$3:$B$14,2,FALSE)</f>
        <v>#N/A</v>
      </c>
      <c r="J1259" s="84">
        <f t="shared" si="40"/>
        <v>0</v>
      </c>
      <c r="K1259" s="84">
        <f t="shared" si="41"/>
        <v>0</v>
      </c>
      <c r="L1259" s="61" t="e">
        <f>VLOOKUP(K1259,[1]Mapping!$J$3:$Q$351,8,FALSE)</f>
        <v>#N/A</v>
      </c>
      <c r="M1259" t="s">
        <v>83</v>
      </c>
    </row>
    <row r="1260" spans="5:13" hidden="1" x14ac:dyDescent="0.35">
      <c r="E1260" s="81"/>
      <c r="H1260" s="82"/>
      <c r="I1260" s="83" t="e">
        <f>VLOOKUP(E1260,[1]Mapping!$A$3:$B$14,2,FALSE)</f>
        <v>#N/A</v>
      </c>
      <c r="J1260" s="84">
        <f t="shared" si="40"/>
        <v>0</v>
      </c>
      <c r="K1260" s="84">
        <f t="shared" si="41"/>
        <v>0</v>
      </c>
      <c r="L1260" s="61" t="e">
        <f>VLOOKUP(K1260,[1]Mapping!$J$3:$Q$351,8,FALSE)</f>
        <v>#N/A</v>
      </c>
      <c r="M1260" t="s">
        <v>83</v>
      </c>
    </row>
    <row r="1261" spans="5:13" hidden="1" x14ac:dyDescent="0.35">
      <c r="E1261" s="81"/>
      <c r="H1261" s="82"/>
      <c r="I1261" s="83" t="e">
        <f>VLOOKUP(E1261,[1]Mapping!$A$3:$B$14,2,FALSE)</f>
        <v>#N/A</v>
      </c>
      <c r="J1261" s="84">
        <f t="shared" si="40"/>
        <v>0</v>
      </c>
      <c r="K1261" s="84">
        <f t="shared" si="41"/>
        <v>0</v>
      </c>
      <c r="L1261" s="61" t="e">
        <f>VLOOKUP(K1261,[1]Mapping!$J$3:$Q$351,8,FALSE)</f>
        <v>#N/A</v>
      </c>
      <c r="M1261" t="s">
        <v>83</v>
      </c>
    </row>
    <row r="1262" spans="5:13" hidden="1" x14ac:dyDescent="0.35">
      <c r="E1262" s="81"/>
      <c r="H1262" s="82"/>
      <c r="I1262" s="83" t="e">
        <f>VLOOKUP(E1262,[1]Mapping!$A$3:$B$14,2,FALSE)</f>
        <v>#N/A</v>
      </c>
      <c r="J1262" s="84">
        <f t="shared" si="40"/>
        <v>0</v>
      </c>
      <c r="K1262" s="84">
        <f t="shared" si="41"/>
        <v>0</v>
      </c>
      <c r="L1262" s="61" t="e">
        <f>VLOOKUP(K1262,[1]Mapping!$J$3:$Q$351,8,FALSE)</f>
        <v>#N/A</v>
      </c>
      <c r="M1262" t="s">
        <v>83</v>
      </c>
    </row>
    <row r="1263" spans="5:13" hidden="1" x14ac:dyDescent="0.35">
      <c r="E1263" s="81"/>
      <c r="H1263" s="82"/>
      <c r="I1263" s="83" t="e">
        <f>VLOOKUP(E1263,[1]Mapping!$A$3:$B$14,2,FALSE)</f>
        <v>#N/A</v>
      </c>
      <c r="J1263" s="84">
        <f t="shared" si="40"/>
        <v>0</v>
      </c>
      <c r="K1263" s="84">
        <f t="shared" si="41"/>
        <v>0</v>
      </c>
      <c r="L1263" s="61" t="e">
        <f>VLOOKUP(K1263,[1]Mapping!$J$3:$Q$351,8,FALSE)</f>
        <v>#N/A</v>
      </c>
      <c r="M1263" t="s">
        <v>83</v>
      </c>
    </row>
    <row r="1264" spans="5:13" hidden="1" x14ac:dyDescent="0.35">
      <c r="E1264" s="81"/>
      <c r="H1264" s="82"/>
      <c r="I1264" s="83" t="e">
        <f>VLOOKUP(E1264,[1]Mapping!$A$3:$B$14,2,FALSE)</f>
        <v>#N/A</v>
      </c>
      <c r="J1264" s="84">
        <f t="shared" si="40"/>
        <v>0</v>
      </c>
      <c r="K1264" s="84">
        <f t="shared" si="41"/>
        <v>0</v>
      </c>
      <c r="L1264" s="61" t="e">
        <f>VLOOKUP(K1264,[1]Mapping!$J$3:$Q$351,8,FALSE)</f>
        <v>#N/A</v>
      </c>
      <c r="M1264" t="s">
        <v>83</v>
      </c>
    </row>
    <row r="1265" spans="5:13" hidden="1" x14ac:dyDescent="0.35">
      <c r="E1265" s="81"/>
      <c r="H1265" s="82"/>
      <c r="I1265" s="83" t="e">
        <f>VLOOKUP(E1265,[1]Mapping!$A$3:$B$14,2,FALSE)</f>
        <v>#N/A</v>
      </c>
      <c r="J1265" s="84">
        <f t="shared" si="40"/>
        <v>0</v>
      </c>
      <c r="K1265" s="84">
        <f t="shared" si="41"/>
        <v>0</v>
      </c>
      <c r="L1265" s="61" t="e">
        <f>VLOOKUP(K1265,[1]Mapping!$J$3:$Q$351,8,FALSE)</f>
        <v>#N/A</v>
      </c>
      <c r="M1265" t="s">
        <v>83</v>
      </c>
    </row>
    <row r="1266" spans="5:13" hidden="1" x14ac:dyDescent="0.35">
      <c r="E1266" s="81"/>
      <c r="H1266" s="82"/>
      <c r="I1266" s="83" t="e">
        <f>VLOOKUP(E1266,[1]Mapping!$A$3:$B$14,2,FALSE)</f>
        <v>#N/A</v>
      </c>
      <c r="J1266" s="84">
        <f t="shared" si="40"/>
        <v>0</v>
      </c>
      <c r="K1266" s="84">
        <f t="shared" si="41"/>
        <v>0</v>
      </c>
      <c r="L1266" s="61" t="e">
        <f>VLOOKUP(K1266,[1]Mapping!$J$3:$Q$351,8,FALSE)</f>
        <v>#N/A</v>
      </c>
      <c r="M1266" t="s">
        <v>83</v>
      </c>
    </row>
    <row r="1267" spans="5:13" hidden="1" x14ac:dyDescent="0.35">
      <c r="E1267" s="81"/>
      <c r="H1267" s="82"/>
      <c r="I1267" s="83" t="e">
        <f>VLOOKUP(E1267,[1]Mapping!$A$3:$B$14,2,FALSE)</f>
        <v>#N/A</v>
      </c>
      <c r="J1267" s="84">
        <f t="shared" si="40"/>
        <v>0</v>
      </c>
      <c r="K1267" s="84">
        <f t="shared" si="41"/>
        <v>0</v>
      </c>
      <c r="L1267" s="61" t="e">
        <f>VLOOKUP(K1267,[1]Mapping!$J$3:$Q$351,8,FALSE)</f>
        <v>#N/A</v>
      </c>
      <c r="M1267" t="s">
        <v>83</v>
      </c>
    </row>
    <row r="1268" spans="5:13" hidden="1" x14ac:dyDescent="0.35">
      <c r="E1268" s="81"/>
      <c r="H1268" s="82"/>
      <c r="I1268" s="83" t="e">
        <f>VLOOKUP(E1268,[1]Mapping!$A$3:$B$14,2,FALSE)</f>
        <v>#N/A</v>
      </c>
      <c r="J1268" s="84">
        <f t="shared" si="40"/>
        <v>0</v>
      </c>
      <c r="K1268" s="84">
        <f t="shared" si="41"/>
        <v>0</v>
      </c>
      <c r="L1268" s="61" t="e">
        <f>VLOOKUP(K1268,[1]Mapping!$J$3:$Q$351,8,FALSE)</f>
        <v>#N/A</v>
      </c>
      <c r="M1268" t="s">
        <v>83</v>
      </c>
    </row>
    <row r="1269" spans="5:13" hidden="1" x14ac:dyDescent="0.35">
      <c r="E1269" s="81"/>
      <c r="H1269" s="82"/>
      <c r="I1269" s="83" t="e">
        <f>VLOOKUP(E1269,[1]Mapping!$A$3:$B$14,2,FALSE)</f>
        <v>#N/A</v>
      </c>
      <c r="J1269" s="84">
        <f t="shared" si="40"/>
        <v>0</v>
      </c>
      <c r="K1269" s="84">
        <f t="shared" si="41"/>
        <v>0</v>
      </c>
      <c r="L1269" s="61" t="e">
        <f>VLOOKUP(K1269,[1]Mapping!$J$3:$Q$351,8,FALSE)</f>
        <v>#N/A</v>
      </c>
      <c r="M1269" t="s">
        <v>83</v>
      </c>
    </row>
    <row r="1270" spans="5:13" hidden="1" x14ac:dyDescent="0.35">
      <c r="E1270" s="81"/>
      <c r="H1270" s="82"/>
      <c r="I1270" s="83" t="e">
        <f>VLOOKUP(E1270,[1]Mapping!$A$3:$B$14,2,FALSE)</f>
        <v>#N/A</v>
      </c>
      <c r="J1270" s="84">
        <f t="shared" si="40"/>
        <v>0</v>
      </c>
      <c r="K1270" s="84">
        <f t="shared" si="41"/>
        <v>0</v>
      </c>
      <c r="L1270" s="61" t="e">
        <f>VLOOKUP(K1270,[1]Mapping!$J$3:$Q$351,8,FALSE)</f>
        <v>#N/A</v>
      </c>
      <c r="M1270" t="s">
        <v>83</v>
      </c>
    </row>
    <row r="1271" spans="5:13" hidden="1" x14ac:dyDescent="0.35">
      <c r="E1271" s="81"/>
      <c r="H1271" s="82"/>
      <c r="I1271" s="83" t="e">
        <f>VLOOKUP(E1271,[1]Mapping!$A$3:$B$14,2,FALSE)</f>
        <v>#N/A</v>
      </c>
      <c r="J1271" s="84">
        <f t="shared" si="40"/>
        <v>0</v>
      </c>
      <c r="K1271" s="84">
        <f t="shared" si="41"/>
        <v>0</v>
      </c>
      <c r="L1271" s="61" t="e">
        <f>VLOOKUP(K1271,[1]Mapping!$J$3:$Q$351,8,FALSE)</f>
        <v>#N/A</v>
      </c>
      <c r="M1271" t="s">
        <v>83</v>
      </c>
    </row>
    <row r="1272" spans="5:13" hidden="1" x14ac:dyDescent="0.35">
      <c r="E1272" s="81"/>
      <c r="H1272" s="82"/>
      <c r="I1272" s="83" t="e">
        <f>VLOOKUP(E1272,[1]Mapping!$A$3:$B$14,2,FALSE)</f>
        <v>#N/A</v>
      </c>
      <c r="J1272" s="84">
        <f t="shared" si="40"/>
        <v>0</v>
      </c>
      <c r="K1272" s="84">
        <f t="shared" si="41"/>
        <v>0</v>
      </c>
      <c r="L1272" s="61" t="e">
        <f>VLOOKUP(K1272,[1]Mapping!$J$3:$Q$351,8,FALSE)</f>
        <v>#N/A</v>
      </c>
      <c r="M1272" t="s">
        <v>83</v>
      </c>
    </row>
    <row r="1273" spans="5:13" hidden="1" x14ac:dyDescent="0.35">
      <c r="E1273" s="81"/>
      <c r="H1273" s="82"/>
      <c r="I1273" s="83" t="e">
        <f>VLOOKUP(E1273,[1]Mapping!$A$3:$B$14,2,FALSE)</f>
        <v>#N/A</v>
      </c>
      <c r="J1273" s="84">
        <f t="shared" si="40"/>
        <v>0</v>
      </c>
      <c r="K1273" s="84">
        <f t="shared" si="41"/>
        <v>0</v>
      </c>
      <c r="L1273" s="61" t="e">
        <f>VLOOKUP(K1273,[1]Mapping!$J$3:$Q$351,8,FALSE)</f>
        <v>#N/A</v>
      </c>
      <c r="M1273" t="s">
        <v>83</v>
      </c>
    </row>
    <row r="1274" spans="5:13" hidden="1" x14ac:dyDescent="0.35">
      <c r="E1274" s="81"/>
      <c r="H1274" s="82"/>
      <c r="I1274" s="83" t="e">
        <f>VLOOKUP(E1274,[1]Mapping!$A$3:$B$14,2,FALSE)</f>
        <v>#N/A</v>
      </c>
      <c r="J1274" s="84">
        <f t="shared" si="40"/>
        <v>0</v>
      </c>
      <c r="K1274" s="84">
        <f t="shared" si="41"/>
        <v>0</v>
      </c>
      <c r="L1274" s="61" t="e">
        <f>VLOOKUP(K1274,[1]Mapping!$J$3:$Q$351,8,FALSE)</f>
        <v>#N/A</v>
      </c>
      <c r="M1274" t="s">
        <v>83</v>
      </c>
    </row>
    <row r="1275" spans="5:13" hidden="1" x14ac:dyDescent="0.35">
      <c r="E1275" s="81"/>
      <c r="H1275" s="82"/>
      <c r="I1275" s="83" t="e">
        <f>VLOOKUP(E1275,[1]Mapping!$A$3:$B$14,2,FALSE)</f>
        <v>#N/A</v>
      </c>
      <c r="J1275" s="84">
        <f t="shared" si="40"/>
        <v>0</v>
      </c>
      <c r="K1275" s="84">
        <f t="shared" si="41"/>
        <v>0</v>
      </c>
      <c r="L1275" s="61" t="e">
        <f>VLOOKUP(K1275,[1]Mapping!$J$3:$Q$351,8,FALSE)</f>
        <v>#N/A</v>
      </c>
      <c r="M1275" t="s">
        <v>83</v>
      </c>
    </row>
    <row r="1276" spans="5:13" hidden="1" x14ac:dyDescent="0.35">
      <c r="E1276" s="81"/>
      <c r="H1276" s="82"/>
      <c r="I1276" s="83" t="e">
        <f>VLOOKUP(E1276,[1]Mapping!$A$3:$B$14,2,FALSE)</f>
        <v>#N/A</v>
      </c>
      <c r="J1276" s="84">
        <f t="shared" si="40"/>
        <v>0</v>
      </c>
      <c r="K1276" s="84">
        <f t="shared" si="41"/>
        <v>0</v>
      </c>
      <c r="L1276" s="61" t="e">
        <f>VLOOKUP(K1276,[1]Mapping!$J$3:$Q$351,8,FALSE)</f>
        <v>#N/A</v>
      </c>
      <c r="M1276" t="s">
        <v>83</v>
      </c>
    </row>
    <row r="1277" spans="5:13" hidden="1" x14ac:dyDescent="0.35">
      <c r="E1277" s="81"/>
      <c r="H1277" s="82"/>
      <c r="I1277" s="83" t="e">
        <f>VLOOKUP(E1277,[1]Mapping!$A$3:$B$14,2,FALSE)</f>
        <v>#N/A</v>
      </c>
      <c r="J1277" s="84">
        <f t="shared" si="40"/>
        <v>0</v>
      </c>
      <c r="K1277" s="84">
        <f t="shared" si="41"/>
        <v>0</v>
      </c>
      <c r="L1277" s="61" t="e">
        <f>VLOOKUP(K1277,[1]Mapping!$J$3:$Q$351,8,FALSE)</f>
        <v>#N/A</v>
      </c>
      <c r="M1277" t="s">
        <v>83</v>
      </c>
    </row>
    <row r="1278" spans="5:13" hidden="1" x14ac:dyDescent="0.35">
      <c r="E1278" s="81"/>
      <c r="H1278" s="82"/>
      <c r="I1278" s="83" t="e">
        <f>VLOOKUP(E1278,[1]Mapping!$A$3:$B$14,2,FALSE)</f>
        <v>#N/A</v>
      </c>
      <c r="J1278" s="84">
        <f t="shared" si="40"/>
        <v>0</v>
      </c>
      <c r="K1278" s="84">
        <f t="shared" si="41"/>
        <v>0</v>
      </c>
      <c r="L1278" s="61" t="e">
        <f>VLOOKUP(K1278,[1]Mapping!$J$3:$Q$351,8,FALSE)</f>
        <v>#N/A</v>
      </c>
      <c r="M1278" t="s">
        <v>83</v>
      </c>
    </row>
    <row r="1279" spans="5:13" hidden="1" x14ac:dyDescent="0.35">
      <c r="E1279" s="81"/>
      <c r="H1279" s="82"/>
      <c r="I1279" s="83" t="e">
        <f>VLOOKUP(E1279,[1]Mapping!$A$3:$B$14,2,FALSE)</f>
        <v>#N/A</v>
      </c>
      <c r="J1279" s="84">
        <f t="shared" si="40"/>
        <v>0</v>
      </c>
      <c r="K1279" s="84">
        <f t="shared" si="41"/>
        <v>0</v>
      </c>
      <c r="L1279" s="61" t="e">
        <f>VLOOKUP(K1279,[1]Mapping!$J$3:$Q$351,8,FALSE)</f>
        <v>#N/A</v>
      </c>
      <c r="M1279" t="s">
        <v>83</v>
      </c>
    </row>
    <row r="1280" spans="5:13" hidden="1" x14ac:dyDescent="0.35">
      <c r="E1280" s="81"/>
      <c r="H1280" s="82"/>
      <c r="I1280" s="83" t="e">
        <f>VLOOKUP(E1280,[1]Mapping!$A$3:$B$14,2,FALSE)</f>
        <v>#N/A</v>
      </c>
      <c r="J1280" s="84">
        <f t="shared" si="40"/>
        <v>0</v>
      </c>
      <c r="K1280" s="84">
        <f t="shared" si="41"/>
        <v>0</v>
      </c>
      <c r="L1280" s="61" t="e">
        <f>VLOOKUP(K1280,[1]Mapping!$J$3:$Q$351,8,FALSE)</f>
        <v>#N/A</v>
      </c>
      <c r="M1280" t="s">
        <v>83</v>
      </c>
    </row>
    <row r="1281" spans="5:13" hidden="1" x14ac:dyDescent="0.35">
      <c r="E1281" s="81"/>
      <c r="H1281" s="82"/>
      <c r="I1281" s="83" t="e">
        <f>VLOOKUP(E1281,[1]Mapping!$A$3:$B$14,2,FALSE)</f>
        <v>#N/A</v>
      </c>
      <c r="J1281" s="84">
        <f t="shared" si="40"/>
        <v>0</v>
      </c>
      <c r="K1281" s="84">
        <f t="shared" si="41"/>
        <v>0</v>
      </c>
      <c r="L1281" s="61" t="e">
        <f>VLOOKUP(K1281,[1]Mapping!$J$3:$Q$351,8,FALSE)</f>
        <v>#N/A</v>
      </c>
      <c r="M1281" t="s">
        <v>83</v>
      </c>
    </row>
    <row r="1282" spans="5:13" hidden="1" x14ac:dyDescent="0.35">
      <c r="E1282" s="81"/>
      <c r="H1282" s="82"/>
      <c r="I1282" s="83" t="e">
        <f>VLOOKUP(E1282,[1]Mapping!$A$3:$B$14,2,FALSE)</f>
        <v>#N/A</v>
      </c>
      <c r="J1282" s="84">
        <f t="shared" si="40"/>
        <v>0</v>
      </c>
      <c r="K1282" s="84">
        <f t="shared" si="41"/>
        <v>0</v>
      </c>
      <c r="L1282" s="61" t="e">
        <f>VLOOKUP(K1282,[1]Mapping!$J$3:$Q$351,8,FALSE)</f>
        <v>#N/A</v>
      </c>
      <c r="M1282" t="s">
        <v>83</v>
      </c>
    </row>
    <row r="1283" spans="5:13" hidden="1" x14ac:dyDescent="0.35">
      <c r="E1283" s="81"/>
      <c r="H1283" s="82"/>
      <c r="I1283" s="83" t="e">
        <f>VLOOKUP(E1283,[1]Mapping!$A$3:$B$14,2,FALSE)</f>
        <v>#N/A</v>
      </c>
      <c r="J1283" s="84">
        <f t="shared" si="40"/>
        <v>0</v>
      </c>
      <c r="K1283" s="84">
        <f t="shared" si="41"/>
        <v>0</v>
      </c>
      <c r="L1283" s="61" t="e">
        <f>VLOOKUP(K1283,[1]Mapping!$J$3:$Q$351,8,FALSE)</f>
        <v>#N/A</v>
      </c>
      <c r="M1283" t="s">
        <v>83</v>
      </c>
    </row>
    <row r="1284" spans="5:13" hidden="1" x14ac:dyDescent="0.35">
      <c r="E1284" s="81"/>
      <c r="H1284" s="82"/>
      <c r="I1284" s="83" t="e">
        <f>VLOOKUP(E1284,[1]Mapping!$A$3:$B$14,2,FALSE)</f>
        <v>#N/A</v>
      </c>
      <c r="J1284" s="84">
        <f t="shared" ref="J1284:J1347" si="42">VALUE(A1284)</f>
        <v>0</v>
      </c>
      <c r="K1284" s="84">
        <f t="shared" ref="K1284:K1347" si="43">VALUE(C1284)</f>
        <v>0</v>
      </c>
      <c r="L1284" s="61" t="e">
        <f>VLOOKUP(K1284,[1]Mapping!$J$3:$Q$351,8,FALSE)</f>
        <v>#N/A</v>
      </c>
      <c r="M1284" t="s">
        <v>83</v>
      </c>
    </row>
    <row r="1285" spans="5:13" hidden="1" x14ac:dyDescent="0.35">
      <c r="E1285" s="81"/>
      <c r="H1285" s="82"/>
      <c r="I1285" s="83" t="e">
        <f>VLOOKUP(E1285,[1]Mapping!$A$3:$B$14,2,FALSE)</f>
        <v>#N/A</v>
      </c>
      <c r="J1285" s="84">
        <f t="shared" si="42"/>
        <v>0</v>
      </c>
      <c r="K1285" s="84">
        <f t="shared" si="43"/>
        <v>0</v>
      </c>
      <c r="L1285" s="61" t="e">
        <f>VLOOKUP(K1285,[1]Mapping!$J$3:$Q$351,8,FALSE)</f>
        <v>#N/A</v>
      </c>
      <c r="M1285" t="s">
        <v>83</v>
      </c>
    </row>
    <row r="1286" spans="5:13" hidden="1" x14ac:dyDescent="0.35">
      <c r="E1286" s="81"/>
      <c r="H1286" s="82"/>
      <c r="I1286" s="83" t="e">
        <f>VLOOKUP(E1286,[1]Mapping!$A$3:$B$14,2,FALSE)</f>
        <v>#N/A</v>
      </c>
      <c r="J1286" s="84">
        <f t="shared" si="42"/>
        <v>0</v>
      </c>
      <c r="K1286" s="84">
        <f t="shared" si="43"/>
        <v>0</v>
      </c>
      <c r="L1286" s="61" t="e">
        <f>VLOOKUP(K1286,[1]Mapping!$J$3:$Q$351,8,FALSE)</f>
        <v>#N/A</v>
      </c>
      <c r="M1286" t="s">
        <v>83</v>
      </c>
    </row>
    <row r="1287" spans="5:13" hidden="1" x14ac:dyDescent="0.35">
      <c r="E1287" s="81"/>
      <c r="H1287" s="82"/>
      <c r="I1287" s="83" t="e">
        <f>VLOOKUP(E1287,[1]Mapping!$A$3:$B$14,2,FALSE)</f>
        <v>#N/A</v>
      </c>
      <c r="J1287" s="84">
        <f t="shared" si="42"/>
        <v>0</v>
      </c>
      <c r="K1287" s="84">
        <f t="shared" si="43"/>
        <v>0</v>
      </c>
      <c r="L1287" s="61" t="e">
        <f>VLOOKUP(K1287,[1]Mapping!$J$3:$Q$351,8,FALSE)</f>
        <v>#N/A</v>
      </c>
      <c r="M1287" t="s">
        <v>83</v>
      </c>
    </row>
    <row r="1288" spans="5:13" hidden="1" x14ac:dyDescent="0.35">
      <c r="E1288" s="81"/>
      <c r="H1288" s="82"/>
      <c r="I1288" s="83" t="e">
        <f>VLOOKUP(E1288,[1]Mapping!$A$3:$B$14,2,FALSE)</f>
        <v>#N/A</v>
      </c>
      <c r="J1288" s="84">
        <f t="shared" si="42"/>
        <v>0</v>
      </c>
      <c r="K1288" s="84">
        <f t="shared" si="43"/>
        <v>0</v>
      </c>
      <c r="L1288" s="61" t="e">
        <f>VLOOKUP(K1288,[1]Mapping!$J$3:$Q$351,8,FALSE)</f>
        <v>#N/A</v>
      </c>
      <c r="M1288" t="s">
        <v>83</v>
      </c>
    </row>
    <row r="1289" spans="5:13" hidden="1" x14ac:dyDescent="0.35">
      <c r="E1289" s="81"/>
      <c r="H1289" s="82"/>
      <c r="I1289" s="83" t="e">
        <f>VLOOKUP(E1289,[1]Mapping!$A$3:$B$14,2,FALSE)</f>
        <v>#N/A</v>
      </c>
      <c r="J1289" s="84">
        <f t="shared" si="42"/>
        <v>0</v>
      </c>
      <c r="K1289" s="84">
        <f t="shared" si="43"/>
        <v>0</v>
      </c>
      <c r="L1289" s="61" t="e">
        <f>VLOOKUP(K1289,[1]Mapping!$J$3:$Q$351,8,FALSE)</f>
        <v>#N/A</v>
      </c>
      <c r="M1289" t="s">
        <v>83</v>
      </c>
    </row>
    <row r="1290" spans="5:13" hidden="1" x14ac:dyDescent="0.35">
      <c r="E1290" s="81"/>
      <c r="H1290" s="82"/>
      <c r="I1290" s="83" t="e">
        <f>VLOOKUP(E1290,[1]Mapping!$A$3:$B$14,2,FALSE)</f>
        <v>#N/A</v>
      </c>
      <c r="J1290" s="84">
        <f t="shared" si="42"/>
        <v>0</v>
      </c>
      <c r="K1290" s="84">
        <f t="shared" si="43"/>
        <v>0</v>
      </c>
      <c r="L1290" s="61" t="e">
        <f>VLOOKUP(K1290,[1]Mapping!$J$3:$Q$351,8,FALSE)</f>
        <v>#N/A</v>
      </c>
      <c r="M1290" t="s">
        <v>83</v>
      </c>
    </row>
    <row r="1291" spans="5:13" hidden="1" x14ac:dyDescent="0.35">
      <c r="E1291" s="81"/>
      <c r="H1291" s="82"/>
      <c r="I1291" s="83" t="e">
        <f>VLOOKUP(E1291,[1]Mapping!$A$3:$B$14,2,FALSE)</f>
        <v>#N/A</v>
      </c>
      <c r="J1291" s="84">
        <f t="shared" si="42"/>
        <v>0</v>
      </c>
      <c r="K1291" s="84">
        <f t="shared" si="43"/>
        <v>0</v>
      </c>
      <c r="L1291" s="61" t="e">
        <f>VLOOKUP(K1291,[1]Mapping!$J$3:$Q$351,8,FALSE)</f>
        <v>#N/A</v>
      </c>
      <c r="M1291" t="s">
        <v>83</v>
      </c>
    </row>
    <row r="1292" spans="5:13" hidden="1" x14ac:dyDescent="0.35">
      <c r="E1292" s="81"/>
      <c r="H1292" s="82"/>
      <c r="I1292" s="83" t="e">
        <f>VLOOKUP(E1292,[1]Mapping!$A$3:$B$14,2,FALSE)</f>
        <v>#N/A</v>
      </c>
      <c r="J1292" s="84">
        <f t="shared" si="42"/>
        <v>0</v>
      </c>
      <c r="K1292" s="84">
        <f t="shared" si="43"/>
        <v>0</v>
      </c>
      <c r="L1292" s="61" t="e">
        <f>VLOOKUP(K1292,[1]Mapping!$J$3:$Q$351,8,FALSE)</f>
        <v>#N/A</v>
      </c>
      <c r="M1292" t="s">
        <v>83</v>
      </c>
    </row>
    <row r="1293" spans="5:13" hidden="1" x14ac:dyDescent="0.35">
      <c r="E1293" s="81"/>
      <c r="H1293" s="82"/>
      <c r="I1293" s="83" t="e">
        <f>VLOOKUP(E1293,[1]Mapping!$A$3:$B$14,2,FALSE)</f>
        <v>#N/A</v>
      </c>
      <c r="J1293" s="84">
        <f t="shared" si="42"/>
        <v>0</v>
      </c>
      <c r="K1293" s="84">
        <f t="shared" si="43"/>
        <v>0</v>
      </c>
      <c r="L1293" s="61" t="e">
        <f>VLOOKUP(K1293,[1]Mapping!$J$3:$Q$351,8,FALSE)</f>
        <v>#N/A</v>
      </c>
      <c r="M1293" t="s">
        <v>83</v>
      </c>
    </row>
    <row r="1294" spans="5:13" hidden="1" x14ac:dyDescent="0.35">
      <c r="E1294" s="81"/>
      <c r="H1294" s="82"/>
      <c r="I1294" s="83" t="e">
        <f>VLOOKUP(E1294,[1]Mapping!$A$3:$B$14,2,FALSE)</f>
        <v>#N/A</v>
      </c>
      <c r="J1294" s="84">
        <f t="shared" si="42"/>
        <v>0</v>
      </c>
      <c r="K1294" s="84">
        <f t="shared" si="43"/>
        <v>0</v>
      </c>
      <c r="L1294" s="61" t="e">
        <f>VLOOKUP(K1294,[1]Mapping!$J$3:$Q$351,8,FALSE)</f>
        <v>#N/A</v>
      </c>
      <c r="M1294" t="s">
        <v>83</v>
      </c>
    </row>
    <row r="1295" spans="5:13" hidden="1" x14ac:dyDescent="0.35">
      <c r="E1295" s="81"/>
      <c r="H1295" s="82"/>
      <c r="I1295" s="83" t="e">
        <f>VLOOKUP(E1295,[1]Mapping!$A$3:$B$14,2,FALSE)</f>
        <v>#N/A</v>
      </c>
      <c r="J1295" s="84">
        <f t="shared" si="42"/>
        <v>0</v>
      </c>
      <c r="K1295" s="84">
        <f t="shared" si="43"/>
        <v>0</v>
      </c>
      <c r="L1295" s="61" t="e">
        <f>VLOOKUP(K1295,[1]Mapping!$J$3:$Q$351,8,FALSE)</f>
        <v>#N/A</v>
      </c>
      <c r="M1295" t="s">
        <v>83</v>
      </c>
    </row>
    <row r="1296" spans="5:13" hidden="1" x14ac:dyDescent="0.35">
      <c r="E1296" s="81"/>
      <c r="H1296" s="82"/>
      <c r="I1296" s="83" t="e">
        <f>VLOOKUP(E1296,[1]Mapping!$A$3:$B$14,2,FALSE)</f>
        <v>#N/A</v>
      </c>
      <c r="J1296" s="84">
        <f t="shared" si="42"/>
        <v>0</v>
      </c>
      <c r="K1296" s="84">
        <f t="shared" si="43"/>
        <v>0</v>
      </c>
      <c r="L1296" s="61" t="e">
        <f>VLOOKUP(K1296,[1]Mapping!$J$3:$Q$351,8,FALSE)</f>
        <v>#N/A</v>
      </c>
      <c r="M1296" t="s">
        <v>83</v>
      </c>
    </row>
    <row r="1297" spans="5:13" hidden="1" x14ac:dyDescent="0.35">
      <c r="E1297" s="81"/>
      <c r="H1297" s="82"/>
      <c r="I1297" s="83" t="e">
        <f>VLOOKUP(E1297,[1]Mapping!$A$3:$B$14,2,FALSE)</f>
        <v>#N/A</v>
      </c>
      <c r="J1297" s="84">
        <f t="shared" si="42"/>
        <v>0</v>
      </c>
      <c r="K1297" s="84">
        <f t="shared" si="43"/>
        <v>0</v>
      </c>
      <c r="L1297" s="61" t="e">
        <f>VLOOKUP(K1297,[1]Mapping!$J$3:$Q$351,8,FALSE)</f>
        <v>#N/A</v>
      </c>
      <c r="M1297" t="s">
        <v>83</v>
      </c>
    </row>
    <row r="1298" spans="5:13" hidden="1" x14ac:dyDescent="0.35">
      <c r="E1298" s="81"/>
      <c r="H1298" s="82"/>
      <c r="I1298" s="83" t="e">
        <f>VLOOKUP(E1298,[1]Mapping!$A$3:$B$14,2,FALSE)</f>
        <v>#N/A</v>
      </c>
      <c r="J1298" s="84">
        <f t="shared" si="42"/>
        <v>0</v>
      </c>
      <c r="K1298" s="84">
        <f t="shared" si="43"/>
        <v>0</v>
      </c>
      <c r="L1298" s="61" t="e">
        <f>VLOOKUP(K1298,[1]Mapping!$J$3:$Q$351,8,FALSE)</f>
        <v>#N/A</v>
      </c>
      <c r="M1298" t="s">
        <v>83</v>
      </c>
    </row>
    <row r="1299" spans="5:13" hidden="1" x14ac:dyDescent="0.35">
      <c r="E1299" s="81"/>
      <c r="H1299" s="82"/>
      <c r="I1299" s="83" t="e">
        <f>VLOOKUP(E1299,[1]Mapping!$A$3:$B$14,2,FALSE)</f>
        <v>#N/A</v>
      </c>
      <c r="J1299" s="84">
        <f t="shared" si="42"/>
        <v>0</v>
      </c>
      <c r="K1299" s="84">
        <f t="shared" si="43"/>
        <v>0</v>
      </c>
      <c r="L1299" s="61" t="e">
        <f>VLOOKUP(K1299,[1]Mapping!$J$3:$Q$351,8,FALSE)</f>
        <v>#N/A</v>
      </c>
      <c r="M1299" t="s">
        <v>83</v>
      </c>
    </row>
    <row r="1300" spans="5:13" hidden="1" x14ac:dyDescent="0.35">
      <c r="E1300" s="81"/>
      <c r="H1300" s="82"/>
      <c r="I1300" s="83" t="e">
        <f>VLOOKUP(E1300,[1]Mapping!$A$3:$B$14,2,FALSE)</f>
        <v>#N/A</v>
      </c>
      <c r="J1300" s="84">
        <f t="shared" si="42"/>
        <v>0</v>
      </c>
      <c r="K1300" s="84">
        <f t="shared" si="43"/>
        <v>0</v>
      </c>
      <c r="L1300" s="61" t="e">
        <f>VLOOKUP(K1300,[1]Mapping!$J$3:$Q$351,8,FALSE)</f>
        <v>#N/A</v>
      </c>
      <c r="M1300" t="s">
        <v>83</v>
      </c>
    </row>
    <row r="1301" spans="5:13" hidden="1" x14ac:dyDescent="0.35">
      <c r="E1301" s="81"/>
      <c r="H1301" s="82"/>
      <c r="I1301" s="83" t="e">
        <f>VLOOKUP(E1301,[1]Mapping!$A$3:$B$14,2,FALSE)</f>
        <v>#N/A</v>
      </c>
      <c r="J1301" s="84">
        <f t="shared" si="42"/>
        <v>0</v>
      </c>
      <c r="K1301" s="84">
        <f t="shared" si="43"/>
        <v>0</v>
      </c>
      <c r="L1301" s="61" t="e">
        <f>VLOOKUP(K1301,[1]Mapping!$J$3:$Q$351,8,FALSE)</f>
        <v>#N/A</v>
      </c>
      <c r="M1301" t="s">
        <v>83</v>
      </c>
    </row>
    <row r="1302" spans="5:13" hidden="1" x14ac:dyDescent="0.35">
      <c r="E1302" s="81"/>
      <c r="H1302" s="82"/>
      <c r="I1302" s="83" t="e">
        <f>VLOOKUP(E1302,[1]Mapping!$A$3:$B$14,2,FALSE)</f>
        <v>#N/A</v>
      </c>
      <c r="J1302" s="84">
        <f t="shared" si="42"/>
        <v>0</v>
      </c>
      <c r="K1302" s="84">
        <f t="shared" si="43"/>
        <v>0</v>
      </c>
      <c r="L1302" s="61" t="e">
        <f>VLOOKUP(K1302,[1]Mapping!$J$3:$Q$351,8,FALSE)</f>
        <v>#N/A</v>
      </c>
      <c r="M1302" t="s">
        <v>83</v>
      </c>
    </row>
    <row r="1303" spans="5:13" hidden="1" x14ac:dyDescent="0.35">
      <c r="E1303" s="81"/>
      <c r="H1303" s="82"/>
      <c r="I1303" s="83" t="e">
        <f>VLOOKUP(E1303,[1]Mapping!$A$3:$B$14,2,FALSE)</f>
        <v>#N/A</v>
      </c>
      <c r="J1303" s="84">
        <f t="shared" si="42"/>
        <v>0</v>
      </c>
      <c r="K1303" s="84">
        <f t="shared" si="43"/>
        <v>0</v>
      </c>
      <c r="L1303" s="61" t="e">
        <f>VLOOKUP(K1303,[1]Mapping!$J$3:$Q$351,8,FALSE)</f>
        <v>#N/A</v>
      </c>
      <c r="M1303" t="s">
        <v>83</v>
      </c>
    </row>
    <row r="1304" spans="5:13" hidden="1" x14ac:dyDescent="0.35">
      <c r="E1304" s="81"/>
      <c r="H1304" s="82"/>
      <c r="I1304" s="83" t="e">
        <f>VLOOKUP(E1304,[1]Mapping!$A$3:$B$14,2,FALSE)</f>
        <v>#N/A</v>
      </c>
      <c r="J1304" s="84">
        <f t="shared" si="42"/>
        <v>0</v>
      </c>
      <c r="K1304" s="84">
        <f t="shared" si="43"/>
        <v>0</v>
      </c>
      <c r="L1304" s="61" t="e">
        <f>VLOOKUP(K1304,[1]Mapping!$J$3:$Q$351,8,FALSE)</f>
        <v>#N/A</v>
      </c>
      <c r="M1304" t="s">
        <v>83</v>
      </c>
    </row>
    <row r="1305" spans="5:13" hidden="1" x14ac:dyDescent="0.35">
      <c r="E1305" s="81"/>
      <c r="H1305" s="82"/>
      <c r="I1305" s="83" t="e">
        <f>VLOOKUP(E1305,[1]Mapping!$A$3:$B$14,2,FALSE)</f>
        <v>#N/A</v>
      </c>
      <c r="J1305" s="84">
        <f t="shared" si="42"/>
        <v>0</v>
      </c>
      <c r="K1305" s="84">
        <f t="shared" si="43"/>
        <v>0</v>
      </c>
      <c r="L1305" s="61" t="e">
        <f>VLOOKUP(K1305,[1]Mapping!$J$3:$Q$351,8,FALSE)</f>
        <v>#N/A</v>
      </c>
      <c r="M1305" t="s">
        <v>83</v>
      </c>
    </row>
    <row r="1306" spans="5:13" hidden="1" x14ac:dyDescent="0.35">
      <c r="E1306" s="81"/>
      <c r="H1306" s="82"/>
      <c r="I1306" s="83" t="e">
        <f>VLOOKUP(E1306,[1]Mapping!$A$3:$B$14,2,FALSE)</f>
        <v>#N/A</v>
      </c>
      <c r="J1306" s="84">
        <f t="shared" si="42"/>
        <v>0</v>
      </c>
      <c r="K1306" s="84">
        <f t="shared" si="43"/>
        <v>0</v>
      </c>
      <c r="L1306" s="61" t="e">
        <f>VLOOKUP(K1306,[1]Mapping!$J$3:$Q$351,8,FALSE)</f>
        <v>#N/A</v>
      </c>
      <c r="M1306" t="s">
        <v>83</v>
      </c>
    </row>
    <row r="1307" spans="5:13" hidden="1" x14ac:dyDescent="0.35">
      <c r="E1307" s="81"/>
      <c r="H1307" s="82"/>
      <c r="I1307" s="83" t="e">
        <f>VLOOKUP(E1307,[1]Mapping!$A$3:$B$14,2,FALSE)</f>
        <v>#N/A</v>
      </c>
      <c r="J1307" s="84">
        <f t="shared" si="42"/>
        <v>0</v>
      </c>
      <c r="K1307" s="84">
        <f t="shared" si="43"/>
        <v>0</v>
      </c>
      <c r="L1307" s="61" t="e">
        <f>VLOOKUP(K1307,[1]Mapping!$J$3:$Q$351,8,FALSE)</f>
        <v>#N/A</v>
      </c>
      <c r="M1307" t="s">
        <v>83</v>
      </c>
    </row>
    <row r="1308" spans="5:13" hidden="1" x14ac:dyDescent="0.35">
      <c r="E1308" s="81"/>
      <c r="H1308" s="82"/>
      <c r="I1308" s="83" t="e">
        <f>VLOOKUP(E1308,[1]Mapping!$A$3:$B$14,2,FALSE)</f>
        <v>#N/A</v>
      </c>
      <c r="J1308" s="84">
        <f t="shared" si="42"/>
        <v>0</v>
      </c>
      <c r="K1308" s="84">
        <f t="shared" si="43"/>
        <v>0</v>
      </c>
      <c r="L1308" s="61" t="e">
        <f>VLOOKUP(K1308,[1]Mapping!$J$3:$Q$351,8,FALSE)</f>
        <v>#N/A</v>
      </c>
      <c r="M1308" t="s">
        <v>83</v>
      </c>
    </row>
    <row r="1309" spans="5:13" hidden="1" x14ac:dyDescent="0.35">
      <c r="E1309" s="81"/>
      <c r="H1309" s="82"/>
      <c r="I1309" s="83" t="e">
        <f>VLOOKUP(E1309,[1]Mapping!$A$3:$B$14,2,FALSE)</f>
        <v>#N/A</v>
      </c>
      <c r="J1309" s="84">
        <f t="shared" si="42"/>
        <v>0</v>
      </c>
      <c r="K1309" s="84">
        <f t="shared" si="43"/>
        <v>0</v>
      </c>
      <c r="L1309" s="61" t="e">
        <f>VLOOKUP(K1309,[1]Mapping!$J$3:$Q$351,8,FALSE)</f>
        <v>#N/A</v>
      </c>
      <c r="M1309" t="s">
        <v>83</v>
      </c>
    </row>
    <row r="1310" spans="5:13" hidden="1" x14ac:dyDescent="0.35">
      <c r="E1310" s="81"/>
      <c r="H1310" s="82"/>
      <c r="I1310" s="83" t="e">
        <f>VLOOKUP(E1310,[1]Mapping!$A$3:$B$14,2,FALSE)</f>
        <v>#N/A</v>
      </c>
      <c r="J1310" s="84">
        <f t="shared" si="42"/>
        <v>0</v>
      </c>
      <c r="K1310" s="84">
        <f t="shared" si="43"/>
        <v>0</v>
      </c>
      <c r="L1310" s="61" t="e">
        <f>VLOOKUP(K1310,[1]Mapping!$J$3:$Q$351,8,FALSE)</f>
        <v>#N/A</v>
      </c>
      <c r="M1310" t="s">
        <v>83</v>
      </c>
    </row>
    <row r="1311" spans="5:13" hidden="1" x14ac:dyDescent="0.35">
      <c r="E1311" s="81"/>
      <c r="H1311" s="82"/>
      <c r="I1311" s="83" t="e">
        <f>VLOOKUP(E1311,[1]Mapping!$A$3:$B$14,2,FALSE)</f>
        <v>#N/A</v>
      </c>
      <c r="J1311" s="84">
        <f t="shared" si="42"/>
        <v>0</v>
      </c>
      <c r="K1311" s="84">
        <f t="shared" si="43"/>
        <v>0</v>
      </c>
      <c r="L1311" s="61" t="e">
        <f>VLOOKUP(K1311,[1]Mapping!$J$3:$Q$351,8,FALSE)</f>
        <v>#N/A</v>
      </c>
      <c r="M1311" t="s">
        <v>83</v>
      </c>
    </row>
    <row r="1312" spans="5:13" hidden="1" x14ac:dyDescent="0.35">
      <c r="E1312" s="81"/>
      <c r="H1312" s="82"/>
      <c r="I1312" s="83" t="e">
        <f>VLOOKUP(E1312,[1]Mapping!$A$3:$B$14,2,FALSE)</f>
        <v>#N/A</v>
      </c>
      <c r="J1312" s="84">
        <f t="shared" si="42"/>
        <v>0</v>
      </c>
      <c r="K1312" s="84">
        <f t="shared" si="43"/>
        <v>0</v>
      </c>
      <c r="L1312" s="61" t="e">
        <f>VLOOKUP(K1312,[1]Mapping!$J$3:$Q$351,8,FALSE)</f>
        <v>#N/A</v>
      </c>
      <c r="M1312" t="s">
        <v>83</v>
      </c>
    </row>
    <row r="1313" spans="5:13" hidden="1" x14ac:dyDescent="0.35">
      <c r="E1313" s="81"/>
      <c r="H1313" s="82"/>
      <c r="I1313" s="83" t="e">
        <f>VLOOKUP(E1313,[1]Mapping!$A$3:$B$14,2,FALSE)</f>
        <v>#N/A</v>
      </c>
      <c r="J1313" s="84">
        <f t="shared" si="42"/>
        <v>0</v>
      </c>
      <c r="K1313" s="84">
        <f t="shared" si="43"/>
        <v>0</v>
      </c>
      <c r="L1313" s="61" t="e">
        <f>VLOOKUP(K1313,[1]Mapping!$J$3:$Q$351,8,FALSE)</f>
        <v>#N/A</v>
      </c>
      <c r="M1313" t="s">
        <v>83</v>
      </c>
    </row>
    <row r="1314" spans="5:13" hidden="1" x14ac:dyDescent="0.35">
      <c r="E1314" s="81"/>
      <c r="H1314" s="82"/>
      <c r="I1314" s="83" t="e">
        <f>VLOOKUP(E1314,[1]Mapping!$A$3:$B$14,2,FALSE)</f>
        <v>#N/A</v>
      </c>
      <c r="J1314" s="84">
        <f t="shared" si="42"/>
        <v>0</v>
      </c>
      <c r="K1314" s="84">
        <f t="shared" si="43"/>
        <v>0</v>
      </c>
      <c r="L1314" s="61" t="e">
        <f>VLOOKUP(K1314,[1]Mapping!$J$3:$Q$351,8,FALSE)</f>
        <v>#N/A</v>
      </c>
      <c r="M1314" t="s">
        <v>83</v>
      </c>
    </row>
    <row r="1315" spans="5:13" hidden="1" x14ac:dyDescent="0.35">
      <c r="E1315" s="81"/>
      <c r="H1315" s="82"/>
      <c r="I1315" s="83" t="e">
        <f>VLOOKUP(E1315,[1]Mapping!$A$3:$B$14,2,FALSE)</f>
        <v>#N/A</v>
      </c>
      <c r="J1315" s="84">
        <f t="shared" si="42"/>
        <v>0</v>
      </c>
      <c r="K1315" s="84">
        <f t="shared" si="43"/>
        <v>0</v>
      </c>
      <c r="L1315" s="61" t="e">
        <f>VLOOKUP(K1315,[1]Mapping!$J$3:$Q$351,8,FALSE)</f>
        <v>#N/A</v>
      </c>
      <c r="M1315" t="s">
        <v>83</v>
      </c>
    </row>
    <row r="1316" spans="5:13" hidden="1" x14ac:dyDescent="0.35">
      <c r="E1316" s="81"/>
      <c r="H1316" s="82"/>
      <c r="I1316" s="83" t="e">
        <f>VLOOKUP(E1316,[1]Mapping!$A$3:$B$14,2,FALSE)</f>
        <v>#N/A</v>
      </c>
      <c r="J1316" s="84">
        <f t="shared" si="42"/>
        <v>0</v>
      </c>
      <c r="K1316" s="84">
        <f t="shared" si="43"/>
        <v>0</v>
      </c>
      <c r="L1316" s="61" t="e">
        <f>VLOOKUP(K1316,[1]Mapping!$J$3:$Q$351,8,FALSE)</f>
        <v>#N/A</v>
      </c>
      <c r="M1316" t="s">
        <v>83</v>
      </c>
    </row>
    <row r="1317" spans="5:13" hidden="1" x14ac:dyDescent="0.35">
      <c r="E1317" s="81"/>
      <c r="H1317" s="82"/>
      <c r="I1317" s="83" t="e">
        <f>VLOOKUP(E1317,[1]Mapping!$A$3:$B$14,2,FALSE)</f>
        <v>#N/A</v>
      </c>
      <c r="J1317" s="84">
        <f t="shared" si="42"/>
        <v>0</v>
      </c>
      <c r="K1317" s="84">
        <f t="shared" si="43"/>
        <v>0</v>
      </c>
      <c r="L1317" s="61" t="e">
        <f>VLOOKUP(K1317,[1]Mapping!$J$3:$Q$351,8,FALSE)</f>
        <v>#N/A</v>
      </c>
      <c r="M1317" t="s">
        <v>83</v>
      </c>
    </row>
    <row r="1318" spans="5:13" hidden="1" x14ac:dyDescent="0.35">
      <c r="E1318" s="81"/>
      <c r="H1318" s="82"/>
      <c r="I1318" s="83" t="e">
        <f>VLOOKUP(E1318,[1]Mapping!$A$3:$B$14,2,FALSE)</f>
        <v>#N/A</v>
      </c>
      <c r="J1318" s="84">
        <f t="shared" si="42"/>
        <v>0</v>
      </c>
      <c r="K1318" s="84">
        <f t="shared" si="43"/>
        <v>0</v>
      </c>
      <c r="L1318" s="61" t="e">
        <f>VLOOKUP(K1318,[1]Mapping!$J$3:$Q$351,8,FALSE)</f>
        <v>#N/A</v>
      </c>
      <c r="M1318" t="s">
        <v>83</v>
      </c>
    </row>
    <row r="1319" spans="5:13" hidden="1" x14ac:dyDescent="0.35">
      <c r="E1319" s="81"/>
      <c r="H1319" s="82"/>
      <c r="I1319" s="83" t="e">
        <f>VLOOKUP(E1319,[1]Mapping!$A$3:$B$14,2,FALSE)</f>
        <v>#N/A</v>
      </c>
      <c r="J1319" s="84">
        <f t="shared" si="42"/>
        <v>0</v>
      </c>
      <c r="K1319" s="84">
        <f t="shared" si="43"/>
        <v>0</v>
      </c>
      <c r="L1319" s="61" t="e">
        <f>VLOOKUP(K1319,[1]Mapping!$J$3:$Q$351,8,FALSE)</f>
        <v>#N/A</v>
      </c>
      <c r="M1319" t="s">
        <v>83</v>
      </c>
    </row>
    <row r="1320" spans="5:13" hidden="1" x14ac:dyDescent="0.35">
      <c r="E1320" s="81"/>
      <c r="H1320" s="82"/>
      <c r="I1320" s="83" t="e">
        <f>VLOOKUP(E1320,[1]Mapping!$A$3:$B$14,2,FALSE)</f>
        <v>#N/A</v>
      </c>
      <c r="J1320" s="84">
        <f t="shared" si="42"/>
        <v>0</v>
      </c>
      <c r="K1320" s="84">
        <f t="shared" si="43"/>
        <v>0</v>
      </c>
      <c r="L1320" s="61" t="e">
        <f>VLOOKUP(K1320,[1]Mapping!$J$3:$Q$351,8,FALSE)</f>
        <v>#N/A</v>
      </c>
      <c r="M1320" t="s">
        <v>83</v>
      </c>
    </row>
    <row r="1321" spans="5:13" hidden="1" x14ac:dyDescent="0.35">
      <c r="E1321" s="81"/>
      <c r="H1321" s="82"/>
      <c r="I1321" s="83" t="e">
        <f>VLOOKUP(E1321,[1]Mapping!$A$3:$B$14,2,FALSE)</f>
        <v>#N/A</v>
      </c>
      <c r="J1321" s="84">
        <f t="shared" si="42"/>
        <v>0</v>
      </c>
      <c r="K1321" s="84">
        <f t="shared" si="43"/>
        <v>0</v>
      </c>
      <c r="L1321" s="61" t="e">
        <f>VLOOKUP(K1321,[1]Mapping!$J$3:$Q$351,8,FALSE)</f>
        <v>#N/A</v>
      </c>
      <c r="M1321" t="s">
        <v>83</v>
      </c>
    </row>
    <row r="1322" spans="5:13" hidden="1" x14ac:dyDescent="0.35">
      <c r="E1322" s="81"/>
      <c r="H1322" s="82"/>
      <c r="I1322" s="83" t="e">
        <f>VLOOKUP(E1322,[1]Mapping!$A$3:$B$14,2,FALSE)</f>
        <v>#N/A</v>
      </c>
      <c r="J1322" s="84">
        <f t="shared" si="42"/>
        <v>0</v>
      </c>
      <c r="K1322" s="84">
        <f t="shared" si="43"/>
        <v>0</v>
      </c>
      <c r="L1322" s="61" t="e">
        <f>VLOOKUP(K1322,[1]Mapping!$J$3:$Q$351,8,FALSE)</f>
        <v>#N/A</v>
      </c>
      <c r="M1322" t="s">
        <v>83</v>
      </c>
    </row>
    <row r="1323" spans="5:13" hidden="1" x14ac:dyDescent="0.35">
      <c r="E1323" s="81"/>
      <c r="H1323" s="82"/>
      <c r="I1323" s="83" t="e">
        <f>VLOOKUP(E1323,[1]Mapping!$A$3:$B$14,2,FALSE)</f>
        <v>#N/A</v>
      </c>
      <c r="J1323" s="84">
        <f t="shared" si="42"/>
        <v>0</v>
      </c>
      <c r="K1323" s="84">
        <f t="shared" si="43"/>
        <v>0</v>
      </c>
      <c r="L1323" s="61" t="e">
        <f>VLOOKUP(K1323,[1]Mapping!$J$3:$Q$351,8,FALSE)</f>
        <v>#N/A</v>
      </c>
      <c r="M1323" t="s">
        <v>83</v>
      </c>
    </row>
    <row r="1324" spans="5:13" hidden="1" x14ac:dyDescent="0.35">
      <c r="E1324" s="81"/>
      <c r="H1324" s="82"/>
      <c r="I1324" s="83" t="e">
        <f>VLOOKUP(E1324,[1]Mapping!$A$3:$B$14,2,FALSE)</f>
        <v>#N/A</v>
      </c>
      <c r="J1324" s="84">
        <f t="shared" si="42"/>
        <v>0</v>
      </c>
      <c r="K1324" s="84">
        <f t="shared" si="43"/>
        <v>0</v>
      </c>
      <c r="L1324" s="61" t="e">
        <f>VLOOKUP(K1324,[1]Mapping!$J$3:$Q$351,8,FALSE)</f>
        <v>#N/A</v>
      </c>
      <c r="M1324" t="s">
        <v>83</v>
      </c>
    </row>
    <row r="1325" spans="5:13" hidden="1" x14ac:dyDescent="0.35">
      <c r="E1325" s="81"/>
      <c r="H1325" s="82"/>
      <c r="I1325" s="83" t="e">
        <f>VLOOKUP(E1325,[1]Mapping!$A$3:$B$14,2,FALSE)</f>
        <v>#N/A</v>
      </c>
      <c r="J1325" s="84">
        <f t="shared" si="42"/>
        <v>0</v>
      </c>
      <c r="K1325" s="84">
        <f t="shared" si="43"/>
        <v>0</v>
      </c>
      <c r="L1325" s="61" t="e">
        <f>VLOOKUP(K1325,[1]Mapping!$J$3:$Q$351,8,FALSE)</f>
        <v>#N/A</v>
      </c>
      <c r="M1325" t="s">
        <v>83</v>
      </c>
    </row>
    <row r="1326" spans="5:13" hidden="1" x14ac:dyDescent="0.35">
      <c r="E1326" s="81"/>
      <c r="H1326" s="82"/>
      <c r="I1326" s="83" t="e">
        <f>VLOOKUP(E1326,[1]Mapping!$A$3:$B$14,2,FALSE)</f>
        <v>#N/A</v>
      </c>
      <c r="J1326" s="84">
        <f t="shared" si="42"/>
        <v>0</v>
      </c>
      <c r="K1326" s="84">
        <f t="shared" si="43"/>
        <v>0</v>
      </c>
      <c r="L1326" s="61" t="e">
        <f>VLOOKUP(K1326,[1]Mapping!$J$3:$Q$351,8,FALSE)</f>
        <v>#N/A</v>
      </c>
      <c r="M1326" t="s">
        <v>83</v>
      </c>
    </row>
    <row r="1327" spans="5:13" hidden="1" x14ac:dyDescent="0.35">
      <c r="E1327" s="81"/>
      <c r="H1327" s="82"/>
      <c r="I1327" s="83" t="e">
        <f>VLOOKUP(E1327,[1]Mapping!$A$3:$B$14,2,FALSE)</f>
        <v>#N/A</v>
      </c>
      <c r="J1327" s="84">
        <f t="shared" si="42"/>
        <v>0</v>
      </c>
      <c r="K1327" s="84">
        <f t="shared" si="43"/>
        <v>0</v>
      </c>
      <c r="L1327" s="61" t="e">
        <f>VLOOKUP(K1327,[1]Mapping!$J$3:$Q$351,8,FALSE)</f>
        <v>#N/A</v>
      </c>
      <c r="M1327" t="s">
        <v>83</v>
      </c>
    </row>
    <row r="1328" spans="5:13" hidden="1" x14ac:dyDescent="0.35">
      <c r="E1328" s="81"/>
      <c r="H1328" s="82"/>
      <c r="I1328" s="83" t="e">
        <f>VLOOKUP(E1328,[1]Mapping!$A$3:$B$14,2,FALSE)</f>
        <v>#N/A</v>
      </c>
      <c r="J1328" s="84">
        <f t="shared" si="42"/>
        <v>0</v>
      </c>
      <c r="K1328" s="84">
        <f t="shared" si="43"/>
        <v>0</v>
      </c>
      <c r="L1328" s="61" t="e">
        <f>VLOOKUP(K1328,[1]Mapping!$J$3:$Q$351,8,FALSE)</f>
        <v>#N/A</v>
      </c>
      <c r="M1328" t="s">
        <v>83</v>
      </c>
    </row>
    <row r="1329" spans="5:13" hidden="1" x14ac:dyDescent="0.35">
      <c r="E1329" s="81"/>
      <c r="H1329" s="82"/>
      <c r="I1329" s="83" t="e">
        <f>VLOOKUP(E1329,[1]Mapping!$A$3:$B$14,2,FALSE)</f>
        <v>#N/A</v>
      </c>
      <c r="J1329" s="84">
        <f t="shared" si="42"/>
        <v>0</v>
      </c>
      <c r="K1329" s="84">
        <f t="shared" si="43"/>
        <v>0</v>
      </c>
      <c r="L1329" s="61" t="e">
        <f>VLOOKUP(K1329,[1]Mapping!$J$3:$Q$351,8,FALSE)</f>
        <v>#N/A</v>
      </c>
      <c r="M1329" t="s">
        <v>83</v>
      </c>
    </row>
    <row r="1330" spans="5:13" hidden="1" x14ac:dyDescent="0.35">
      <c r="E1330" s="81"/>
      <c r="H1330" s="82"/>
      <c r="I1330" s="83" t="e">
        <f>VLOOKUP(E1330,[1]Mapping!$A$3:$B$14,2,FALSE)</f>
        <v>#N/A</v>
      </c>
      <c r="J1330" s="84">
        <f t="shared" si="42"/>
        <v>0</v>
      </c>
      <c r="K1330" s="84">
        <f t="shared" si="43"/>
        <v>0</v>
      </c>
      <c r="L1330" s="61" t="e">
        <f>VLOOKUP(K1330,[1]Mapping!$J$3:$Q$351,8,FALSE)</f>
        <v>#N/A</v>
      </c>
      <c r="M1330" t="s">
        <v>83</v>
      </c>
    </row>
    <row r="1331" spans="5:13" hidden="1" x14ac:dyDescent="0.35">
      <c r="E1331" s="81"/>
      <c r="H1331" s="82"/>
      <c r="I1331" s="83" t="e">
        <f>VLOOKUP(E1331,[1]Mapping!$A$3:$B$14,2,FALSE)</f>
        <v>#N/A</v>
      </c>
      <c r="J1331" s="84">
        <f t="shared" si="42"/>
        <v>0</v>
      </c>
      <c r="K1331" s="84">
        <f t="shared" si="43"/>
        <v>0</v>
      </c>
      <c r="L1331" s="61" t="e">
        <f>VLOOKUP(K1331,[1]Mapping!$J$3:$Q$351,8,FALSE)</f>
        <v>#N/A</v>
      </c>
      <c r="M1331" t="s">
        <v>83</v>
      </c>
    </row>
    <row r="1332" spans="5:13" hidden="1" x14ac:dyDescent="0.35">
      <c r="E1332" s="81"/>
      <c r="H1332" s="82"/>
      <c r="I1332" s="83" t="e">
        <f>VLOOKUP(E1332,[1]Mapping!$A$3:$B$14,2,FALSE)</f>
        <v>#N/A</v>
      </c>
      <c r="J1332" s="84">
        <f t="shared" si="42"/>
        <v>0</v>
      </c>
      <c r="K1332" s="84">
        <f t="shared" si="43"/>
        <v>0</v>
      </c>
      <c r="L1332" s="61" t="e">
        <f>VLOOKUP(K1332,[1]Mapping!$J$3:$Q$351,8,FALSE)</f>
        <v>#N/A</v>
      </c>
      <c r="M1332" t="s">
        <v>83</v>
      </c>
    </row>
    <row r="1333" spans="5:13" hidden="1" x14ac:dyDescent="0.35">
      <c r="E1333" s="81"/>
      <c r="H1333" s="82"/>
      <c r="I1333" s="83" t="e">
        <f>VLOOKUP(E1333,[1]Mapping!$A$3:$B$14,2,FALSE)</f>
        <v>#N/A</v>
      </c>
      <c r="J1333" s="84">
        <f t="shared" si="42"/>
        <v>0</v>
      </c>
      <c r="K1333" s="84">
        <f t="shared" si="43"/>
        <v>0</v>
      </c>
      <c r="L1333" s="61" t="e">
        <f>VLOOKUP(K1333,[1]Mapping!$J$3:$Q$351,8,FALSE)</f>
        <v>#N/A</v>
      </c>
      <c r="M1333" t="s">
        <v>83</v>
      </c>
    </row>
    <row r="1334" spans="5:13" hidden="1" x14ac:dyDescent="0.35">
      <c r="E1334" s="81"/>
      <c r="H1334" s="82"/>
      <c r="I1334" s="83" t="e">
        <f>VLOOKUP(E1334,[1]Mapping!$A$3:$B$14,2,FALSE)</f>
        <v>#N/A</v>
      </c>
      <c r="J1334" s="84">
        <f t="shared" si="42"/>
        <v>0</v>
      </c>
      <c r="K1334" s="84">
        <f t="shared" si="43"/>
        <v>0</v>
      </c>
      <c r="L1334" s="61" t="e">
        <f>VLOOKUP(K1334,[1]Mapping!$J$3:$Q$351,8,FALSE)</f>
        <v>#N/A</v>
      </c>
      <c r="M1334" t="s">
        <v>83</v>
      </c>
    </row>
    <row r="1335" spans="5:13" hidden="1" x14ac:dyDescent="0.35">
      <c r="E1335" s="81"/>
      <c r="H1335" s="82"/>
      <c r="I1335" s="83" t="e">
        <f>VLOOKUP(E1335,[1]Mapping!$A$3:$B$14,2,FALSE)</f>
        <v>#N/A</v>
      </c>
      <c r="J1335" s="84">
        <f t="shared" si="42"/>
        <v>0</v>
      </c>
      <c r="K1335" s="84">
        <f t="shared" si="43"/>
        <v>0</v>
      </c>
      <c r="L1335" s="61" t="e">
        <f>VLOOKUP(K1335,[1]Mapping!$J$3:$Q$351,8,FALSE)</f>
        <v>#N/A</v>
      </c>
      <c r="M1335" t="s">
        <v>83</v>
      </c>
    </row>
    <row r="1336" spans="5:13" hidden="1" x14ac:dyDescent="0.35">
      <c r="E1336" s="81"/>
      <c r="H1336" s="82"/>
      <c r="I1336" s="83" t="e">
        <f>VLOOKUP(E1336,[1]Mapping!$A$3:$B$14,2,FALSE)</f>
        <v>#N/A</v>
      </c>
      <c r="J1336" s="84">
        <f t="shared" si="42"/>
        <v>0</v>
      </c>
      <c r="K1336" s="84">
        <f t="shared" si="43"/>
        <v>0</v>
      </c>
      <c r="L1336" s="61" t="e">
        <f>VLOOKUP(K1336,[1]Mapping!$J$3:$Q$351,8,FALSE)</f>
        <v>#N/A</v>
      </c>
      <c r="M1336" t="s">
        <v>83</v>
      </c>
    </row>
    <row r="1337" spans="5:13" hidden="1" x14ac:dyDescent="0.35">
      <c r="E1337" s="81"/>
      <c r="H1337" s="82"/>
      <c r="I1337" s="83" t="e">
        <f>VLOOKUP(E1337,[1]Mapping!$A$3:$B$14,2,FALSE)</f>
        <v>#N/A</v>
      </c>
      <c r="J1337" s="84">
        <f t="shared" si="42"/>
        <v>0</v>
      </c>
      <c r="K1337" s="84">
        <f t="shared" si="43"/>
        <v>0</v>
      </c>
      <c r="L1337" s="61" t="e">
        <f>VLOOKUP(K1337,[1]Mapping!$J$3:$Q$351,8,FALSE)</f>
        <v>#N/A</v>
      </c>
      <c r="M1337" t="s">
        <v>83</v>
      </c>
    </row>
    <row r="1338" spans="5:13" hidden="1" x14ac:dyDescent="0.35">
      <c r="E1338" s="81"/>
      <c r="H1338" s="82"/>
      <c r="I1338" s="83" t="e">
        <f>VLOOKUP(E1338,[1]Mapping!$A$3:$B$14,2,FALSE)</f>
        <v>#N/A</v>
      </c>
      <c r="J1338" s="84">
        <f t="shared" si="42"/>
        <v>0</v>
      </c>
      <c r="K1338" s="84">
        <f t="shared" si="43"/>
        <v>0</v>
      </c>
      <c r="L1338" s="61" t="e">
        <f>VLOOKUP(K1338,[1]Mapping!$J$3:$Q$351,8,FALSE)</f>
        <v>#N/A</v>
      </c>
      <c r="M1338" t="s">
        <v>83</v>
      </c>
    </row>
    <row r="1339" spans="5:13" hidden="1" x14ac:dyDescent="0.35">
      <c r="E1339" s="81"/>
      <c r="H1339" s="82"/>
      <c r="I1339" s="83" t="e">
        <f>VLOOKUP(E1339,[1]Mapping!$A$3:$B$14,2,FALSE)</f>
        <v>#N/A</v>
      </c>
      <c r="J1339" s="84">
        <f t="shared" si="42"/>
        <v>0</v>
      </c>
      <c r="K1339" s="84">
        <f t="shared" si="43"/>
        <v>0</v>
      </c>
      <c r="L1339" s="61" t="e">
        <f>VLOOKUP(K1339,[1]Mapping!$J$3:$Q$351,8,FALSE)</f>
        <v>#N/A</v>
      </c>
      <c r="M1339" t="s">
        <v>83</v>
      </c>
    </row>
    <row r="1340" spans="5:13" hidden="1" x14ac:dyDescent="0.35">
      <c r="E1340" s="81"/>
      <c r="H1340" s="82"/>
      <c r="I1340" s="83" t="e">
        <f>VLOOKUP(E1340,[1]Mapping!$A$3:$B$14,2,FALSE)</f>
        <v>#N/A</v>
      </c>
      <c r="J1340" s="84">
        <f t="shared" si="42"/>
        <v>0</v>
      </c>
      <c r="K1340" s="84">
        <f t="shared" si="43"/>
        <v>0</v>
      </c>
      <c r="L1340" s="61" t="e">
        <f>VLOOKUP(K1340,[1]Mapping!$J$3:$Q$351,8,FALSE)</f>
        <v>#N/A</v>
      </c>
      <c r="M1340" t="s">
        <v>83</v>
      </c>
    </row>
    <row r="1341" spans="5:13" hidden="1" x14ac:dyDescent="0.35">
      <c r="E1341" s="81"/>
      <c r="H1341" s="82"/>
      <c r="I1341" s="83" t="e">
        <f>VLOOKUP(E1341,[1]Mapping!$A$3:$B$14,2,FALSE)</f>
        <v>#N/A</v>
      </c>
      <c r="J1341" s="84">
        <f t="shared" si="42"/>
        <v>0</v>
      </c>
      <c r="K1341" s="84">
        <f t="shared" si="43"/>
        <v>0</v>
      </c>
      <c r="L1341" s="61" t="e">
        <f>VLOOKUP(K1341,[1]Mapping!$J$3:$Q$351,8,FALSE)</f>
        <v>#N/A</v>
      </c>
      <c r="M1341" t="s">
        <v>83</v>
      </c>
    </row>
    <row r="1342" spans="5:13" hidden="1" x14ac:dyDescent="0.35">
      <c r="E1342" s="81"/>
      <c r="H1342" s="82"/>
      <c r="I1342" s="83" t="e">
        <f>VLOOKUP(E1342,[1]Mapping!$A$3:$B$14,2,FALSE)</f>
        <v>#N/A</v>
      </c>
      <c r="J1342" s="84">
        <f t="shared" si="42"/>
        <v>0</v>
      </c>
      <c r="K1342" s="84">
        <f t="shared" si="43"/>
        <v>0</v>
      </c>
      <c r="L1342" s="61" t="e">
        <f>VLOOKUP(K1342,[1]Mapping!$J$3:$Q$351,8,FALSE)</f>
        <v>#N/A</v>
      </c>
      <c r="M1342" t="s">
        <v>83</v>
      </c>
    </row>
    <row r="1343" spans="5:13" hidden="1" x14ac:dyDescent="0.35">
      <c r="E1343" s="81"/>
      <c r="H1343" s="82"/>
      <c r="I1343" s="83" t="e">
        <f>VLOOKUP(E1343,[1]Mapping!$A$3:$B$14,2,FALSE)</f>
        <v>#N/A</v>
      </c>
      <c r="J1343" s="84">
        <f t="shared" si="42"/>
        <v>0</v>
      </c>
      <c r="K1343" s="84">
        <f t="shared" si="43"/>
        <v>0</v>
      </c>
      <c r="L1343" s="61" t="e">
        <f>VLOOKUP(K1343,[1]Mapping!$J$3:$Q$351,8,FALSE)</f>
        <v>#N/A</v>
      </c>
      <c r="M1343" t="s">
        <v>83</v>
      </c>
    </row>
    <row r="1344" spans="5:13" hidden="1" x14ac:dyDescent="0.35">
      <c r="E1344" s="81"/>
      <c r="H1344" s="82"/>
      <c r="I1344" s="83" t="e">
        <f>VLOOKUP(E1344,[1]Mapping!$A$3:$B$14,2,FALSE)</f>
        <v>#N/A</v>
      </c>
      <c r="J1344" s="84">
        <f t="shared" si="42"/>
        <v>0</v>
      </c>
      <c r="K1344" s="84">
        <f t="shared" si="43"/>
        <v>0</v>
      </c>
      <c r="L1344" s="61" t="e">
        <f>VLOOKUP(K1344,[1]Mapping!$J$3:$Q$351,8,FALSE)</f>
        <v>#N/A</v>
      </c>
      <c r="M1344" t="s">
        <v>83</v>
      </c>
    </row>
    <row r="1345" spans="5:13" hidden="1" x14ac:dyDescent="0.35">
      <c r="E1345" s="81"/>
      <c r="H1345" s="82"/>
      <c r="I1345" s="83" t="e">
        <f>VLOOKUP(E1345,[1]Mapping!$A$3:$B$14,2,FALSE)</f>
        <v>#N/A</v>
      </c>
      <c r="J1345" s="84">
        <f t="shared" si="42"/>
        <v>0</v>
      </c>
      <c r="K1345" s="84">
        <f t="shared" si="43"/>
        <v>0</v>
      </c>
      <c r="L1345" s="61" t="e">
        <f>VLOOKUP(K1345,[1]Mapping!$J$3:$Q$351,8,FALSE)</f>
        <v>#N/A</v>
      </c>
      <c r="M1345" t="s">
        <v>83</v>
      </c>
    </row>
    <row r="1346" spans="5:13" hidden="1" x14ac:dyDescent="0.35">
      <c r="E1346" s="81"/>
      <c r="H1346" s="82"/>
      <c r="I1346" s="83" t="e">
        <f>VLOOKUP(E1346,[1]Mapping!$A$3:$B$14,2,FALSE)</f>
        <v>#N/A</v>
      </c>
      <c r="J1346" s="84">
        <f t="shared" si="42"/>
        <v>0</v>
      </c>
      <c r="K1346" s="84">
        <f t="shared" si="43"/>
        <v>0</v>
      </c>
      <c r="L1346" s="61" t="e">
        <f>VLOOKUP(K1346,[1]Mapping!$J$3:$Q$351,8,FALSE)</f>
        <v>#N/A</v>
      </c>
      <c r="M1346" t="s">
        <v>83</v>
      </c>
    </row>
    <row r="1347" spans="5:13" hidden="1" x14ac:dyDescent="0.35">
      <c r="E1347" s="81"/>
      <c r="H1347" s="82"/>
      <c r="I1347" s="83" t="e">
        <f>VLOOKUP(E1347,[1]Mapping!$A$3:$B$14,2,FALSE)</f>
        <v>#N/A</v>
      </c>
      <c r="J1347" s="84">
        <f t="shared" si="42"/>
        <v>0</v>
      </c>
      <c r="K1347" s="84">
        <f t="shared" si="43"/>
        <v>0</v>
      </c>
      <c r="L1347" s="61" t="e">
        <f>VLOOKUP(K1347,[1]Mapping!$J$3:$Q$351,8,FALSE)</f>
        <v>#N/A</v>
      </c>
      <c r="M1347" t="s">
        <v>83</v>
      </c>
    </row>
    <row r="1348" spans="5:13" hidden="1" x14ac:dyDescent="0.35">
      <c r="E1348" s="81"/>
      <c r="H1348" s="82"/>
      <c r="I1348" s="83" t="e">
        <f>VLOOKUP(E1348,[1]Mapping!$A$3:$B$14,2,FALSE)</f>
        <v>#N/A</v>
      </c>
      <c r="J1348" s="84">
        <f t="shared" ref="J1348:J1411" si="44">VALUE(A1348)</f>
        <v>0</v>
      </c>
      <c r="K1348" s="84">
        <f t="shared" ref="K1348:K1411" si="45">VALUE(C1348)</f>
        <v>0</v>
      </c>
      <c r="L1348" s="61" t="e">
        <f>VLOOKUP(K1348,[1]Mapping!$J$3:$Q$351,8,FALSE)</f>
        <v>#N/A</v>
      </c>
      <c r="M1348" t="s">
        <v>83</v>
      </c>
    </row>
    <row r="1349" spans="5:13" hidden="1" x14ac:dyDescent="0.35">
      <c r="E1349" s="81"/>
      <c r="H1349" s="82"/>
      <c r="I1349" s="83" t="e">
        <f>VLOOKUP(E1349,[1]Mapping!$A$3:$B$14,2,FALSE)</f>
        <v>#N/A</v>
      </c>
      <c r="J1349" s="84">
        <f t="shared" si="44"/>
        <v>0</v>
      </c>
      <c r="K1349" s="84">
        <f t="shared" si="45"/>
        <v>0</v>
      </c>
      <c r="L1349" s="61" t="e">
        <f>VLOOKUP(K1349,[1]Mapping!$J$3:$Q$351,8,FALSE)</f>
        <v>#N/A</v>
      </c>
      <c r="M1349" t="s">
        <v>83</v>
      </c>
    </row>
    <row r="1350" spans="5:13" hidden="1" x14ac:dyDescent="0.35">
      <c r="E1350" s="81"/>
      <c r="H1350" s="82"/>
      <c r="I1350" s="83" t="e">
        <f>VLOOKUP(E1350,[1]Mapping!$A$3:$B$14,2,FALSE)</f>
        <v>#N/A</v>
      </c>
      <c r="J1350" s="84">
        <f t="shared" si="44"/>
        <v>0</v>
      </c>
      <c r="K1350" s="84">
        <f t="shared" si="45"/>
        <v>0</v>
      </c>
      <c r="L1350" s="61" t="e">
        <f>VLOOKUP(K1350,[1]Mapping!$J$3:$Q$351,8,FALSE)</f>
        <v>#N/A</v>
      </c>
      <c r="M1350" t="s">
        <v>83</v>
      </c>
    </row>
    <row r="1351" spans="5:13" hidden="1" x14ac:dyDescent="0.35">
      <c r="E1351" s="81"/>
      <c r="H1351" s="82"/>
      <c r="I1351" s="83" t="e">
        <f>VLOOKUP(E1351,[1]Mapping!$A$3:$B$14,2,FALSE)</f>
        <v>#N/A</v>
      </c>
      <c r="J1351" s="84">
        <f t="shared" si="44"/>
        <v>0</v>
      </c>
      <c r="K1351" s="84">
        <f t="shared" si="45"/>
        <v>0</v>
      </c>
      <c r="L1351" s="61" t="e">
        <f>VLOOKUP(K1351,[1]Mapping!$J$3:$Q$351,8,FALSE)</f>
        <v>#N/A</v>
      </c>
      <c r="M1351" t="s">
        <v>83</v>
      </c>
    </row>
    <row r="1352" spans="5:13" hidden="1" x14ac:dyDescent="0.35">
      <c r="E1352" s="81"/>
      <c r="H1352" s="82"/>
      <c r="I1352" s="83" t="e">
        <f>VLOOKUP(E1352,[1]Mapping!$A$3:$B$14,2,FALSE)</f>
        <v>#N/A</v>
      </c>
      <c r="J1352" s="84">
        <f t="shared" si="44"/>
        <v>0</v>
      </c>
      <c r="K1352" s="84">
        <f t="shared" si="45"/>
        <v>0</v>
      </c>
      <c r="L1352" s="61" t="e">
        <f>VLOOKUP(K1352,[1]Mapping!$J$3:$Q$351,8,FALSE)</f>
        <v>#N/A</v>
      </c>
      <c r="M1352" t="s">
        <v>83</v>
      </c>
    </row>
    <row r="1353" spans="5:13" hidden="1" x14ac:dyDescent="0.35">
      <c r="E1353" s="81"/>
      <c r="H1353" s="82"/>
      <c r="I1353" s="83" t="e">
        <f>VLOOKUP(E1353,[1]Mapping!$A$3:$B$14,2,FALSE)</f>
        <v>#N/A</v>
      </c>
      <c r="J1353" s="84">
        <f t="shared" si="44"/>
        <v>0</v>
      </c>
      <c r="K1353" s="84">
        <f t="shared" si="45"/>
        <v>0</v>
      </c>
      <c r="L1353" s="61" t="e">
        <f>VLOOKUP(K1353,[1]Mapping!$J$3:$Q$351,8,FALSE)</f>
        <v>#N/A</v>
      </c>
      <c r="M1353" t="s">
        <v>83</v>
      </c>
    </row>
    <row r="1354" spans="5:13" hidden="1" x14ac:dyDescent="0.35">
      <c r="E1354" s="81"/>
      <c r="H1354" s="82"/>
      <c r="I1354" s="83" t="e">
        <f>VLOOKUP(E1354,[1]Mapping!$A$3:$B$14,2,FALSE)</f>
        <v>#N/A</v>
      </c>
      <c r="J1354" s="84">
        <f t="shared" si="44"/>
        <v>0</v>
      </c>
      <c r="K1354" s="84">
        <f t="shared" si="45"/>
        <v>0</v>
      </c>
      <c r="L1354" s="61" t="e">
        <f>VLOOKUP(K1354,[1]Mapping!$J$3:$Q$351,8,FALSE)</f>
        <v>#N/A</v>
      </c>
      <c r="M1354" t="s">
        <v>83</v>
      </c>
    </row>
    <row r="1355" spans="5:13" hidden="1" x14ac:dyDescent="0.35">
      <c r="E1355" s="81"/>
      <c r="H1355" s="82"/>
      <c r="I1355" s="83" t="e">
        <f>VLOOKUP(E1355,[1]Mapping!$A$3:$B$14,2,FALSE)</f>
        <v>#N/A</v>
      </c>
      <c r="J1355" s="84">
        <f t="shared" si="44"/>
        <v>0</v>
      </c>
      <c r="K1355" s="84">
        <f t="shared" si="45"/>
        <v>0</v>
      </c>
      <c r="L1355" s="61" t="e">
        <f>VLOOKUP(K1355,[1]Mapping!$J$3:$Q$351,8,FALSE)</f>
        <v>#N/A</v>
      </c>
      <c r="M1355" t="s">
        <v>83</v>
      </c>
    </row>
    <row r="1356" spans="5:13" hidden="1" x14ac:dyDescent="0.35">
      <c r="E1356" s="81"/>
      <c r="H1356" s="82"/>
      <c r="I1356" s="83" t="e">
        <f>VLOOKUP(E1356,[1]Mapping!$A$3:$B$14,2,FALSE)</f>
        <v>#N/A</v>
      </c>
      <c r="J1356" s="84">
        <f t="shared" si="44"/>
        <v>0</v>
      </c>
      <c r="K1356" s="84">
        <f t="shared" si="45"/>
        <v>0</v>
      </c>
      <c r="L1356" s="61" t="e">
        <f>VLOOKUP(K1356,[1]Mapping!$J$3:$Q$351,8,FALSE)</f>
        <v>#N/A</v>
      </c>
      <c r="M1356" t="s">
        <v>83</v>
      </c>
    </row>
    <row r="1357" spans="5:13" hidden="1" x14ac:dyDescent="0.35">
      <c r="E1357" s="81"/>
      <c r="H1357" s="82"/>
      <c r="I1357" s="83" t="e">
        <f>VLOOKUP(E1357,[1]Mapping!$A$3:$B$14,2,FALSE)</f>
        <v>#N/A</v>
      </c>
      <c r="J1357" s="84">
        <f t="shared" si="44"/>
        <v>0</v>
      </c>
      <c r="K1357" s="84">
        <f t="shared" si="45"/>
        <v>0</v>
      </c>
      <c r="L1357" s="61" t="e">
        <f>VLOOKUP(K1357,[1]Mapping!$J$3:$Q$351,8,FALSE)</f>
        <v>#N/A</v>
      </c>
      <c r="M1357" t="s">
        <v>83</v>
      </c>
    </row>
    <row r="1358" spans="5:13" hidden="1" x14ac:dyDescent="0.35">
      <c r="E1358" s="81"/>
      <c r="H1358" s="82"/>
      <c r="I1358" s="83" t="e">
        <f>VLOOKUP(E1358,[1]Mapping!$A$3:$B$14,2,FALSE)</f>
        <v>#N/A</v>
      </c>
      <c r="J1358" s="84">
        <f t="shared" si="44"/>
        <v>0</v>
      </c>
      <c r="K1358" s="84">
        <f t="shared" si="45"/>
        <v>0</v>
      </c>
      <c r="L1358" s="61" t="e">
        <f>VLOOKUP(K1358,[1]Mapping!$J$3:$Q$351,8,FALSE)</f>
        <v>#N/A</v>
      </c>
      <c r="M1358" t="s">
        <v>83</v>
      </c>
    </row>
    <row r="1359" spans="5:13" hidden="1" x14ac:dyDescent="0.35">
      <c r="E1359" s="81"/>
      <c r="H1359" s="82"/>
      <c r="I1359" s="83" t="e">
        <f>VLOOKUP(E1359,[1]Mapping!$A$3:$B$14,2,FALSE)</f>
        <v>#N/A</v>
      </c>
      <c r="J1359" s="84">
        <f t="shared" si="44"/>
        <v>0</v>
      </c>
      <c r="K1359" s="84">
        <f t="shared" si="45"/>
        <v>0</v>
      </c>
      <c r="L1359" s="61" t="e">
        <f>VLOOKUP(K1359,[1]Mapping!$J$3:$Q$351,8,FALSE)</f>
        <v>#N/A</v>
      </c>
      <c r="M1359" t="s">
        <v>83</v>
      </c>
    </row>
    <row r="1360" spans="5:13" hidden="1" x14ac:dyDescent="0.35">
      <c r="E1360" s="81"/>
      <c r="H1360" s="82"/>
      <c r="I1360" s="83" t="e">
        <f>VLOOKUP(E1360,[1]Mapping!$A$3:$B$14,2,FALSE)</f>
        <v>#N/A</v>
      </c>
      <c r="J1360" s="84">
        <f t="shared" si="44"/>
        <v>0</v>
      </c>
      <c r="K1360" s="84">
        <f t="shared" si="45"/>
        <v>0</v>
      </c>
      <c r="L1360" s="61" t="e">
        <f>VLOOKUP(K1360,[1]Mapping!$J$3:$Q$351,8,FALSE)</f>
        <v>#N/A</v>
      </c>
      <c r="M1360" t="s">
        <v>83</v>
      </c>
    </row>
    <row r="1361" spans="5:13" hidden="1" x14ac:dyDescent="0.35">
      <c r="E1361" s="81"/>
      <c r="H1361" s="82"/>
      <c r="I1361" s="83" t="e">
        <f>VLOOKUP(E1361,[1]Mapping!$A$3:$B$14,2,FALSE)</f>
        <v>#N/A</v>
      </c>
      <c r="J1361" s="84">
        <f t="shared" si="44"/>
        <v>0</v>
      </c>
      <c r="K1361" s="84">
        <f t="shared" si="45"/>
        <v>0</v>
      </c>
      <c r="L1361" s="61" t="e">
        <f>VLOOKUP(K1361,[1]Mapping!$J$3:$Q$351,8,FALSE)</f>
        <v>#N/A</v>
      </c>
      <c r="M1361" t="s">
        <v>83</v>
      </c>
    </row>
    <row r="1362" spans="5:13" hidden="1" x14ac:dyDescent="0.35">
      <c r="E1362" s="81"/>
      <c r="H1362" s="82"/>
      <c r="I1362" s="83" t="e">
        <f>VLOOKUP(E1362,[1]Mapping!$A$3:$B$14,2,FALSE)</f>
        <v>#N/A</v>
      </c>
      <c r="J1362" s="84">
        <f t="shared" si="44"/>
        <v>0</v>
      </c>
      <c r="K1362" s="84">
        <f t="shared" si="45"/>
        <v>0</v>
      </c>
      <c r="L1362" s="61" t="e">
        <f>VLOOKUP(K1362,[1]Mapping!$J$3:$Q$351,8,FALSE)</f>
        <v>#N/A</v>
      </c>
      <c r="M1362" t="s">
        <v>83</v>
      </c>
    </row>
    <row r="1363" spans="5:13" hidden="1" x14ac:dyDescent="0.35">
      <c r="E1363" s="81"/>
      <c r="H1363" s="82"/>
      <c r="I1363" s="83" t="e">
        <f>VLOOKUP(E1363,[1]Mapping!$A$3:$B$14,2,FALSE)</f>
        <v>#N/A</v>
      </c>
      <c r="J1363" s="84">
        <f t="shared" si="44"/>
        <v>0</v>
      </c>
      <c r="K1363" s="84">
        <f t="shared" si="45"/>
        <v>0</v>
      </c>
      <c r="L1363" s="61" t="e">
        <f>VLOOKUP(K1363,[1]Mapping!$J$3:$Q$351,8,FALSE)</f>
        <v>#N/A</v>
      </c>
      <c r="M1363" t="s">
        <v>83</v>
      </c>
    </row>
    <row r="1364" spans="5:13" hidden="1" x14ac:dyDescent="0.35">
      <c r="E1364" s="81"/>
      <c r="H1364" s="82"/>
      <c r="I1364" s="83" t="e">
        <f>VLOOKUP(E1364,[1]Mapping!$A$3:$B$14,2,FALSE)</f>
        <v>#N/A</v>
      </c>
      <c r="J1364" s="84">
        <f t="shared" si="44"/>
        <v>0</v>
      </c>
      <c r="K1364" s="84">
        <f t="shared" si="45"/>
        <v>0</v>
      </c>
      <c r="L1364" s="61" t="e">
        <f>VLOOKUP(K1364,[1]Mapping!$J$3:$Q$351,8,FALSE)</f>
        <v>#N/A</v>
      </c>
      <c r="M1364" t="s">
        <v>83</v>
      </c>
    </row>
    <row r="1365" spans="5:13" hidden="1" x14ac:dyDescent="0.35">
      <c r="E1365" s="81"/>
      <c r="H1365" s="82"/>
      <c r="I1365" s="83" t="e">
        <f>VLOOKUP(E1365,[1]Mapping!$A$3:$B$14,2,FALSE)</f>
        <v>#N/A</v>
      </c>
      <c r="J1365" s="84">
        <f t="shared" si="44"/>
        <v>0</v>
      </c>
      <c r="K1365" s="84">
        <f t="shared" si="45"/>
        <v>0</v>
      </c>
      <c r="L1365" s="61" t="e">
        <f>VLOOKUP(K1365,[1]Mapping!$J$3:$Q$351,8,FALSE)</f>
        <v>#N/A</v>
      </c>
      <c r="M1365" t="s">
        <v>83</v>
      </c>
    </row>
    <row r="1366" spans="5:13" hidden="1" x14ac:dyDescent="0.35">
      <c r="E1366" s="81"/>
      <c r="H1366" s="82"/>
      <c r="I1366" s="83" t="e">
        <f>VLOOKUP(E1366,[1]Mapping!$A$3:$B$14,2,FALSE)</f>
        <v>#N/A</v>
      </c>
      <c r="J1366" s="84">
        <f t="shared" si="44"/>
        <v>0</v>
      </c>
      <c r="K1366" s="84">
        <f t="shared" si="45"/>
        <v>0</v>
      </c>
      <c r="L1366" s="61" t="e">
        <f>VLOOKUP(K1366,[1]Mapping!$J$3:$Q$351,8,FALSE)</f>
        <v>#N/A</v>
      </c>
      <c r="M1366" t="s">
        <v>83</v>
      </c>
    </row>
    <row r="1367" spans="5:13" hidden="1" x14ac:dyDescent="0.35">
      <c r="E1367" s="81"/>
      <c r="H1367" s="82"/>
      <c r="I1367" s="83" t="e">
        <f>VLOOKUP(E1367,[1]Mapping!$A$3:$B$14,2,FALSE)</f>
        <v>#N/A</v>
      </c>
      <c r="J1367" s="84">
        <f t="shared" si="44"/>
        <v>0</v>
      </c>
      <c r="K1367" s="84">
        <f t="shared" si="45"/>
        <v>0</v>
      </c>
      <c r="L1367" s="61" t="e">
        <f>VLOOKUP(K1367,[1]Mapping!$J$3:$Q$351,8,FALSE)</f>
        <v>#N/A</v>
      </c>
      <c r="M1367" t="s">
        <v>83</v>
      </c>
    </row>
    <row r="1368" spans="5:13" hidden="1" x14ac:dyDescent="0.35">
      <c r="E1368" s="81"/>
      <c r="H1368" s="82"/>
      <c r="I1368" s="83" t="e">
        <f>VLOOKUP(E1368,[1]Mapping!$A$3:$B$14,2,FALSE)</f>
        <v>#N/A</v>
      </c>
      <c r="J1368" s="84">
        <f t="shared" si="44"/>
        <v>0</v>
      </c>
      <c r="K1368" s="84">
        <f t="shared" si="45"/>
        <v>0</v>
      </c>
      <c r="L1368" s="61" t="e">
        <f>VLOOKUP(K1368,[1]Mapping!$J$3:$Q$351,8,FALSE)</f>
        <v>#N/A</v>
      </c>
      <c r="M1368" t="s">
        <v>83</v>
      </c>
    </row>
    <row r="1369" spans="5:13" hidden="1" x14ac:dyDescent="0.35">
      <c r="E1369" s="81"/>
      <c r="H1369" s="82"/>
      <c r="I1369" s="83" t="e">
        <f>VLOOKUP(E1369,[1]Mapping!$A$3:$B$14,2,FALSE)</f>
        <v>#N/A</v>
      </c>
      <c r="J1369" s="84">
        <f t="shared" si="44"/>
        <v>0</v>
      </c>
      <c r="K1369" s="84">
        <f t="shared" si="45"/>
        <v>0</v>
      </c>
      <c r="L1369" s="61" t="e">
        <f>VLOOKUP(K1369,[1]Mapping!$J$3:$Q$351,8,FALSE)</f>
        <v>#N/A</v>
      </c>
      <c r="M1369" t="s">
        <v>83</v>
      </c>
    </row>
    <row r="1370" spans="5:13" hidden="1" x14ac:dyDescent="0.35">
      <c r="E1370" s="81"/>
      <c r="H1370" s="82"/>
      <c r="I1370" s="83" t="e">
        <f>VLOOKUP(E1370,[1]Mapping!$A$3:$B$14,2,FALSE)</f>
        <v>#N/A</v>
      </c>
      <c r="J1370" s="84">
        <f t="shared" si="44"/>
        <v>0</v>
      </c>
      <c r="K1370" s="84">
        <f t="shared" si="45"/>
        <v>0</v>
      </c>
      <c r="L1370" s="61" t="e">
        <f>VLOOKUP(K1370,[1]Mapping!$J$3:$Q$351,8,FALSE)</f>
        <v>#N/A</v>
      </c>
      <c r="M1370" t="s">
        <v>83</v>
      </c>
    </row>
    <row r="1371" spans="5:13" hidden="1" x14ac:dyDescent="0.35">
      <c r="E1371" s="81"/>
      <c r="H1371" s="82"/>
      <c r="I1371" s="83" t="e">
        <f>VLOOKUP(E1371,[1]Mapping!$A$3:$B$14,2,FALSE)</f>
        <v>#N/A</v>
      </c>
      <c r="J1371" s="84">
        <f t="shared" si="44"/>
        <v>0</v>
      </c>
      <c r="K1371" s="84">
        <f t="shared" si="45"/>
        <v>0</v>
      </c>
      <c r="L1371" s="61" t="e">
        <f>VLOOKUP(K1371,[1]Mapping!$J$3:$Q$351,8,FALSE)</f>
        <v>#N/A</v>
      </c>
      <c r="M1371" t="s">
        <v>83</v>
      </c>
    </row>
    <row r="1372" spans="5:13" hidden="1" x14ac:dyDescent="0.35">
      <c r="E1372" s="81"/>
      <c r="H1372" s="82"/>
      <c r="I1372" s="83" t="e">
        <f>VLOOKUP(E1372,[1]Mapping!$A$3:$B$14,2,FALSE)</f>
        <v>#N/A</v>
      </c>
      <c r="J1372" s="84">
        <f t="shared" si="44"/>
        <v>0</v>
      </c>
      <c r="K1372" s="84">
        <f t="shared" si="45"/>
        <v>0</v>
      </c>
      <c r="L1372" s="61" t="e">
        <f>VLOOKUP(K1372,[1]Mapping!$J$3:$Q$351,8,FALSE)</f>
        <v>#N/A</v>
      </c>
      <c r="M1372" t="s">
        <v>83</v>
      </c>
    </row>
    <row r="1373" spans="5:13" hidden="1" x14ac:dyDescent="0.35">
      <c r="E1373" s="81"/>
      <c r="H1373" s="82"/>
      <c r="I1373" s="83" t="e">
        <f>VLOOKUP(E1373,[1]Mapping!$A$3:$B$14,2,FALSE)</f>
        <v>#N/A</v>
      </c>
      <c r="J1373" s="84">
        <f t="shared" si="44"/>
        <v>0</v>
      </c>
      <c r="K1373" s="84">
        <f t="shared" si="45"/>
        <v>0</v>
      </c>
      <c r="L1373" s="61" t="e">
        <f>VLOOKUP(K1373,[1]Mapping!$J$3:$Q$351,8,FALSE)</f>
        <v>#N/A</v>
      </c>
      <c r="M1373" t="s">
        <v>83</v>
      </c>
    </row>
    <row r="1374" spans="5:13" hidden="1" x14ac:dyDescent="0.35">
      <c r="E1374" s="81"/>
      <c r="H1374" s="82"/>
      <c r="I1374" s="83" t="e">
        <f>VLOOKUP(E1374,[1]Mapping!$A$3:$B$14,2,FALSE)</f>
        <v>#N/A</v>
      </c>
      <c r="J1374" s="84">
        <f t="shared" si="44"/>
        <v>0</v>
      </c>
      <c r="K1374" s="84">
        <f t="shared" si="45"/>
        <v>0</v>
      </c>
      <c r="L1374" s="61" t="e">
        <f>VLOOKUP(K1374,[1]Mapping!$J$3:$Q$351,8,FALSE)</f>
        <v>#N/A</v>
      </c>
      <c r="M1374" t="s">
        <v>83</v>
      </c>
    </row>
    <row r="1375" spans="5:13" hidden="1" x14ac:dyDescent="0.35">
      <c r="E1375" s="81"/>
      <c r="H1375" s="82"/>
      <c r="I1375" s="83" t="e">
        <f>VLOOKUP(E1375,[1]Mapping!$A$3:$B$14,2,FALSE)</f>
        <v>#N/A</v>
      </c>
      <c r="J1375" s="84">
        <f t="shared" si="44"/>
        <v>0</v>
      </c>
      <c r="K1375" s="84">
        <f t="shared" si="45"/>
        <v>0</v>
      </c>
      <c r="L1375" s="61" t="e">
        <f>VLOOKUP(K1375,[1]Mapping!$J$3:$Q$351,8,FALSE)</f>
        <v>#N/A</v>
      </c>
      <c r="M1375" t="s">
        <v>83</v>
      </c>
    </row>
    <row r="1376" spans="5:13" hidden="1" x14ac:dyDescent="0.35">
      <c r="E1376" s="81"/>
      <c r="H1376" s="82"/>
      <c r="I1376" s="83" t="e">
        <f>VLOOKUP(E1376,[1]Mapping!$A$3:$B$14,2,FALSE)</f>
        <v>#N/A</v>
      </c>
      <c r="J1376" s="84">
        <f t="shared" si="44"/>
        <v>0</v>
      </c>
      <c r="K1376" s="84">
        <f t="shared" si="45"/>
        <v>0</v>
      </c>
      <c r="L1376" s="61" t="e">
        <f>VLOOKUP(K1376,[1]Mapping!$J$3:$Q$351,8,FALSE)</f>
        <v>#N/A</v>
      </c>
      <c r="M1376" t="s">
        <v>83</v>
      </c>
    </row>
    <row r="1377" spans="5:13" hidden="1" x14ac:dyDescent="0.35">
      <c r="E1377" s="81"/>
      <c r="H1377" s="82"/>
      <c r="I1377" s="83" t="e">
        <f>VLOOKUP(E1377,[1]Mapping!$A$3:$B$14,2,FALSE)</f>
        <v>#N/A</v>
      </c>
      <c r="J1377" s="84">
        <f t="shared" si="44"/>
        <v>0</v>
      </c>
      <c r="K1377" s="84">
        <f t="shared" si="45"/>
        <v>0</v>
      </c>
      <c r="L1377" s="61" t="e">
        <f>VLOOKUP(K1377,[1]Mapping!$J$3:$Q$351,8,FALSE)</f>
        <v>#N/A</v>
      </c>
      <c r="M1377" t="s">
        <v>83</v>
      </c>
    </row>
    <row r="1378" spans="5:13" hidden="1" x14ac:dyDescent="0.35">
      <c r="E1378" s="81"/>
      <c r="H1378" s="82"/>
      <c r="I1378" s="83" t="e">
        <f>VLOOKUP(E1378,[1]Mapping!$A$3:$B$14,2,FALSE)</f>
        <v>#N/A</v>
      </c>
      <c r="J1378" s="84">
        <f t="shared" si="44"/>
        <v>0</v>
      </c>
      <c r="K1378" s="84">
        <f t="shared" si="45"/>
        <v>0</v>
      </c>
      <c r="L1378" s="61" t="e">
        <f>VLOOKUP(K1378,[1]Mapping!$J$3:$Q$351,8,FALSE)</f>
        <v>#N/A</v>
      </c>
      <c r="M1378" t="s">
        <v>83</v>
      </c>
    </row>
    <row r="1379" spans="5:13" hidden="1" x14ac:dyDescent="0.35">
      <c r="E1379" s="81"/>
      <c r="H1379" s="82"/>
      <c r="I1379" s="83" t="e">
        <f>VLOOKUP(E1379,[1]Mapping!$A$3:$B$14,2,FALSE)</f>
        <v>#N/A</v>
      </c>
      <c r="J1379" s="84">
        <f t="shared" si="44"/>
        <v>0</v>
      </c>
      <c r="K1379" s="84">
        <f t="shared" si="45"/>
        <v>0</v>
      </c>
      <c r="L1379" s="61" t="e">
        <f>VLOOKUP(K1379,[1]Mapping!$J$3:$Q$351,8,FALSE)</f>
        <v>#N/A</v>
      </c>
      <c r="M1379" t="s">
        <v>83</v>
      </c>
    </row>
    <row r="1380" spans="5:13" hidden="1" x14ac:dyDescent="0.35">
      <c r="E1380" s="81"/>
      <c r="H1380" s="82"/>
      <c r="I1380" s="83" t="e">
        <f>VLOOKUP(E1380,[1]Mapping!$A$3:$B$14,2,FALSE)</f>
        <v>#N/A</v>
      </c>
      <c r="J1380" s="84">
        <f t="shared" si="44"/>
        <v>0</v>
      </c>
      <c r="K1380" s="84">
        <f t="shared" si="45"/>
        <v>0</v>
      </c>
      <c r="L1380" s="61" t="e">
        <f>VLOOKUP(K1380,[1]Mapping!$J$3:$Q$351,8,FALSE)</f>
        <v>#N/A</v>
      </c>
      <c r="M1380" t="s">
        <v>83</v>
      </c>
    </row>
    <row r="1381" spans="5:13" hidden="1" x14ac:dyDescent="0.35">
      <c r="E1381" s="81"/>
      <c r="H1381" s="82"/>
      <c r="I1381" s="83" t="e">
        <f>VLOOKUP(E1381,[1]Mapping!$A$3:$B$14,2,FALSE)</f>
        <v>#N/A</v>
      </c>
      <c r="J1381" s="84">
        <f t="shared" si="44"/>
        <v>0</v>
      </c>
      <c r="K1381" s="84">
        <f t="shared" si="45"/>
        <v>0</v>
      </c>
      <c r="L1381" s="61" t="e">
        <f>VLOOKUP(K1381,[1]Mapping!$J$3:$Q$351,8,FALSE)</f>
        <v>#N/A</v>
      </c>
      <c r="M1381" t="s">
        <v>83</v>
      </c>
    </row>
    <row r="1382" spans="5:13" hidden="1" x14ac:dyDescent="0.35">
      <c r="E1382" s="81"/>
      <c r="H1382" s="82"/>
      <c r="I1382" s="83" t="e">
        <f>VLOOKUP(E1382,[1]Mapping!$A$3:$B$14,2,FALSE)</f>
        <v>#N/A</v>
      </c>
      <c r="J1382" s="84">
        <f t="shared" si="44"/>
        <v>0</v>
      </c>
      <c r="K1382" s="84">
        <f t="shared" si="45"/>
        <v>0</v>
      </c>
      <c r="L1382" s="61" t="e">
        <f>VLOOKUP(K1382,[1]Mapping!$J$3:$Q$351,8,FALSE)</f>
        <v>#N/A</v>
      </c>
      <c r="M1382" t="s">
        <v>83</v>
      </c>
    </row>
    <row r="1383" spans="5:13" hidden="1" x14ac:dyDescent="0.35">
      <c r="E1383" s="81"/>
      <c r="H1383" s="82"/>
      <c r="I1383" s="83" t="e">
        <f>VLOOKUP(E1383,[1]Mapping!$A$3:$B$14,2,FALSE)</f>
        <v>#N/A</v>
      </c>
      <c r="J1383" s="84">
        <f t="shared" si="44"/>
        <v>0</v>
      </c>
      <c r="K1383" s="84">
        <f t="shared" si="45"/>
        <v>0</v>
      </c>
      <c r="L1383" s="61" t="e">
        <f>VLOOKUP(K1383,[1]Mapping!$J$3:$Q$351,8,FALSE)</f>
        <v>#N/A</v>
      </c>
      <c r="M1383" t="s">
        <v>83</v>
      </c>
    </row>
    <row r="1384" spans="5:13" hidden="1" x14ac:dyDescent="0.35">
      <c r="E1384" s="81"/>
      <c r="H1384" s="82"/>
      <c r="I1384" s="83" t="e">
        <f>VLOOKUP(E1384,[1]Mapping!$A$3:$B$14,2,FALSE)</f>
        <v>#N/A</v>
      </c>
      <c r="J1384" s="84">
        <f t="shared" si="44"/>
        <v>0</v>
      </c>
      <c r="K1384" s="84">
        <f t="shared" si="45"/>
        <v>0</v>
      </c>
      <c r="L1384" s="61" t="e">
        <f>VLOOKUP(K1384,[1]Mapping!$J$3:$Q$351,8,FALSE)</f>
        <v>#N/A</v>
      </c>
      <c r="M1384" t="s">
        <v>83</v>
      </c>
    </row>
    <row r="1385" spans="5:13" hidden="1" x14ac:dyDescent="0.35">
      <c r="E1385" s="81"/>
      <c r="H1385" s="82"/>
      <c r="I1385" s="83" t="e">
        <f>VLOOKUP(E1385,[1]Mapping!$A$3:$B$14,2,FALSE)</f>
        <v>#N/A</v>
      </c>
      <c r="J1385" s="84">
        <f t="shared" si="44"/>
        <v>0</v>
      </c>
      <c r="K1385" s="84">
        <f t="shared" si="45"/>
        <v>0</v>
      </c>
      <c r="L1385" s="61" t="e">
        <f>VLOOKUP(K1385,[1]Mapping!$J$3:$Q$351,8,FALSE)</f>
        <v>#N/A</v>
      </c>
      <c r="M1385" t="s">
        <v>83</v>
      </c>
    </row>
    <row r="1386" spans="5:13" hidden="1" x14ac:dyDescent="0.35">
      <c r="E1386" s="81"/>
      <c r="H1386" s="82"/>
      <c r="I1386" s="83" t="e">
        <f>VLOOKUP(E1386,[1]Mapping!$A$3:$B$14,2,FALSE)</f>
        <v>#N/A</v>
      </c>
      <c r="J1386" s="84">
        <f t="shared" si="44"/>
        <v>0</v>
      </c>
      <c r="K1386" s="84">
        <f t="shared" si="45"/>
        <v>0</v>
      </c>
      <c r="L1386" s="61" t="e">
        <f>VLOOKUP(K1386,[1]Mapping!$J$3:$Q$351,8,FALSE)</f>
        <v>#N/A</v>
      </c>
      <c r="M1386" t="s">
        <v>83</v>
      </c>
    </row>
    <row r="1387" spans="5:13" hidden="1" x14ac:dyDescent="0.35">
      <c r="E1387" s="81"/>
      <c r="H1387" s="82"/>
      <c r="I1387" s="83" t="e">
        <f>VLOOKUP(E1387,[1]Mapping!$A$3:$B$14,2,FALSE)</f>
        <v>#N/A</v>
      </c>
      <c r="J1387" s="84">
        <f t="shared" si="44"/>
        <v>0</v>
      </c>
      <c r="K1387" s="84">
        <f t="shared" si="45"/>
        <v>0</v>
      </c>
      <c r="L1387" s="61" t="e">
        <f>VLOOKUP(K1387,[1]Mapping!$J$3:$Q$351,8,FALSE)</f>
        <v>#N/A</v>
      </c>
      <c r="M1387" t="s">
        <v>83</v>
      </c>
    </row>
    <row r="1388" spans="5:13" hidden="1" x14ac:dyDescent="0.35">
      <c r="E1388" s="81"/>
      <c r="H1388" s="82"/>
      <c r="I1388" s="83" t="e">
        <f>VLOOKUP(E1388,[1]Mapping!$A$3:$B$14,2,FALSE)</f>
        <v>#N/A</v>
      </c>
      <c r="J1388" s="84">
        <f t="shared" si="44"/>
        <v>0</v>
      </c>
      <c r="K1388" s="84">
        <f t="shared" si="45"/>
        <v>0</v>
      </c>
      <c r="L1388" s="61" t="e">
        <f>VLOOKUP(K1388,[1]Mapping!$J$3:$Q$351,8,FALSE)</f>
        <v>#N/A</v>
      </c>
      <c r="M1388" t="s">
        <v>83</v>
      </c>
    </row>
    <row r="1389" spans="5:13" hidden="1" x14ac:dyDescent="0.35">
      <c r="E1389" s="81"/>
      <c r="H1389" s="82"/>
      <c r="I1389" s="83" t="e">
        <f>VLOOKUP(E1389,[1]Mapping!$A$3:$B$14,2,FALSE)</f>
        <v>#N/A</v>
      </c>
      <c r="J1389" s="84">
        <f t="shared" si="44"/>
        <v>0</v>
      </c>
      <c r="K1389" s="84">
        <f t="shared" si="45"/>
        <v>0</v>
      </c>
      <c r="L1389" s="61" t="e">
        <f>VLOOKUP(K1389,[1]Mapping!$J$3:$Q$351,8,FALSE)</f>
        <v>#N/A</v>
      </c>
      <c r="M1389" t="s">
        <v>83</v>
      </c>
    </row>
    <row r="1390" spans="5:13" hidden="1" x14ac:dyDescent="0.35">
      <c r="E1390" s="81"/>
      <c r="H1390" s="82"/>
      <c r="I1390" s="83" t="e">
        <f>VLOOKUP(E1390,[1]Mapping!$A$3:$B$14,2,FALSE)</f>
        <v>#N/A</v>
      </c>
      <c r="J1390" s="84">
        <f t="shared" si="44"/>
        <v>0</v>
      </c>
      <c r="K1390" s="84">
        <f t="shared" si="45"/>
        <v>0</v>
      </c>
      <c r="L1390" s="61" t="e">
        <f>VLOOKUP(K1390,[1]Mapping!$J$3:$Q$351,8,FALSE)</f>
        <v>#N/A</v>
      </c>
      <c r="M1390" t="s">
        <v>83</v>
      </c>
    </row>
    <row r="1391" spans="5:13" hidden="1" x14ac:dyDescent="0.35">
      <c r="E1391" s="81"/>
      <c r="H1391" s="82"/>
      <c r="I1391" s="83" t="e">
        <f>VLOOKUP(E1391,[1]Mapping!$A$3:$B$14,2,FALSE)</f>
        <v>#N/A</v>
      </c>
      <c r="J1391" s="84">
        <f t="shared" si="44"/>
        <v>0</v>
      </c>
      <c r="K1391" s="84">
        <f t="shared" si="45"/>
        <v>0</v>
      </c>
      <c r="L1391" s="61" t="e">
        <f>VLOOKUP(K1391,[1]Mapping!$J$3:$Q$351,8,FALSE)</f>
        <v>#N/A</v>
      </c>
      <c r="M1391" t="s">
        <v>83</v>
      </c>
    </row>
    <row r="1392" spans="5:13" hidden="1" x14ac:dyDescent="0.35">
      <c r="E1392" s="81"/>
      <c r="H1392" s="82"/>
      <c r="I1392" s="83" t="e">
        <f>VLOOKUP(E1392,[1]Mapping!$A$3:$B$14,2,FALSE)</f>
        <v>#N/A</v>
      </c>
      <c r="J1392" s="84">
        <f t="shared" si="44"/>
        <v>0</v>
      </c>
      <c r="K1392" s="84">
        <f t="shared" si="45"/>
        <v>0</v>
      </c>
      <c r="L1392" s="61" t="e">
        <f>VLOOKUP(K1392,[1]Mapping!$J$3:$Q$351,8,FALSE)</f>
        <v>#N/A</v>
      </c>
      <c r="M1392" t="s">
        <v>83</v>
      </c>
    </row>
    <row r="1393" spans="5:13" hidden="1" x14ac:dyDescent="0.35">
      <c r="E1393" s="81"/>
      <c r="H1393" s="82"/>
      <c r="I1393" s="83" t="e">
        <f>VLOOKUP(E1393,[1]Mapping!$A$3:$B$14,2,FALSE)</f>
        <v>#N/A</v>
      </c>
      <c r="J1393" s="84">
        <f t="shared" si="44"/>
        <v>0</v>
      </c>
      <c r="K1393" s="84">
        <f t="shared" si="45"/>
        <v>0</v>
      </c>
      <c r="L1393" s="61" t="e">
        <f>VLOOKUP(K1393,[1]Mapping!$J$3:$Q$351,8,FALSE)</f>
        <v>#N/A</v>
      </c>
      <c r="M1393" t="s">
        <v>83</v>
      </c>
    </row>
    <row r="1394" spans="5:13" hidden="1" x14ac:dyDescent="0.35">
      <c r="E1394" s="81"/>
      <c r="H1394" s="82"/>
      <c r="I1394" s="83" t="e">
        <f>VLOOKUP(E1394,[1]Mapping!$A$3:$B$14,2,FALSE)</f>
        <v>#N/A</v>
      </c>
      <c r="J1394" s="84">
        <f t="shared" si="44"/>
        <v>0</v>
      </c>
      <c r="K1394" s="84">
        <f t="shared" si="45"/>
        <v>0</v>
      </c>
      <c r="L1394" s="61" t="e">
        <f>VLOOKUP(K1394,[1]Mapping!$J$3:$Q$351,8,FALSE)</f>
        <v>#N/A</v>
      </c>
      <c r="M1394" t="s">
        <v>83</v>
      </c>
    </row>
    <row r="1395" spans="5:13" hidden="1" x14ac:dyDescent="0.35">
      <c r="E1395" s="81"/>
      <c r="H1395" s="82"/>
      <c r="I1395" s="83" t="e">
        <f>VLOOKUP(E1395,[1]Mapping!$A$3:$B$14,2,FALSE)</f>
        <v>#N/A</v>
      </c>
      <c r="J1395" s="84">
        <f t="shared" si="44"/>
        <v>0</v>
      </c>
      <c r="K1395" s="84">
        <f t="shared" si="45"/>
        <v>0</v>
      </c>
      <c r="L1395" s="61" t="e">
        <f>VLOOKUP(K1395,[1]Mapping!$J$3:$Q$351,8,FALSE)</f>
        <v>#N/A</v>
      </c>
      <c r="M1395" t="s">
        <v>83</v>
      </c>
    </row>
    <row r="1396" spans="5:13" hidden="1" x14ac:dyDescent="0.35">
      <c r="E1396" s="81"/>
      <c r="H1396" s="82"/>
      <c r="I1396" s="83" t="e">
        <f>VLOOKUP(E1396,[1]Mapping!$A$3:$B$14,2,FALSE)</f>
        <v>#N/A</v>
      </c>
      <c r="J1396" s="84">
        <f t="shared" si="44"/>
        <v>0</v>
      </c>
      <c r="K1396" s="84">
        <f t="shared" si="45"/>
        <v>0</v>
      </c>
      <c r="L1396" s="61" t="e">
        <f>VLOOKUP(K1396,[1]Mapping!$J$3:$Q$351,8,FALSE)</f>
        <v>#N/A</v>
      </c>
      <c r="M1396" t="s">
        <v>83</v>
      </c>
    </row>
    <row r="1397" spans="5:13" hidden="1" x14ac:dyDescent="0.35">
      <c r="E1397" s="81"/>
      <c r="H1397" s="82"/>
      <c r="I1397" s="83" t="e">
        <f>VLOOKUP(E1397,[1]Mapping!$A$3:$B$14,2,FALSE)</f>
        <v>#N/A</v>
      </c>
      <c r="J1397" s="84">
        <f t="shared" si="44"/>
        <v>0</v>
      </c>
      <c r="K1397" s="84">
        <f t="shared" si="45"/>
        <v>0</v>
      </c>
      <c r="L1397" s="61" t="e">
        <f>VLOOKUP(K1397,[1]Mapping!$J$3:$Q$351,8,FALSE)</f>
        <v>#N/A</v>
      </c>
      <c r="M1397" t="s">
        <v>83</v>
      </c>
    </row>
    <row r="1398" spans="5:13" hidden="1" x14ac:dyDescent="0.35">
      <c r="E1398" s="81"/>
      <c r="H1398" s="82"/>
      <c r="I1398" s="83" t="e">
        <f>VLOOKUP(E1398,[1]Mapping!$A$3:$B$14,2,FALSE)</f>
        <v>#N/A</v>
      </c>
      <c r="J1398" s="84">
        <f t="shared" si="44"/>
        <v>0</v>
      </c>
      <c r="K1398" s="84">
        <f t="shared" si="45"/>
        <v>0</v>
      </c>
      <c r="L1398" s="61" t="e">
        <f>VLOOKUP(K1398,[1]Mapping!$J$3:$Q$351,8,FALSE)</f>
        <v>#N/A</v>
      </c>
      <c r="M1398" t="s">
        <v>83</v>
      </c>
    </row>
    <row r="1399" spans="5:13" hidden="1" x14ac:dyDescent="0.35">
      <c r="E1399" s="81"/>
      <c r="H1399" s="82"/>
      <c r="I1399" s="83" t="e">
        <f>VLOOKUP(E1399,[1]Mapping!$A$3:$B$14,2,FALSE)</f>
        <v>#N/A</v>
      </c>
      <c r="J1399" s="84">
        <f t="shared" si="44"/>
        <v>0</v>
      </c>
      <c r="K1399" s="84">
        <f t="shared" si="45"/>
        <v>0</v>
      </c>
      <c r="L1399" s="61" t="e">
        <f>VLOOKUP(K1399,[1]Mapping!$J$3:$Q$351,8,FALSE)</f>
        <v>#N/A</v>
      </c>
      <c r="M1399" t="s">
        <v>83</v>
      </c>
    </row>
    <row r="1400" spans="5:13" hidden="1" x14ac:dyDescent="0.35">
      <c r="E1400" s="81"/>
      <c r="H1400" s="82"/>
      <c r="I1400" s="83" t="e">
        <f>VLOOKUP(E1400,[1]Mapping!$A$3:$B$14,2,FALSE)</f>
        <v>#N/A</v>
      </c>
      <c r="J1400" s="84">
        <f t="shared" si="44"/>
        <v>0</v>
      </c>
      <c r="K1400" s="84">
        <f t="shared" si="45"/>
        <v>0</v>
      </c>
      <c r="L1400" s="61" t="e">
        <f>VLOOKUP(K1400,[1]Mapping!$J$3:$Q$351,8,FALSE)</f>
        <v>#N/A</v>
      </c>
      <c r="M1400" t="s">
        <v>83</v>
      </c>
    </row>
    <row r="1401" spans="5:13" hidden="1" x14ac:dyDescent="0.35">
      <c r="E1401" s="81"/>
      <c r="H1401" s="82"/>
      <c r="I1401" s="83" t="e">
        <f>VLOOKUP(E1401,[1]Mapping!$A$3:$B$14,2,FALSE)</f>
        <v>#N/A</v>
      </c>
      <c r="J1401" s="84">
        <f t="shared" si="44"/>
        <v>0</v>
      </c>
      <c r="K1401" s="84">
        <f t="shared" si="45"/>
        <v>0</v>
      </c>
      <c r="L1401" s="61" t="e">
        <f>VLOOKUP(K1401,[1]Mapping!$J$3:$Q$351,8,FALSE)</f>
        <v>#N/A</v>
      </c>
      <c r="M1401" t="s">
        <v>83</v>
      </c>
    </row>
    <row r="1402" spans="5:13" hidden="1" x14ac:dyDescent="0.35">
      <c r="E1402" s="81"/>
      <c r="H1402" s="82"/>
      <c r="I1402" s="83" t="e">
        <f>VLOOKUP(E1402,[1]Mapping!$A$3:$B$14,2,FALSE)</f>
        <v>#N/A</v>
      </c>
      <c r="J1402" s="84">
        <f t="shared" si="44"/>
        <v>0</v>
      </c>
      <c r="K1402" s="84">
        <f t="shared" si="45"/>
        <v>0</v>
      </c>
      <c r="L1402" s="61" t="e">
        <f>VLOOKUP(K1402,[1]Mapping!$J$3:$Q$351,8,FALSE)</f>
        <v>#N/A</v>
      </c>
      <c r="M1402" t="s">
        <v>83</v>
      </c>
    </row>
    <row r="1403" spans="5:13" hidden="1" x14ac:dyDescent="0.35">
      <c r="E1403" s="81"/>
      <c r="H1403" s="82"/>
      <c r="I1403" s="83" t="e">
        <f>VLOOKUP(E1403,[1]Mapping!$A$3:$B$14,2,FALSE)</f>
        <v>#N/A</v>
      </c>
      <c r="J1403" s="84">
        <f t="shared" si="44"/>
        <v>0</v>
      </c>
      <c r="K1403" s="84">
        <f t="shared" si="45"/>
        <v>0</v>
      </c>
      <c r="L1403" s="61" t="e">
        <f>VLOOKUP(K1403,[1]Mapping!$J$3:$Q$351,8,FALSE)</f>
        <v>#N/A</v>
      </c>
      <c r="M1403" t="s">
        <v>83</v>
      </c>
    </row>
    <row r="1404" spans="5:13" hidden="1" x14ac:dyDescent="0.35">
      <c r="E1404" s="81"/>
      <c r="H1404" s="82"/>
      <c r="I1404" s="83" t="e">
        <f>VLOOKUP(E1404,[1]Mapping!$A$3:$B$14,2,FALSE)</f>
        <v>#N/A</v>
      </c>
      <c r="J1404" s="84">
        <f t="shared" si="44"/>
        <v>0</v>
      </c>
      <c r="K1404" s="84">
        <f t="shared" si="45"/>
        <v>0</v>
      </c>
      <c r="L1404" s="61" t="e">
        <f>VLOOKUP(K1404,[1]Mapping!$J$3:$Q$351,8,FALSE)</f>
        <v>#N/A</v>
      </c>
      <c r="M1404" t="s">
        <v>83</v>
      </c>
    </row>
    <row r="1405" spans="5:13" hidden="1" x14ac:dyDescent="0.35">
      <c r="E1405" s="81"/>
      <c r="H1405" s="82"/>
      <c r="I1405" s="83" t="e">
        <f>VLOOKUP(E1405,[1]Mapping!$A$3:$B$14,2,FALSE)</f>
        <v>#N/A</v>
      </c>
      <c r="J1405" s="84">
        <f t="shared" si="44"/>
        <v>0</v>
      </c>
      <c r="K1405" s="84">
        <f t="shared" si="45"/>
        <v>0</v>
      </c>
      <c r="L1405" s="61" t="e">
        <f>VLOOKUP(K1405,[1]Mapping!$J$3:$Q$351,8,FALSE)</f>
        <v>#N/A</v>
      </c>
      <c r="M1405" t="s">
        <v>83</v>
      </c>
    </row>
    <row r="1406" spans="5:13" hidden="1" x14ac:dyDescent="0.35">
      <c r="E1406" s="81"/>
      <c r="H1406" s="82"/>
      <c r="I1406" s="83" t="e">
        <f>VLOOKUP(E1406,[1]Mapping!$A$3:$B$14,2,FALSE)</f>
        <v>#N/A</v>
      </c>
      <c r="J1406" s="84">
        <f t="shared" si="44"/>
        <v>0</v>
      </c>
      <c r="K1406" s="84">
        <f t="shared" si="45"/>
        <v>0</v>
      </c>
      <c r="L1406" s="61" t="e">
        <f>VLOOKUP(K1406,[1]Mapping!$J$3:$Q$351,8,FALSE)</f>
        <v>#N/A</v>
      </c>
      <c r="M1406" t="s">
        <v>83</v>
      </c>
    </row>
    <row r="1407" spans="5:13" hidden="1" x14ac:dyDescent="0.35">
      <c r="E1407" s="81"/>
      <c r="H1407" s="82"/>
      <c r="I1407" s="83" t="e">
        <f>VLOOKUP(E1407,[1]Mapping!$A$3:$B$14,2,FALSE)</f>
        <v>#N/A</v>
      </c>
      <c r="J1407" s="84">
        <f t="shared" si="44"/>
        <v>0</v>
      </c>
      <c r="K1407" s="84">
        <f t="shared" si="45"/>
        <v>0</v>
      </c>
      <c r="L1407" s="61" t="e">
        <f>VLOOKUP(K1407,[1]Mapping!$J$3:$Q$351,8,FALSE)</f>
        <v>#N/A</v>
      </c>
      <c r="M1407" t="s">
        <v>83</v>
      </c>
    </row>
    <row r="1408" spans="5:13" hidden="1" x14ac:dyDescent="0.35">
      <c r="E1408" s="81"/>
      <c r="H1408" s="82"/>
      <c r="I1408" s="83" t="e">
        <f>VLOOKUP(E1408,[1]Mapping!$A$3:$B$14,2,FALSE)</f>
        <v>#N/A</v>
      </c>
      <c r="J1408" s="84">
        <f t="shared" si="44"/>
        <v>0</v>
      </c>
      <c r="K1408" s="84">
        <f t="shared" si="45"/>
        <v>0</v>
      </c>
      <c r="L1408" s="61" t="e">
        <f>VLOOKUP(K1408,[1]Mapping!$J$3:$Q$351,8,FALSE)</f>
        <v>#N/A</v>
      </c>
      <c r="M1408" t="s">
        <v>83</v>
      </c>
    </row>
    <row r="1409" spans="5:13" hidden="1" x14ac:dyDescent="0.35">
      <c r="E1409" s="81"/>
      <c r="H1409" s="82"/>
      <c r="I1409" s="83" t="e">
        <f>VLOOKUP(E1409,[1]Mapping!$A$3:$B$14,2,FALSE)</f>
        <v>#N/A</v>
      </c>
      <c r="J1409" s="84">
        <f t="shared" si="44"/>
        <v>0</v>
      </c>
      <c r="K1409" s="84">
        <f t="shared" si="45"/>
        <v>0</v>
      </c>
      <c r="L1409" s="61" t="e">
        <f>VLOOKUP(K1409,[1]Mapping!$J$3:$Q$351,8,FALSE)</f>
        <v>#N/A</v>
      </c>
      <c r="M1409" t="s">
        <v>83</v>
      </c>
    </row>
    <row r="1410" spans="5:13" hidden="1" x14ac:dyDescent="0.35">
      <c r="E1410" s="81"/>
      <c r="H1410" s="82"/>
      <c r="I1410" s="83" t="e">
        <f>VLOOKUP(E1410,[1]Mapping!$A$3:$B$14,2,FALSE)</f>
        <v>#N/A</v>
      </c>
      <c r="J1410" s="84">
        <f t="shared" si="44"/>
        <v>0</v>
      </c>
      <c r="K1410" s="84">
        <f t="shared" si="45"/>
        <v>0</v>
      </c>
      <c r="L1410" s="61" t="e">
        <f>VLOOKUP(K1410,[1]Mapping!$J$3:$Q$351,8,FALSE)</f>
        <v>#N/A</v>
      </c>
      <c r="M1410" t="s">
        <v>83</v>
      </c>
    </row>
    <row r="1411" spans="5:13" hidden="1" x14ac:dyDescent="0.35">
      <c r="E1411" s="81"/>
      <c r="H1411" s="82"/>
      <c r="I1411" s="83" t="e">
        <f>VLOOKUP(E1411,[1]Mapping!$A$3:$B$14,2,FALSE)</f>
        <v>#N/A</v>
      </c>
      <c r="J1411" s="84">
        <f t="shared" si="44"/>
        <v>0</v>
      </c>
      <c r="K1411" s="84">
        <f t="shared" si="45"/>
        <v>0</v>
      </c>
      <c r="L1411" s="61" t="e">
        <f>VLOOKUP(K1411,[1]Mapping!$J$3:$Q$351,8,FALSE)</f>
        <v>#N/A</v>
      </c>
      <c r="M1411" t="s">
        <v>83</v>
      </c>
    </row>
    <row r="1412" spans="5:13" hidden="1" x14ac:dyDescent="0.35">
      <c r="E1412" s="81"/>
      <c r="H1412" s="82"/>
      <c r="I1412" s="83" t="e">
        <f>VLOOKUP(E1412,[1]Mapping!$A$3:$B$14,2,FALSE)</f>
        <v>#N/A</v>
      </c>
      <c r="J1412" s="84">
        <f t="shared" ref="J1412:J1475" si="46">VALUE(A1412)</f>
        <v>0</v>
      </c>
      <c r="K1412" s="84">
        <f t="shared" ref="K1412:K1475" si="47">VALUE(C1412)</f>
        <v>0</v>
      </c>
      <c r="L1412" s="61" t="e">
        <f>VLOOKUP(K1412,[1]Mapping!$J$3:$Q$351,8,FALSE)</f>
        <v>#N/A</v>
      </c>
      <c r="M1412" t="s">
        <v>83</v>
      </c>
    </row>
    <row r="1413" spans="5:13" hidden="1" x14ac:dyDescent="0.35">
      <c r="E1413" s="81"/>
      <c r="H1413" s="82"/>
      <c r="I1413" s="83" t="e">
        <f>VLOOKUP(E1413,[1]Mapping!$A$3:$B$14,2,FALSE)</f>
        <v>#N/A</v>
      </c>
      <c r="J1413" s="84">
        <f t="shared" si="46"/>
        <v>0</v>
      </c>
      <c r="K1413" s="84">
        <f t="shared" si="47"/>
        <v>0</v>
      </c>
      <c r="L1413" s="61" t="e">
        <f>VLOOKUP(K1413,[1]Mapping!$J$3:$Q$351,8,FALSE)</f>
        <v>#N/A</v>
      </c>
      <c r="M1413" t="s">
        <v>83</v>
      </c>
    </row>
    <row r="1414" spans="5:13" hidden="1" x14ac:dyDescent="0.35">
      <c r="E1414" s="81"/>
      <c r="H1414" s="82"/>
      <c r="I1414" s="83" t="e">
        <f>VLOOKUP(E1414,[1]Mapping!$A$3:$B$14,2,FALSE)</f>
        <v>#N/A</v>
      </c>
      <c r="J1414" s="84">
        <f t="shared" si="46"/>
        <v>0</v>
      </c>
      <c r="K1414" s="84">
        <f t="shared" si="47"/>
        <v>0</v>
      </c>
      <c r="L1414" s="61" t="e">
        <f>VLOOKUP(K1414,[1]Mapping!$J$3:$Q$351,8,FALSE)</f>
        <v>#N/A</v>
      </c>
      <c r="M1414" t="s">
        <v>83</v>
      </c>
    </row>
    <row r="1415" spans="5:13" hidden="1" x14ac:dyDescent="0.35">
      <c r="E1415" s="81"/>
      <c r="H1415" s="82"/>
      <c r="I1415" s="83" t="e">
        <f>VLOOKUP(E1415,[1]Mapping!$A$3:$B$14,2,FALSE)</f>
        <v>#N/A</v>
      </c>
      <c r="J1415" s="84">
        <f t="shared" si="46"/>
        <v>0</v>
      </c>
      <c r="K1415" s="84">
        <f t="shared" si="47"/>
        <v>0</v>
      </c>
      <c r="L1415" s="61" t="e">
        <f>VLOOKUP(K1415,[1]Mapping!$J$3:$Q$351,8,FALSE)</f>
        <v>#N/A</v>
      </c>
      <c r="M1415" t="s">
        <v>83</v>
      </c>
    </row>
    <row r="1416" spans="5:13" hidden="1" x14ac:dyDescent="0.35">
      <c r="E1416" s="81"/>
      <c r="H1416" s="82"/>
      <c r="I1416" s="83" t="e">
        <f>VLOOKUP(E1416,[1]Mapping!$A$3:$B$14,2,FALSE)</f>
        <v>#N/A</v>
      </c>
      <c r="J1416" s="84">
        <f t="shared" si="46"/>
        <v>0</v>
      </c>
      <c r="K1416" s="84">
        <f t="shared" si="47"/>
        <v>0</v>
      </c>
      <c r="L1416" s="61" t="e">
        <f>VLOOKUP(K1416,[1]Mapping!$J$3:$Q$351,8,FALSE)</f>
        <v>#N/A</v>
      </c>
      <c r="M1416" t="s">
        <v>83</v>
      </c>
    </row>
    <row r="1417" spans="5:13" hidden="1" x14ac:dyDescent="0.35">
      <c r="E1417" s="81"/>
      <c r="H1417" s="82"/>
      <c r="I1417" s="83" t="e">
        <f>VLOOKUP(E1417,[1]Mapping!$A$3:$B$14,2,FALSE)</f>
        <v>#N/A</v>
      </c>
      <c r="J1417" s="84">
        <f t="shared" si="46"/>
        <v>0</v>
      </c>
      <c r="K1417" s="84">
        <f t="shared" si="47"/>
        <v>0</v>
      </c>
      <c r="L1417" s="61" t="e">
        <f>VLOOKUP(K1417,[1]Mapping!$J$3:$Q$351,8,FALSE)</f>
        <v>#N/A</v>
      </c>
      <c r="M1417" t="s">
        <v>83</v>
      </c>
    </row>
    <row r="1418" spans="5:13" hidden="1" x14ac:dyDescent="0.35">
      <c r="E1418" s="81"/>
      <c r="H1418" s="82"/>
      <c r="I1418" s="83" t="e">
        <f>VLOOKUP(E1418,[1]Mapping!$A$3:$B$14,2,FALSE)</f>
        <v>#N/A</v>
      </c>
      <c r="J1418" s="84">
        <f t="shared" si="46"/>
        <v>0</v>
      </c>
      <c r="K1418" s="84">
        <f t="shared" si="47"/>
        <v>0</v>
      </c>
      <c r="L1418" s="61" t="e">
        <f>VLOOKUP(K1418,[1]Mapping!$J$3:$Q$351,8,FALSE)</f>
        <v>#N/A</v>
      </c>
      <c r="M1418" t="s">
        <v>83</v>
      </c>
    </row>
    <row r="1419" spans="5:13" hidden="1" x14ac:dyDescent="0.35">
      <c r="E1419" s="81"/>
      <c r="H1419" s="82"/>
      <c r="I1419" s="83" t="e">
        <f>VLOOKUP(E1419,[1]Mapping!$A$3:$B$14,2,FALSE)</f>
        <v>#N/A</v>
      </c>
      <c r="J1419" s="84">
        <f t="shared" si="46"/>
        <v>0</v>
      </c>
      <c r="K1419" s="84">
        <f t="shared" si="47"/>
        <v>0</v>
      </c>
      <c r="L1419" s="61" t="e">
        <f>VLOOKUP(K1419,[1]Mapping!$J$3:$Q$351,8,FALSE)</f>
        <v>#N/A</v>
      </c>
      <c r="M1419" t="s">
        <v>83</v>
      </c>
    </row>
    <row r="1420" spans="5:13" hidden="1" x14ac:dyDescent="0.35">
      <c r="E1420" s="81"/>
      <c r="H1420" s="82"/>
      <c r="I1420" s="83" t="e">
        <f>VLOOKUP(E1420,[1]Mapping!$A$3:$B$14,2,FALSE)</f>
        <v>#N/A</v>
      </c>
      <c r="J1420" s="84">
        <f t="shared" si="46"/>
        <v>0</v>
      </c>
      <c r="K1420" s="84">
        <f t="shared" si="47"/>
        <v>0</v>
      </c>
      <c r="L1420" s="61" t="e">
        <f>VLOOKUP(K1420,[1]Mapping!$J$3:$Q$351,8,FALSE)</f>
        <v>#N/A</v>
      </c>
      <c r="M1420" t="s">
        <v>83</v>
      </c>
    </row>
    <row r="1421" spans="5:13" hidden="1" x14ac:dyDescent="0.35">
      <c r="E1421" s="81"/>
      <c r="H1421" s="82"/>
      <c r="I1421" s="83" t="e">
        <f>VLOOKUP(E1421,[1]Mapping!$A$3:$B$14,2,FALSE)</f>
        <v>#N/A</v>
      </c>
      <c r="J1421" s="84">
        <f t="shared" si="46"/>
        <v>0</v>
      </c>
      <c r="K1421" s="84">
        <f t="shared" si="47"/>
        <v>0</v>
      </c>
      <c r="L1421" s="61" t="e">
        <f>VLOOKUP(K1421,[1]Mapping!$J$3:$Q$351,8,FALSE)</f>
        <v>#N/A</v>
      </c>
      <c r="M1421" t="s">
        <v>83</v>
      </c>
    </row>
    <row r="1422" spans="5:13" hidden="1" x14ac:dyDescent="0.35">
      <c r="E1422" s="81"/>
      <c r="H1422" s="82"/>
      <c r="I1422" s="83" t="e">
        <f>VLOOKUP(E1422,[1]Mapping!$A$3:$B$14,2,FALSE)</f>
        <v>#N/A</v>
      </c>
      <c r="J1422" s="84">
        <f t="shared" si="46"/>
        <v>0</v>
      </c>
      <c r="K1422" s="84">
        <f t="shared" si="47"/>
        <v>0</v>
      </c>
      <c r="L1422" s="61" t="e">
        <f>VLOOKUP(K1422,[1]Mapping!$J$3:$Q$351,8,FALSE)</f>
        <v>#N/A</v>
      </c>
      <c r="M1422" t="s">
        <v>83</v>
      </c>
    </row>
    <row r="1423" spans="5:13" hidden="1" x14ac:dyDescent="0.35">
      <c r="E1423" s="81"/>
      <c r="H1423" s="82"/>
      <c r="I1423" s="83" t="e">
        <f>VLOOKUP(E1423,[1]Mapping!$A$3:$B$14,2,FALSE)</f>
        <v>#N/A</v>
      </c>
      <c r="J1423" s="84">
        <f t="shared" si="46"/>
        <v>0</v>
      </c>
      <c r="K1423" s="84">
        <f t="shared" si="47"/>
        <v>0</v>
      </c>
      <c r="L1423" s="61" t="e">
        <f>VLOOKUP(K1423,[1]Mapping!$J$3:$Q$351,8,FALSE)</f>
        <v>#N/A</v>
      </c>
      <c r="M1423" t="s">
        <v>83</v>
      </c>
    </row>
    <row r="1424" spans="5:13" hidden="1" x14ac:dyDescent="0.35">
      <c r="E1424" s="81"/>
      <c r="H1424" s="82"/>
      <c r="I1424" s="83" t="e">
        <f>VLOOKUP(E1424,[1]Mapping!$A$3:$B$14,2,FALSE)</f>
        <v>#N/A</v>
      </c>
      <c r="J1424" s="84">
        <f t="shared" si="46"/>
        <v>0</v>
      </c>
      <c r="K1424" s="84">
        <f t="shared" si="47"/>
        <v>0</v>
      </c>
      <c r="L1424" s="61" t="e">
        <f>VLOOKUP(K1424,[1]Mapping!$J$3:$Q$351,8,FALSE)</f>
        <v>#N/A</v>
      </c>
      <c r="M1424" t="s">
        <v>83</v>
      </c>
    </row>
    <row r="1425" spans="5:13" hidden="1" x14ac:dyDescent="0.35">
      <c r="E1425" s="81"/>
      <c r="H1425" s="82"/>
      <c r="I1425" s="83" t="e">
        <f>VLOOKUP(E1425,[1]Mapping!$A$3:$B$14,2,FALSE)</f>
        <v>#N/A</v>
      </c>
      <c r="J1425" s="84">
        <f t="shared" si="46"/>
        <v>0</v>
      </c>
      <c r="K1425" s="84">
        <f t="shared" si="47"/>
        <v>0</v>
      </c>
      <c r="L1425" s="61" t="e">
        <f>VLOOKUP(K1425,[1]Mapping!$J$3:$Q$351,8,FALSE)</f>
        <v>#N/A</v>
      </c>
      <c r="M1425" t="s">
        <v>83</v>
      </c>
    </row>
    <row r="1426" spans="5:13" hidden="1" x14ac:dyDescent="0.35">
      <c r="E1426" s="81"/>
      <c r="H1426" s="82"/>
      <c r="I1426" s="83" t="e">
        <f>VLOOKUP(E1426,[1]Mapping!$A$3:$B$14,2,FALSE)</f>
        <v>#N/A</v>
      </c>
      <c r="J1426" s="84">
        <f t="shared" si="46"/>
        <v>0</v>
      </c>
      <c r="K1426" s="84">
        <f t="shared" si="47"/>
        <v>0</v>
      </c>
      <c r="L1426" s="61" t="e">
        <f>VLOOKUP(K1426,[1]Mapping!$J$3:$Q$351,8,FALSE)</f>
        <v>#N/A</v>
      </c>
      <c r="M1426" t="s">
        <v>83</v>
      </c>
    </row>
    <row r="1427" spans="5:13" hidden="1" x14ac:dyDescent="0.35">
      <c r="E1427" s="81"/>
      <c r="H1427" s="82"/>
      <c r="I1427" s="83" t="e">
        <f>VLOOKUP(E1427,[1]Mapping!$A$3:$B$14,2,FALSE)</f>
        <v>#N/A</v>
      </c>
      <c r="J1427" s="84">
        <f t="shared" si="46"/>
        <v>0</v>
      </c>
      <c r="K1427" s="84">
        <f t="shared" si="47"/>
        <v>0</v>
      </c>
      <c r="L1427" s="61" t="e">
        <f>VLOOKUP(K1427,[1]Mapping!$J$3:$Q$351,8,FALSE)</f>
        <v>#N/A</v>
      </c>
      <c r="M1427" t="s">
        <v>83</v>
      </c>
    </row>
    <row r="1428" spans="5:13" hidden="1" x14ac:dyDescent="0.35">
      <c r="E1428" s="81"/>
      <c r="H1428" s="82"/>
      <c r="I1428" s="83" t="e">
        <f>VLOOKUP(E1428,[1]Mapping!$A$3:$B$14,2,FALSE)</f>
        <v>#N/A</v>
      </c>
      <c r="J1428" s="84">
        <f t="shared" si="46"/>
        <v>0</v>
      </c>
      <c r="K1428" s="84">
        <f t="shared" si="47"/>
        <v>0</v>
      </c>
      <c r="L1428" s="61" t="e">
        <f>VLOOKUP(K1428,[1]Mapping!$J$3:$Q$351,8,FALSE)</f>
        <v>#N/A</v>
      </c>
      <c r="M1428" t="s">
        <v>83</v>
      </c>
    </row>
    <row r="1429" spans="5:13" hidden="1" x14ac:dyDescent="0.35">
      <c r="E1429" s="81"/>
      <c r="H1429" s="82"/>
      <c r="I1429" s="83" t="e">
        <f>VLOOKUP(E1429,[1]Mapping!$A$3:$B$14,2,FALSE)</f>
        <v>#N/A</v>
      </c>
      <c r="J1429" s="84">
        <f t="shared" si="46"/>
        <v>0</v>
      </c>
      <c r="K1429" s="84">
        <f t="shared" si="47"/>
        <v>0</v>
      </c>
      <c r="L1429" s="61" t="e">
        <f>VLOOKUP(K1429,[1]Mapping!$J$3:$Q$351,8,FALSE)</f>
        <v>#N/A</v>
      </c>
      <c r="M1429" t="s">
        <v>83</v>
      </c>
    </row>
    <row r="1430" spans="5:13" hidden="1" x14ac:dyDescent="0.35">
      <c r="E1430" s="81"/>
      <c r="H1430" s="82"/>
      <c r="I1430" s="83" t="e">
        <f>VLOOKUP(E1430,[1]Mapping!$A$3:$B$14,2,FALSE)</f>
        <v>#N/A</v>
      </c>
      <c r="J1430" s="84">
        <f t="shared" si="46"/>
        <v>0</v>
      </c>
      <c r="K1430" s="84">
        <f t="shared" si="47"/>
        <v>0</v>
      </c>
      <c r="L1430" s="61" t="e">
        <f>VLOOKUP(K1430,[1]Mapping!$J$3:$Q$351,8,FALSE)</f>
        <v>#N/A</v>
      </c>
      <c r="M1430" t="s">
        <v>83</v>
      </c>
    </row>
    <row r="1431" spans="5:13" hidden="1" x14ac:dyDescent="0.35">
      <c r="E1431" s="81"/>
      <c r="H1431" s="82"/>
      <c r="I1431" s="83" t="e">
        <f>VLOOKUP(E1431,[1]Mapping!$A$3:$B$14,2,FALSE)</f>
        <v>#N/A</v>
      </c>
      <c r="J1431" s="84">
        <f t="shared" si="46"/>
        <v>0</v>
      </c>
      <c r="K1431" s="84">
        <f t="shared" si="47"/>
        <v>0</v>
      </c>
      <c r="L1431" s="61" t="e">
        <f>VLOOKUP(K1431,[1]Mapping!$J$3:$Q$351,8,FALSE)</f>
        <v>#N/A</v>
      </c>
      <c r="M1431" t="s">
        <v>83</v>
      </c>
    </row>
    <row r="1432" spans="5:13" hidden="1" x14ac:dyDescent="0.35">
      <c r="E1432" s="81"/>
      <c r="H1432" s="82"/>
      <c r="I1432" s="83" t="e">
        <f>VLOOKUP(E1432,[1]Mapping!$A$3:$B$14,2,FALSE)</f>
        <v>#N/A</v>
      </c>
      <c r="J1432" s="84">
        <f t="shared" si="46"/>
        <v>0</v>
      </c>
      <c r="K1432" s="84">
        <f t="shared" si="47"/>
        <v>0</v>
      </c>
      <c r="L1432" s="61" t="e">
        <f>VLOOKUP(K1432,[1]Mapping!$J$3:$Q$351,8,FALSE)</f>
        <v>#N/A</v>
      </c>
      <c r="M1432" t="s">
        <v>83</v>
      </c>
    </row>
    <row r="1433" spans="5:13" hidden="1" x14ac:dyDescent="0.35">
      <c r="E1433" s="81"/>
      <c r="H1433" s="82"/>
      <c r="I1433" s="83" t="e">
        <f>VLOOKUP(E1433,[1]Mapping!$A$3:$B$14,2,FALSE)</f>
        <v>#N/A</v>
      </c>
      <c r="J1433" s="84">
        <f t="shared" si="46"/>
        <v>0</v>
      </c>
      <c r="K1433" s="84">
        <f t="shared" si="47"/>
        <v>0</v>
      </c>
      <c r="L1433" s="61" t="e">
        <f>VLOOKUP(K1433,[1]Mapping!$J$3:$Q$351,8,FALSE)</f>
        <v>#N/A</v>
      </c>
      <c r="M1433" t="s">
        <v>83</v>
      </c>
    </row>
    <row r="1434" spans="5:13" hidden="1" x14ac:dyDescent="0.35">
      <c r="E1434" s="81"/>
      <c r="H1434" s="82"/>
      <c r="I1434" s="83" t="e">
        <f>VLOOKUP(E1434,[1]Mapping!$A$3:$B$14,2,FALSE)</f>
        <v>#N/A</v>
      </c>
      <c r="J1434" s="84">
        <f t="shared" si="46"/>
        <v>0</v>
      </c>
      <c r="K1434" s="84">
        <f t="shared" si="47"/>
        <v>0</v>
      </c>
      <c r="L1434" s="61" t="e">
        <f>VLOOKUP(K1434,[1]Mapping!$J$3:$Q$351,8,FALSE)</f>
        <v>#N/A</v>
      </c>
      <c r="M1434" t="s">
        <v>83</v>
      </c>
    </row>
    <row r="1435" spans="5:13" hidden="1" x14ac:dyDescent="0.35">
      <c r="E1435" s="81"/>
      <c r="H1435" s="82"/>
      <c r="I1435" s="83" t="e">
        <f>VLOOKUP(E1435,[1]Mapping!$A$3:$B$14,2,FALSE)</f>
        <v>#N/A</v>
      </c>
      <c r="J1435" s="84">
        <f t="shared" si="46"/>
        <v>0</v>
      </c>
      <c r="K1435" s="84">
        <f t="shared" si="47"/>
        <v>0</v>
      </c>
      <c r="L1435" s="61" t="e">
        <f>VLOOKUP(K1435,[1]Mapping!$J$3:$Q$351,8,FALSE)</f>
        <v>#N/A</v>
      </c>
      <c r="M1435" t="s">
        <v>83</v>
      </c>
    </row>
    <row r="1436" spans="5:13" hidden="1" x14ac:dyDescent="0.35">
      <c r="E1436" s="81"/>
      <c r="H1436" s="82"/>
      <c r="I1436" s="83" t="e">
        <f>VLOOKUP(E1436,[1]Mapping!$A$3:$B$14,2,FALSE)</f>
        <v>#N/A</v>
      </c>
      <c r="J1436" s="84">
        <f t="shared" si="46"/>
        <v>0</v>
      </c>
      <c r="K1436" s="84">
        <f t="shared" si="47"/>
        <v>0</v>
      </c>
      <c r="L1436" s="61" t="e">
        <f>VLOOKUP(K1436,[1]Mapping!$J$3:$Q$351,8,FALSE)</f>
        <v>#N/A</v>
      </c>
      <c r="M1436" t="s">
        <v>83</v>
      </c>
    </row>
    <row r="1437" spans="5:13" hidden="1" x14ac:dyDescent="0.35">
      <c r="E1437" s="81"/>
      <c r="H1437" s="82"/>
      <c r="I1437" s="83" t="e">
        <f>VLOOKUP(E1437,[1]Mapping!$A$3:$B$14,2,FALSE)</f>
        <v>#N/A</v>
      </c>
      <c r="J1437" s="84">
        <f t="shared" si="46"/>
        <v>0</v>
      </c>
      <c r="K1437" s="84">
        <f t="shared" si="47"/>
        <v>0</v>
      </c>
      <c r="L1437" s="61" t="e">
        <f>VLOOKUP(K1437,[1]Mapping!$J$3:$Q$351,8,FALSE)</f>
        <v>#N/A</v>
      </c>
      <c r="M1437" t="s">
        <v>83</v>
      </c>
    </row>
    <row r="1438" spans="5:13" hidden="1" x14ac:dyDescent="0.35">
      <c r="E1438" s="81"/>
      <c r="H1438" s="82"/>
      <c r="I1438" s="83" t="e">
        <f>VLOOKUP(E1438,[1]Mapping!$A$3:$B$14,2,FALSE)</f>
        <v>#N/A</v>
      </c>
      <c r="J1438" s="84">
        <f t="shared" si="46"/>
        <v>0</v>
      </c>
      <c r="K1438" s="84">
        <f t="shared" si="47"/>
        <v>0</v>
      </c>
      <c r="L1438" s="61" t="e">
        <f>VLOOKUP(K1438,[1]Mapping!$J$3:$Q$351,8,FALSE)</f>
        <v>#N/A</v>
      </c>
      <c r="M1438" t="s">
        <v>83</v>
      </c>
    </row>
    <row r="1439" spans="5:13" hidden="1" x14ac:dyDescent="0.35">
      <c r="E1439" s="81"/>
      <c r="H1439" s="82"/>
      <c r="I1439" s="83" t="e">
        <f>VLOOKUP(E1439,[1]Mapping!$A$3:$B$14,2,FALSE)</f>
        <v>#N/A</v>
      </c>
      <c r="J1439" s="84">
        <f t="shared" si="46"/>
        <v>0</v>
      </c>
      <c r="K1439" s="84">
        <f t="shared" si="47"/>
        <v>0</v>
      </c>
      <c r="L1439" s="61" t="e">
        <f>VLOOKUP(K1439,[1]Mapping!$J$3:$Q$351,8,FALSE)</f>
        <v>#N/A</v>
      </c>
      <c r="M1439" t="s">
        <v>83</v>
      </c>
    </row>
    <row r="1440" spans="5:13" hidden="1" x14ac:dyDescent="0.35">
      <c r="E1440" s="81"/>
      <c r="H1440" s="82"/>
      <c r="I1440" s="83" t="e">
        <f>VLOOKUP(E1440,[1]Mapping!$A$3:$B$14,2,FALSE)</f>
        <v>#N/A</v>
      </c>
      <c r="J1440" s="84">
        <f t="shared" si="46"/>
        <v>0</v>
      </c>
      <c r="K1440" s="84">
        <f t="shared" si="47"/>
        <v>0</v>
      </c>
      <c r="L1440" s="61" t="e">
        <f>VLOOKUP(K1440,[1]Mapping!$J$3:$Q$351,8,FALSE)</f>
        <v>#N/A</v>
      </c>
      <c r="M1440" t="s">
        <v>83</v>
      </c>
    </row>
    <row r="1441" spans="5:13" hidden="1" x14ac:dyDescent="0.35">
      <c r="E1441" s="81"/>
      <c r="H1441" s="82"/>
      <c r="I1441" s="83" t="e">
        <f>VLOOKUP(E1441,[1]Mapping!$A$3:$B$14,2,FALSE)</f>
        <v>#N/A</v>
      </c>
      <c r="J1441" s="84">
        <f t="shared" si="46"/>
        <v>0</v>
      </c>
      <c r="K1441" s="84">
        <f t="shared" si="47"/>
        <v>0</v>
      </c>
      <c r="L1441" s="61" t="e">
        <f>VLOOKUP(K1441,[1]Mapping!$J$3:$Q$351,8,FALSE)</f>
        <v>#N/A</v>
      </c>
      <c r="M1441" t="s">
        <v>83</v>
      </c>
    </row>
    <row r="1442" spans="5:13" hidden="1" x14ac:dyDescent="0.35">
      <c r="E1442" s="81"/>
      <c r="H1442" s="82"/>
      <c r="I1442" s="83" t="e">
        <f>VLOOKUP(E1442,[1]Mapping!$A$3:$B$14,2,FALSE)</f>
        <v>#N/A</v>
      </c>
      <c r="J1442" s="84">
        <f t="shared" si="46"/>
        <v>0</v>
      </c>
      <c r="K1442" s="84">
        <f t="shared" si="47"/>
        <v>0</v>
      </c>
      <c r="L1442" s="61" t="e">
        <f>VLOOKUP(K1442,[1]Mapping!$J$3:$Q$351,8,FALSE)</f>
        <v>#N/A</v>
      </c>
      <c r="M1442" t="s">
        <v>83</v>
      </c>
    </row>
    <row r="1443" spans="5:13" hidden="1" x14ac:dyDescent="0.35">
      <c r="E1443" s="81"/>
      <c r="H1443" s="82"/>
      <c r="I1443" s="83" t="e">
        <f>VLOOKUP(E1443,[1]Mapping!$A$3:$B$14,2,FALSE)</f>
        <v>#N/A</v>
      </c>
      <c r="J1443" s="84">
        <f t="shared" si="46"/>
        <v>0</v>
      </c>
      <c r="K1443" s="84">
        <f t="shared" si="47"/>
        <v>0</v>
      </c>
      <c r="L1443" s="61" t="e">
        <f>VLOOKUP(K1443,[1]Mapping!$J$3:$Q$351,8,FALSE)</f>
        <v>#N/A</v>
      </c>
      <c r="M1443" t="s">
        <v>83</v>
      </c>
    </row>
    <row r="1444" spans="5:13" hidden="1" x14ac:dyDescent="0.35">
      <c r="E1444" s="81"/>
      <c r="H1444" s="82"/>
      <c r="I1444" s="83" t="e">
        <f>VLOOKUP(E1444,[1]Mapping!$A$3:$B$14,2,FALSE)</f>
        <v>#N/A</v>
      </c>
      <c r="J1444" s="84">
        <f t="shared" si="46"/>
        <v>0</v>
      </c>
      <c r="K1444" s="84">
        <f t="shared" si="47"/>
        <v>0</v>
      </c>
      <c r="L1444" s="61" t="e">
        <f>VLOOKUP(K1444,[1]Mapping!$J$3:$Q$351,8,FALSE)</f>
        <v>#N/A</v>
      </c>
      <c r="M1444" t="s">
        <v>83</v>
      </c>
    </row>
    <row r="1445" spans="5:13" hidden="1" x14ac:dyDescent="0.35">
      <c r="E1445" s="81"/>
      <c r="H1445" s="82"/>
      <c r="I1445" s="83" t="e">
        <f>VLOOKUP(E1445,[1]Mapping!$A$3:$B$14,2,FALSE)</f>
        <v>#N/A</v>
      </c>
      <c r="J1445" s="84">
        <f t="shared" si="46"/>
        <v>0</v>
      </c>
      <c r="K1445" s="84">
        <f t="shared" si="47"/>
        <v>0</v>
      </c>
      <c r="L1445" s="61" t="e">
        <f>VLOOKUP(K1445,[1]Mapping!$J$3:$Q$351,8,FALSE)</f>
        <v>#N/A</v>
      </c>
      <c r="M1445" t="s">
        <v>83</v>
      </c>
    </row>
    <row r="1446" spans="5:13" hidden="1" x14ac:dyDescent="0.35">
      <c r="E1446" s="81"/>
      <c r="H1446" s="82"/>
      <c r="I1446" s="83" t="e">
        <f>VLOOKUP(E1446,[1]Mapping!$A$3:$B$14,2,FALSE)</f>
        <v>#N/A</v>
      </c>
      <c r="J1446" s="84">
        <f t="shared" si="46"/>
        <v>0</v>
      </c>
      <c r="K1446" s="84">
        <f t="shared" si="47"/>
        <v>0</v>
      </c>
      <c r="L1446" s="61" t="e">
        <f>VLOOKUP(K1446,[1]Mapping!$J$3:$Q$351,8,FALSE)</f>
        <v>#N/A</v>
      </c>
      <c r="M1446" t="s">
        <v>83</v>
      </c>
    </row>
    <row r="1447" spans="5:13" hidden="1" x14ac:dyDescent="0.35">
      <c r="E1447" s="81"/>
      <c r="H1447" s="82"/>
      <c r="I1447" s="83" t="e">
        <f>VLOOKUP(E1447,[1]Mapping!$A$3:$B$14,2,FALSE)</f>
        <v>#N/A</v>
      </c>
      <c r="J1447" s="84">
        <f t="shared" si="46"/>
        <v>0</v>
      </c>
      <c r="K1447" s="84">
        <f t="shared" si="47"/>
        <v>0</v>
      </c>
      <c r="L1447" s="61" t="e">
        <f>VLOOKUP(K1447,[1]Mapping!$J$3:$Q$351,8,FALSE)</f>
        <v>#N/A</v>
      </c>
      <c r="M1447" t="s">
        <v>83</v>
      </c>
    </row>
    <row r="1448" spans="5:13" hidden="1" x14ac:dyDescent="0.35">
      <c r="E1448" s="81"/>
      <c r="H1448" s="82"/>
      <c r="I1448" s="83" t="e">
        <f>VLOOKUP(E1448,[1]Mapping!$A$3:$B$14,2,FALSE)</f>
        <v>#N/A</v>
      </c>
      <c r="J1448" s="84">
        <f t="shared" si="46"/>
        <v>0</v>
      </c>
      <c r="K1448" s="84">
        <f t="shared" si="47"/>
        <v>0</v>
      </c>
      <c r="L1448" s="61" t="e">
        <f>VLOOKUP(K1448,[1]Mapping!$J$3:$Q$351,8,FALSE)</f>
        <v>#N/A</v>
      </c>
      <c r="M1448" t="s">
        <v>83</v>
      </c>
    </row>
    <row r="1449" spans="5:13" hidden="1" x14ac:dyDescent="0.35">
      <c r="E1449" s="81"/>
      <c r="H1449" s="82"/>
      <c r="I1449" s="83" t="e">
        <f>VLOOKUP(E1449,[1]Mapping!$A$3:$B$14,2,FALSE)</f>
        <v>#N/A</v>
      </c>
      <c r="J1449" s="84">
        <f t="shared" si="46"/>
        <v>0</v>
      </c>
      <c r="K1449" s="84">
        <f t="shared" si="47"/>
        <v>0</v>
      </c>
      <c r="L1449" s="61" t="e">
        <f>VLOOKUP(K1449,[1]Mapping!$J$3:$Q$351,8,FALSE)</f>
        <v>#N/A</v>
      </c>
      <c r="M1449" t="s">
        <v>83</v>
      </c>
    </row>
    <row r="1450" spans="5:13" hidden="1" x14ac:dyDescent="0.35">
      <c r="E1450" s="81"/>
      <c r="H1450" s="82"/>
      <c r="I1450" s="83" t="e">
        <f>VLOOKUP(E1450,[1]Mapping!$A$3:$B$14,2,FALSE)</f>
        <v>#N/A</v>
      </c>
      <c r="J1450" s="84">
        <f t="shared" si="46"/>
        <v>0</v>
      </c>
      <c r="K1450" s="84">
        <f t="shared" si="47"/>
        <v>0</v>
      </c>
      <c r="L1450" s="61" t="e">
        <f>VLOOKUP(K1450,[1]Mapping!$J$3:$Q$351,8,FALSE)</f>
        <v>#N/A</v>
      </c>
      <c r="M1450" t="s">
        <v>83</v>
      </c>
    </row>
    <row r="1451" spans="5:13" hidden="1" x14ac:dyDescent="0.35">
      <c r="E1451" s="81"/>
      <c r="H1451" s="82"/>
      <c r="I1451" s="83" t="e">
        <f>VLOOKUP(E1451,[1]Mapping!$A$3:$B$14,2,FALSE)</f>
        <v>#N/A</v>
      </c>
      <c r="J1451" s="84">
        <f t="shared" si="46"/>
        <v>0</v>
      </c>
      <c r="K1451" s="84">
        <f t="shared" si="47"/>
        <v>0</v>
      </c>
      <c r="L1451" s="61" t="e">
        <f>VLOOKUP(K1451,[1]Mapping!$J$3:$Q$351,8,FALSE)</f>
        <v>#N/A</v>
      </c>
      <c r="M1451" t="s">
        <v>83</v>
      </c>
    </row>
    <row r="1452" spans="5:13" hidden="1" x14ac:dyDescent="0.35">
      <c r="E1452" s="81"/>
      <c r="H1452" s="82"/>
      <c r="I1452" s="83" t="e">
        <f>VLOOKUP(E1452,[1]Mapping!$A$3:$B$14,2,FALSE)</f>
        <v>#N/A</v>
      </c>
      <c r="J1452" s="84">
        <f t="shared" si="46"/>
        <v>0</v>
      </c>
      <c r="K1452" s="84">
        <f t="shared" si="47"/>
        <v>0</v>
      </c>
      <c r="L1452" s="61" t="e">
        <f>VLOOKUP(K1452,[1]Mapping!$J$3:$Q$351,8,FALSE)</f>
        <v>#N/A</v>
      </c>
      <c r="M1452" t="s">
        <v>83</v>
      </c>
    </row>
    <row r="1453" spans="5:13" hidden="1" x14ac:dyDescent="0.35">
      <c r="E1453" s="81"/>
      <c r="H1453" s="82"/>
      <c r="I1453" s="83" t="e">
        <f>VLOOKUP(E1453,[1]Mapping!$A$3:$B$14,2,FALSE)</f>
        <v>#N/A</v>
      </c>
      <c r="J1453" s="84">
        <f t="shared" si="46"/>
        <v>0</v>
      </c>
      <c r="K1453" s="84">
        <f t="shared" si="47"/>
        <v>0</v>
      </c>
      <c r="L1453" s="61" t="e">
        <f>VLOOKUP(K1453,[1]Mapping!$J$3:$Q$351,8,FALSE)</f>
        <v>#N/A</v>
      </c>
      <c r="M1453" t="s">
        <v>83</v>
      </c>
    </row>
    <row r="1454" spans="5:13" hidden="1" x14ac:dyDescent="0.35">
      <c r="E1454" s="81"/>
      <c r="H1454" s="82"/>
      <c r="I1454" s="83" t="e">
        <f>VLOOKUP(E1454,[1]Mapping!$A$3:$B$14,2,FALSE)</f>
        <v>#N/A</v>
      </c>
      <c r="J1454" s="84">
        <f t="shared" si="46"/>
        <v>0</v>
      </c>
      <c r="K1454" s="84">
        <f t="shared" si="47"/>
        <v>0</v>
      </c>
      <c r="L1454" s="61" t="e">
        <f>VLOOKUP(K1454,[1]Mapping!$J$3:$Q$351,8,FALSE)</f>
        <v>#N/A</v>
      </c>
      <c r="M1454" t="s">
        <v>83</v>
      </c>
    </row>
    <row r="1455" spans="5:13" hidden="1" x14ac:dyDescent="0.35">
      <c r="E1455" s="81"/>
      <c r="H1455" s="82"/>
      <c r="I1455" s="83" t="e">
        <f>VLOOKUP(E1455,[1]Mapping!$A$3:$B$14,2,FALSE)</f>
        <v>#N/A</v>
      </c>
      <c r="J1455" s="84">
        <f t="shared" si="46"/>
        <v>0</v>
      </c>
      <c r="K1455" s="84">
        <f t="shared" si="47"/>
        <v>0</v>
      </c>
      <c r="L1455" s="61" t="e">
        <f>VLOOKUP(K1455,[1]Mapping!$J$3:$Q$351,8,FALSE)</f>
        <v>#N/A</v>
      </c>
      <c r="M1455" t="s">
        <v>83</v>
      </c>
    </row>
    <row r="1456" spans="5:13" hidden="1" x14ac:dyDescent="0.35">
      <c r="E1456" s="81"/>
      <c r="H1456" s="82"/>
      <c r="I1456" s="83" t="e">
        <f>VLOOKUP(E1456,[1]Mapping!$A$3:$B$14,2,FALSE)</f>
        <v>#N/A</v>
      </c>
      <c r="J1456" s="84">
        <f t="shared" si="46"/>
        <v>0</v>
      </c>
      <c r="K1456" s="84">
        <f t="shared" si="47"/>
        <v>0</v>
      </c>
      <c r="L1456" s="61" t="e">
        <f>VLOOKUP(K1456,[1]Mapping!$J$3:$Q$351,8,FALSE)</f>
        <v>#N/A</v>
      </c>
      <c r="M1456" t="s">
        <v>83</v>
      </c>
    </row>
    <row r="1457" spans="5:13" hidden="1" x14ac:dyDescent="0.35">
      <c r="E1457" s="81"/>
      <c r="H1457" s="82"/>
      <c r="I1457" s="83" t="e">
        <f>VLOOKUP(E1457,[1]Mapping!$A$3:$B$14,2,FALSE)</f>
        <v>#N/A</v>
      </c>
      <c r="J1457" s="84">
        <f t="shared" si="46"/>
        <v>0</v>
      </c>
      <c r="K1457" s="84">
        <f t="shared" si="47"/>
        <v>0</v>
      </c>
      <c r="L1457" s="61" t="e">
        <f>VLOOKUP(K1457,[1]Mapping!$J$3:$Q$351,8,FALSE)</f>
        <v>#N/A</v>
      </c>
      <c r="M1457" t="s">
        <v>83</v>
      </c>
    </row>
    <row r="1458" spans="5:13" hidden="1" x14ac:dyDescent="0.35">
      <c r="E1458" s="81"/>
      <c r="H1458" s="82"/>
      <c r="I1458" s="83" t="e">
        <f>VLOOKUP(E1458,[1]Mapping!$A$3:$B$14,2,FALSE)</f>
        <v>#N/A</v>
      </c>
      <c r="J1458" s="84">
        <f t="shared" si="46"/>
        <v>0</v>
      </c>
      <c r="K1458" s="84">
        <f t="shared" si="47"/>
        <v>0</v>
      </c>
      <c r="L1458" s="61" t="e">
        <f>VLOOKUP(K1458,[1]Mapping!$J$3:$Q$351,8,FALSE)</f>
        <v>#N/A</v>
      </c>
      <c r="M1458" t="s">
        <v>83</v>
      </c>
    </row>
    <row r="1459" spans="5:13" hidden="1" x14ac:dyDescent="0.35">
      <c r="E1459" s="81"/>
      <c r="H1459" s="82"/>
      <c r="I1459" s="83" t="e">
        <f>VLOOKUP(E1459,[1]Mapping!$A$3:$B$14,2,FALSE)</f>
        <v>#N/A</v>
      </c>
      <c r="J1459" s="84">
        <f t="shared" si="46"/>
        <v>0</v>
      </c>
      <c r="K1459" s="84">
        <f t="shared" si="47"/>
        <v>0</v>
      </c>
      <c r="L1459" s="61" t="e">
        <f>VLOOKUP(K1459,[1]Mapping!$J$3:$Q$351,8,FALSE)</f>
        <v>#N/A</v>
      </c>
      <c r="M1459" t="s">
        <v>83</v>
      </c>
    </row>
    <row r="1460" spans="5:13" hidden="1" x14ac:dyDescent="0.35">
      <c r="E1460" s="81"/>
      <c r="H1460" s="82"/>
      <c r="I1460" s="83" t="e">
        <f>VLOOKUP(E1460,[1]Mapping!$A$3:$B$14,2,FALSE)</f>
        <v>#N/A</v>
      </c>
      <c r="J1460" s="84">
        <f t="shared" si="46"/>
        <v>0</v>
      </c>
      <c r="K1460" s="84">
        <f t="shared" si="47"/>
        <v>0</v>
      </c>
      <c r="L1460" s="61" t="e">
        <f>VLOOKUP(K1460,[1]Mapping!$J$3:$Q$351,8,FALSE)</f>
        <v>#N/A</v>
      </c>
      <c r="M1460" t="s">
        <v>83</v>
      </c>
    </row>
    <row r="1461" spans="5:13" hidden="1" x14ac:dyDescent="0.35">
      <c r="E1461" s="81"/>
      <c r="H1461" s="82"/>
      <c r="I1461" s="83" t="e">
        <f>VLOOKUP(E1461,[1]Mapping!$A$3:$B$14,2,FALSE)</f>
        <v>#N/A</v>
      </c>
      <c r="J1461" s="84">
        <f t="shared" si="46"/>
        <v>0</v>
      </c>
      <c r="K1461" s="84">
        <f t="shared" si="47"/>
        <v>0</v>
      </c>
      <c r="L1461" s="61" t="e">
        <f>VLOOKUP(K1461,[1]Mapping!$J$3:$Q$351,8,FALSE)</f>
        <v>#N/A</v>
      </c>
      <c r="M1461" t="s">
        <v>83</v>
      </c>
    </row>
    <row r="1462" spans="5:13" hidden="1" x14ac:dyDescent="0.35">
      <c r="E1462" s="81"/>
      <c r="H1462" s="82"/>
      <c r="I1462" s="83" t="e">
        <f>VLOOKUP(E1462,[1]Mapping!$A$3:$B$14,2,FALSE)</f>
        <v>#N/A</v>
      </c>
      <c r="J1462" s="84">
        <f t="shared" si="46"/>
        <v>0</v>
      </c>
      <c r="K1462" s="84">
        <f t="shared" si="47"/>
        <v>0</v>
      </c>
      <c r="L1462" s="61" t="e">
        <f>VLOOKUP(K1462,[1]Mapping!$J$3:$Q$351,8,FALSE)</f>
        <v>#N/A</v>
      </c>
      <c r="M1462" t="s">
        <v>83</v>
      </c>
    </row>
    <row r="1463" spans="5:13" hidden="1" x14ac:dyDescent="0.35">
      <c r="E1463" s="81"/>
      <c r="H1463" s="82"/>
      <c r="I1463" s="83" t="e">
        <f>VLOOKUP(E1463,[1]Mapping!$A$3:$B$14,2,FALSE)</f>
        <v>#N/A</v>
      </c>
      <c r="J1463" s="84">
        <f t="shared" si="46"/>
        <v>0</v>
      </c>
      <c r="K1463" s="84">
        <f t="shared" si="47"/>
        <v>0</v>
      </c>
      <c r="L1463" s="61" t="e">
        <f>VLOOKUP(K1463,[1]Mapping!$J$3:$Q$351,8,FALSE)</f>
        <v>#N/A</v>
      </c>
      <c r="M1463" t="s">
        <v>83</v>
      </c>
    </row>
    <row r="1464" spans="5:13" hidden="1" x14ac:dyDescent="0.35">
      <c r="E1464" s="81"/>
      <c r="H1464" s="82"/>
      <c r="I1464" s="83" t="e">
        <f>VLOOKUP(E1464,[1]Mapping!$A$3:$B$14,2,FALSE)</f>
        <v>#N/A</v>
      </c>
      <c r="J1464" s="84">
        <f t="shared" si="46"/>
        <v>0</v>
      </c>
      <c r="K1464" s="84">
        <f t="shared" si="47"/>
        <v>0</v>
      </c>
      <c r="L1464" s="61" t="e">
        <f>VLOOKUP(K1464,[1]Mapping!$J$3:$Q$351,8,FALSE)</f>
        <v>#N/A</v>
      </c>
      <c r="M1464" t="s">
        <v>83</v>
      </c>
    </row>
    <row r="1465" spans="5:13" hidden="1" x14ac:dyDescent="0.35">
      <c r="E1465" s="81"/>
      <c r="H1465" s="82"/>
      <c r="I1465" s="83" t="e">
        <f>VLOOKUP(E1465,[1]Mapping!$A$3:$B$14,2,FALSE)</f>
        <v>#N/A</v>
      </c>
      <c r="J1465" s="84">
        <f t="shared" si="46"/>
        <v>0</v>
      </c>
      <c r="K1465" s="84">
        <f t="shared" si="47"/>
        <v>0</v>
      </c>
      <c r="L1465" s="61" t="e">
        <f>VLOOKUP(K1465,[1]Mapping!$J$3:$Q$351,8,FALSE)</f>
        <v>#N/A</v>
      </c>
      <c r="M1465" t="s">
        <v>83</v>
      </c>
    </row>
    <row r="1466" spans="5:13" hidden="1" x14ac:dyDescent="0.35">
      <c r="E1466" s="81"/>
      <c r="H1466" s="82"/>
      <c r="I1466" s="83" t="e">
        <f>VLOOKUP(E1466,[1]Mapping!$A$3:$B$14,2,FALSE)</f>
        <v>#N/A</v>
      </c>
      <c r="J1466" s="84">
        <f t="shared" si="46"/>
        <v>0</v>
      </c>
      <c r="K1466" s="84">
        <f t="shared" si="47"/>
        <v>0</v>
      </c>
      <c r="L1466" s="61" t="e">
        <f>VLOOKUP(K1466,[1]Mapping!$J$3:$Q$351,8,FALSE)</f>
        <v>#N/A</v>
      </c>
      <c r="M1466" t="s">
        <v>83</v>
      </c>
    </row>
    <row r="1467" spans="5:13" hidden="1" x14ac:dyDescent="0.35">
      <c r="E1467" s="81"/>
      <c r="H1467" s="82"/>
      <c r="I1467" s="83" t="e">
        <f>VLOOKUP(E1467,[1]Mapping!$A$3:$B$14,2,FALSE)</f>
        <v>#N/A</v>
      </c>
      <c r="J1467" s="84">
        <f t="shared" si="46"/>
        <v>0</v>
      </c>
      <c r="K1467" s="84">
        <f t="shared" si="47"/>
        <v>0</v>
      </c>
      <c r="L1467" s="61" t="e">
        <f>VLOOKUP(K1467,[1]Mapping!$J$3:$Q$351,8,FALSE)</f>
        <v>#N/A</v>
      </c>
      <c r="M1467" t="s">
        <v>83</v>
      </c>
    </row>
    <row r="1468" spans="5:13" hidden="1" x14ac:dyDescent="0.35">
      <c r="E1468" s="81"/>
      <c r="H1468" s="82"/>
      <c r="I1468" s="83" t="e">
        <f>VLOOKUP(E1468,[1]Mapping!$A$3:$B$14,2,FALSE)</f>
        <v>#N/A</v>
      </c>
      <c r="J1468" s="84">
        <f t="shared" si="46"/>
        <v>0</v>
      </c>
      <c r="K1468" s="84">
        <f t="shared" si="47"/>
        <v>0</v>
      </c>
      <c r="L1468" s="61" t="e">
        <f>VLOOKUP(K1468,[1]Mapping!$J$3:$Q$351,8,FALSE)</f>
        <v>#N/A</v>
      </c>
      <c r="M1468" t="s">
        <v>83</v>
      </c>
    </row>
    <row r="1469" spans="5:13" hidden="1" x14ac:dyDescent="0.35">
      <c r="E1469" s="81"/>
      <c r="H1469" s="82"/>
      <c r="I1469" s="83" t="e">
        <f>VLOOKUP(E1469,[1]Mapping!$A$3:$B$14,2,FALSE)</f>
        <v>#N/A</v>
      </c>
      <c r="J1469" s="84">
        <f t="shared" si="46"/>
        <v>0</v>
      </c>
      <c r="K1469" s="84">
        <f t="shared" si="47"/>
        <v>0</v>
      </c>
      <c r="L1469" s="61" t="e">
        <f>VLOOKUP(K1469,[1]Mapping!$J$3:$Q$351,8,FALSE)</f>
        <v>#N/A</v>
      </c>
      <c r="M1469" t="s">
        <v>83</v>
      </c>
    </row>
    <row r="1470" spans="5:13" hidden="1" x14ac:dyDescent="0.35">
      <c r="E1470" s="81"/>
      <c r="H1470" s="82"/>
      <c r="I1470" s="83" t="e">
        <f>VLOOKUP(E1470,[1]Mapping!$A$3:$B$14,2,FALSE)</f>
        <v>#N/A</v>
      </c>
      <c r="J1470" s="84">
        <f t="shared" si="46"/>
        <v>0</v>
      </c>
      <c r="K1470" s="84">
        <f t="shared" si="47"/>
        <v>0</v>
      </c>
      <c r="L1470" s="61" t="e">
        <f>VLOOKUP(K1470,[1]Mapping!$J$3:$Q$351,8,FALSE)</f>
        <v>#N/A</v>
      </c>
      <c r="M1470" t="s">
        <v>83</v>
      </c>
    </row>
    <row r="1471" spans="5:13" hidden="1" x14ac:dyDescent="0.35">
      <c r="E1471" s="81"/>
      <c r="H1471" s="82"/>
      <c r="I1471" s="83" t="e">
        <f>VLOOKUP(E1471,[1]Mapping!$A$3:$B$14,2,FALSE)</f>
        <v>#N/A</v>
      </c>
      <c r="J1471" s="84">
        <f t="shared" si="46"/>
        <v>0</v>
      </c>
      <c r="K1471" s="84">
        <f t="shared" si="47"/>
        <v>0</v>
      </c>
      <c r="L1471" s="61" t="e">
        <f>VLOOKUP(K1471,[1]Mapping!$J$3:$Q$351,8,FALSE)</f>
        <v>#N/A</v>
      </c>
      <c r="M1471" t="s">
        <v>83</v>
      </c>
    </row>
    <row r="1472" spans="5:13" hidden="1" x14ac:dyDescent="0.35">
      <c r="E1472" s="81"/>
      <c r="H1472" s="82"/>
      <c r="I1472" s="83" t="e">
        <f>VLOOKUP(E1472,[1]Mapping!$A$3:$B$14,2,FALSE)</f>
        <v>#N/A</v>
      </c>
      <c r="J1472" s="84">
        <f t="shared" si="46"/>
        <v>0</v>
      </c>
      <c r="K1472" s="84">
        <f t="shared" si="47"/>
        <v>0</v>
      </c>
      <c r="L1472" s="61" t="e">
        <f>VLOOKUP(K1472,[1]Mapping!$J$3:$Q$351,8,FALSE)</f>
        <v>#N/A</v>
      </c>
      <c r="M1472" t="s">
        <v>83</v>
      </c>
    </row>
    <row r="1473" spans="5:13" hidden="1" x14ac:dyDescent="0.35">
      <c r="E1473" s="81"/>
      <c r="H1473" s="82"/>
      <c r="I1473" s="83" t="e">
        <f>VLOOKUP(E1473,[1]Mapping!$A$3:$B$14,2,FALSE)</f>
        <v>#N/A</v>
      </c>
      <c r="J1473" s="84">
        <f t="shared" si="46"/>
        <v>0</v>
      </c>
      <c r="K1473" s="84">
        <f t="shared" si="47"/>
        <v>0</v>
      </c>
      <c r="L1473" s="61" t="e">
        <f>VLOOKUP(K1473,[1]Mapping!$J$3:$Q$351,8,FALSE)</f>
        <v>#N/A</v>
      </c>
      <c r="M1473" t="s">
        <v>83</v>
      </c>
    </row>
    <row r="1474" spans="5:13" hidden="1" x14ac:dyDescent="0.35">
      <c r="E1474" s="81"/>
      <c r="H1474" s="82"/>
      <c r="I1474" s="83" t="e">
        <f>VLOOKUP(E1474,[1]Mapping!$A$3:$B$14,2,FALSE)</f>
        <v>#N/A</v>
      </c>
      <c r="J1474" s="84">
        <f t="shared" si="46"/>
        <v>0</v>
      </c>
      <c r="K1474" s="84">
        <f t="shared" si="47"/>
        <v>0</v>
      </c>
      <c r="L1474" s="61" t="e">
        <f>VLOOKUP(K1474,[1]Mapping!$J$3:$Q$351,8,FALSE)</f>
        <v>#N/A</v>
      </c>
      <c r="M1474" t="s">
        <v>83</v>
      </c>
    </row>
    <row r="1475" spans="5:13" hidden="1" x14ac:dyDescent="0.35">
      <c r="E1475" s="81"/>
      <c r="H1475" s="82"/>
      <c r="I1475" s="83" t="e">
        <f>VLOOKUP(E1475,[1]Mapping!$A$3:$B$14,2,FALSE)</f>
        <v>#N/A</v>
      </c>
      <c r="J1475" s="84">
        <f t="shared" si="46"/>
        <v>0</v>
      </c>
      <c r="K1475" s="84">
        <f t="shared" si="47"/>
        <v>0</v>
      </c>
      <c r="L1475" s="61" t="e">
        <f>VLOOKUP(K1475,[1]Mapping!$J$3:$Q$351,8,FALSE)</f>
        <v>#N/A</v>
      </c>
      <c r="M1475" t="s">
        <v>83</v>
      </c>
    </row>
    <row r="1476" spans="5:13" hidden="1" x14ac:dyDescent="0.35">
      <c r="E1476" s="81"/>
      <c r="H1476" s="82"/>
      <c r="I1476" s="83" t="e">
        <f>VLOOKUP(E1476,[1]Mapping!$A$3:$B$14,2,FALSE)</f>
        <v>#N/A</v>
      </c>
      <c r="J1476" s="84">
        <f t="shared" ref="J1476:J1539" si="48">VALUE(A1476)</f>
        <v>0</v>
      </c>
      <c r="K1476" s="84">
        <f t="shared" ref="K1476:K1539" si="49">VALUE(C1476)</f>
        <v>0</v>
      </c>
      <c r="L1476" s="61" t="e">
        <f>VLOOKUP(K1476,[1]Mapping!$J$3:$Q$351,8,FALSE)</f>
        <v>#N/A</v>
      </c>
      <c r="M1476" t="s">
        <v>83</v>
      </c>
    </row>
    <row r="1477" spans="5:13" hidden="1" x14ac:dyDescent="0.35">
      <c r="E1477" s="81"/>
      <c r="H1477" s="82"/>
      <c r="I1477" s="83" t="e">
        <f>VLOOKUP(E1477,[1]Mapping!$A$3:$B$14,2,FALSE)</f>
        <v>#N/A</v>
      </c>
      <c r="J1477" s="84">
        <f t="shared" si="48"/>
        <v>0</v>
      </c>
      <c r="K1477" s="84">
        <f t="shared" si="49"/>
        <v>0</v>
      </c>
      <c r="L1477" s="61" t="e">
        <f>VLOOKUP(K1477,[1]Mapping!$J$3:$Q$351,8,FALSE)</f>
        <v>#N/A</v>
      </c>
      <c r="M1477" t="s">
        <v>83</v>
      </c>
    </row>
    <row r="1478" spans="5:13" hidden="1" x14ac:dyDescent="0.35">
      <c r="E1478" s="81"/>
      <c r="H1478" s="82"/>
      <c r="I1478" s="83" t="e">
        <f>VLOOKUP(E1478,[1]Mapping!$A$3:$B$14,2,FALSE)</f>
        <v>#N/A</v>
      </c>
      <c r="J1478" s="84">
        <f t="shared" si="48"/>
        <v>0</v>
      </c>
      <c r="K1478" s="84">
        <f t="shared" si="49"/>
        <v>0</v>
      </c>
      <c r="L1478" s="61" t="e">
        <f>VLOOKUP(K1478,[1]Mapping!$J$3:$Q$351,8,FALSE)</f>
        <v>#N/A</v>
      </c>
      <c r="M1478" t="s">
        <v>83</v>
      </c>
    </row>
    <row r="1479" spans="5:13" hidden="1" x14ac:dyDescent="0.35">
      <c r="E1479" s="81"/>
      <c r="H1479" s="82"/>
      <c r="I1479" s="83" t="e">
        <f>VLOOKUP(E1479,[1]Mapping!$A$3:$B$14,2,FALSE)</f>
        <v>#N/A</v>
      </c>
      <c r="J1479" s="84">
        <f t="shared" si="48"/>
        <v>0</v>
      </c>
      <c r="K1479" s="84">
        <f t="shared" si="49"/>
        <v>0</v>
      </c>
      <c r="L1479" s="61" t="e">
        <f>VLOOKUP(K1479,[1]Mapping!$J$3:$Q$351,8,FALSE)</f>
        <v>#N/A</v>
      </c>
      <c r="M1479" t="s">
        <v>83</v>
      </c>
    </row>
    <row r="1480" spans="5:13" hidden="1" x14ac:dyDescent="0.35">
      <c r="E1480" s="81"/>
      <c r="H1480" s="82"/>
      <c r="I1480" s="83" t="e">
        <f>VLOOKUP(E1480,[1]Mapping!$A$3:$B$14,2,FALSE)</f>
        <v>#N/A</v>
      </c>
      <c r="J1480" s="84">
        <f t="shared" si="48"/>
        <v>0</v>
      </c>
      <c r="K1480" s="84">
        <f t="shared" si="49"/>
        <v>0</v>
      </c>
      <c r="L1480" s="61" t="e">
        <f>VLOOKUP(K1480,[1]Mapping!$J$3:$Q$351,8,FALSE)</f>
        <v>#N/A</v>
      </c>
      <c r="M1480" t="s">
        <v>83</v>
      </c>
    </row>
    <row r="1481" spans="5:13" hidden="1" x14ac:dyDescent="0.35">
      <c r="E1481" s="81"/>
      <c r="H1481" s="82"/>
      <c r="I1481" s="83" t="e">
        <f>VLOOKUP(E1481,[1]Mapping!$A$3:$B$14,2,FALSE)</f>
        <v>#N/A</v>
      </c>
      <c r="J1481" s="84">
        <f t="shared" si="48"/>
        <v>0</v>
      </c>
      <c r="K1481" s="84">
        <f t="shared" si="49"/>
        <v>0</v>
      </c>
      <c r="L1481" s="61" t="e">
        <f>VLOOKUP(K1481,[1]Mapping!$J$3:$Q$351,8,FALSE)</f>
        <v>#N/A</v>
      </c>
      <c r="M1481" t="s">
        <v>83</v>
      </c>
    </row>
    <row r="1482" spans="5:13" hidden="1" x14ac:dyDescent="0.35">
      <c r="E1482" s="81"/>
      <c r="H1482" s="82"/>
      <c r="I1482" s="83" t="e">
        <f>VLOOKUP(E1482,[1]Mapping!$A$3:$B$14,2,FALSE)</f>
        <v>#N/A</v>
      </c>
      <c r="J1482" s="84">
        <f t="shared" si="48"/>
        <v>0</v>
      </c>
      <c r="K1482" s="84">
        <f t="shared" si="49"/>
        <v>0</v>
      </c>
      <c r="L1482" s="61" t="e">
        <f>VLOOKUP(K1482,[1]Mapping!$J$3:$Q$351,8,FALSE)</f>
        <v>#N/A</v>
      </c>
      <c r="M1482" t="s">
        <v>83</v>
      </c>
    </row>
    <row r="1483" spans="5:13" hidden="1" x14ac:dyDescent="0.35">
      <c r="E1483" s="81"/>
      <c r="H1483" s="82"/>
      <c r="I1483" s="83" t="e">
        <f>VLOOKUP(E1483,[1]Mapping!$A$3:$B$14,2,FALSE)</f>
        <v>#N/A</v>
      </c>
      <c r="J1483" s="84">
        <f t="shared" si="48"/>
        <v>0</v>
      </c>
      <c r="K1483" s="84">
        <f t="shared" si="49"/>
        <v>0</v>
      </c>
      <c r="L1483" s="61" t="e">
        <f>VLOOKUP(K1483,[1]Mapping!$J$3:$Q$351,8,FALSE)</f>
        <v>#N/A</v>
      </c>
      <c r="M1483" t="s">
        <v>83</v>
      </c>
    </row>
    <row r="1484" spans="5:13" hidden="1" x14ac:dyDescent="0.35">
      <c r="E1484" s="81"/>
      <c r="H1484" s="82"/>
      <c r="I1484" s="83" t="e">
        <f>VLOOKUP(E1484,[1]Mapping!$A$3:$B$14,2,FALSE)</f>
        <v>#N/A</v>
      </c>
      <c r="J1484" s="84">
        <f t="shared" si="48"/>
        <v>0</v>
      </c>
      <c r="K1484" s="84">
        <f t="shared" si="49"/>
        <v>0</v>
      </c>
      <c r="L1484" s="61" t="e">
        <f>VLOOKUP(K1484,[1]Mapping!$J$3:$Q$351,8,FALSE)</f>
        <v>#N/A</v>
      </c>
      <c r="M1484" t="s">
        <v>83</v>
      </c>
    </row>
    <row r="1485" spans="5:13" hidden="1" x14ac:dyDescent="0.35">
      <c r="E1485" s="81"/>
      <c r="H1485" s="82"/>
      <c r="I1485" s="83" t="e">
        <f>VLOOKUP(E1485,[1]Mapping!$A$3:$B$14,2,FALSE)</f>
        <v>#N/A</v>
      </c>
      <c r="J1485" s="84">
        <f t="shared" si="48"/>
        <v>0</v>
      </c>
      <c r="K1485" s="84">
        <f t="shared" si="49"/>
        <v>0</v>
      </c>
      <c r="L1485" s="61" t="e">
        <f>VLOOKUP(K1485,[1]Mapping!$J$3:$Q$351,8,FALSE)</f>
        <v>#N/A</v>
      </c>
      <c r="M1485" t="s">
        <v>83</v>
      </c>
    </row>
    <row r="1486" spans="5:13" hidden="1" x14ac:dyDescent="0.35">
      <c r="E1486" s="81"/>
      <c r="H1486" s="82"/>
      <c r="I1486" s="83" t="e">
        <f>VLOOKUP(E1486,[1]Mapping!$A$3:$B$14,2,FALSE)</f>
        <v>#N/A</v>
      </c>
      <c r="J1486" s="84">
        <f t="shared" si="48"/>
        <v>0</v>
      </c>
      <c r="K1486" s="84">
        <f t="shared" si="49"/>
        <v>0</v>
      </c>
      <c r="L1486" s="61" t="e">
        <f>VLOOKUP(K1486,[1]Mapping!$J$3:$Q$351,8,FALSE)</f>
        <v>#N/A</v>
      </c>
      <c r="M1486" t="s">
        <v>83</v>
      </c>
    </row>
    <row r="1487" spans="5:13" hidden="1" x14ac:dyDescent="0.35">
      <c r="E1487" s="81"/>
      <c r="H1487" s="82"/>
      <c r="I1487" s="83" t="e">
        <f>VLOOKUP(E1487,[1]Mapping!$A$3:$B$14,2,FALSE)</f>
        <v>#N/A</v>
      </c>
      <c r="J1487" s="84">
        <f t="shared" si="48"/>
        <v>0</v>
      </c>
      <c r="K1487" s="84">
        <f t="shared" si="49"/>
        <v>0</v>
      </c>
      <c r="L1487" s="61" t="e">
        <f>VLOOKUP(K1487,[1]Mapping!$J$3:$Q$351,8,FALSE)</f>
        <v>#N/A</v>
      </c>
      <c r="M1487" t="s">
        <v>83</v>
      </c>
    </row>
    <row r="1488" spans="5:13" hidden="1" x14ac:dyDescent="0.35">
      <c r="E1488" s="81"/>
      <c r="H1488" s="82"/>
      <c r="I1488" s="83" t="e">
        <f>VLOOKUP(E1488,[1]Mapping!$A$3:$B$14,2,FALSE)</f>
        <v>#N/A</v>
      </c>
      <c r="J1488" s="84">
        <f t="shared" si="48"/>
        <v>0</v>
      </c>
      <c r="K1488" s="84">
        <f t="shared" si="49"/>
        <v>0</v>
      </c>
      <c r="L1488" s="61" t="e">
        <f>VLOOKUP(K1488,[1]Mapping!$J$3:$Q$351,8,FALSE)</f>
        <v>#N/A</v>
      </c>
      <c r="M1488" t="s">
        <v>83</v>
      </c>
    </row>
    <row r="1489" spans="5:18" hidden="1" x14ac:dyDescent="0.35">
      <c r="E1489" s="81"/>
      <c r="H1489" s="82"/>
      <c r="I1489" s="83" t="e">
        <f>VLOOKUP(E1489,[1]Mapping!$A$3:$B$14,2,FALSE)</f>
        <v>#N/A</v>
      </c>
      <c r="J1489" s="84">
        <f t="shared" si="48"/>
        <v>0</v>
      </c>
      <c r="K1489" s="84">
        <f t="shared" si="49"/>
        <v>0</v>
      </c>
      <c r="L1489" s="61" t="e">
        <f>VLOOKUP(K1489,[1]Mapping!$J$3:$Q$351,8,FALSE)</f>
        <v>#N/A</v>
      </c>
      <c r="M1489" t="s">
        <v>83</v>
      </c>
    </row>
    <row r="1490" spans="5:18" hidden="1" x14ac:dyDescent="0.35">
      <c r="E1490" s="81"/>
      <c r="H1490" s="82"/>
      <c r="I1490" s="83" t="e">
        <f>VLOOKUP(E1490,[1]Mapping!$A$3:$B$14,2,FALSE)</f>
        <v>#N/A</v>
      </c>
      <c r="J1490" s="84">
        <f t="shared" si="48"/>
        <v>0</v>
      </c>
      <c r="K1490" s="84">
        <f t="shared" si="49"/>
        <v>0</v>
      </c>
      <c r="L1490" s="61" t="e">
        <f>VLOOKUP(K1490,[1]Mapping!$J$3:$Q$351,8,FALSE)</f>
        <v>#N/A</v>
      </c>
      <c r="M1490" t="s">
        <v>83</v>
      </c>
    </row>
    <row r="1491" spans="5:18" hidden="1" x14ac:dyDescent="0.35">
      <c r="E1491" s="81"/>
      <c r="H1491" s="82"/>
      <c r="I1491" s="83" t="e">
        <f>VLOOKUP(E1491,[1]Mapping!$A$3:$B$14,2,FALSE)</f>
        <v>#N/A</v>
      </c>
      <c r="J1491" s="84">
        <f t="shared" si="48"/>
        <v>0</v>
      </c>
      <c r="K1491" s="84">
        <f t="shared" si="49"/>
        <v>0</v>
      </c>
      <c r="L1491" s="61" t="e">
        <f>VLOOKUP(K1491,[1]Mapping!$J$3:$Q$351,8,FALSE)</f>
        <v>#N/A</v>
      </c>
      <c r="M1491" t="s">
        <v>83</v>
      </c>
    </row>
    <row r="1492" spans="5:18" hidden="1" x14ac:dyDescent="0.35">
      <c r="E1492" s="81"/>
      <c r="H1492" s="82"/>
      <c r="I1492" s="83" t="e">
        <f>VLOOKUP(E1492,[1]Mapping!$A$3:$B$14,2,FALSE)</f>
        <v>#N/A</v>
      </c>
      <c r="J1492" s="84">
        <f t="shared" si="48"/>
        <v>0</v>
      </c>
      <c r="K1492" s="84">
        <f t="shared" si="49"/>
        <v>0</v>
      </c>
      <c r="L1492" s="61" t="e">
        <f>VLOOKUP(K1492,[1]Mapping!$J$3:$Q$351,8,FALSE)</f>
        <v>#N/A</v>
      </c>
      <c r="M1492" t="s">
        <v>83</v>
      </c>
    </row>
    <row r="1493" spans="5:18" hidden="1" x14ac:dyDescent="0.35">
      <c r="E1493" s="81"/>
      <c r="H1493" s="82"/>
      <c r="I1493" s="83" t="e">
        <f>VLOOKUP(E1493,[1]Mapping!$A$3:$B$14,2,FALSE)</f>
        <v>#N/A</v>
      </c>
      <c r="J1493" s="84">
        <f t="shared" si="48"/>
        <v>0</v>
      </c>
      <c r="K1493" s="84">
        <f t="shared" si="49"/>
        <v>0</v>
      </c>
      <c r="L1493" s="61" t="e">
        <f>VLOOKUP(K1493,[1]Mapping!$J$3:$Q$351,8,FALSE)</f>
        <v>#N/A</v>
      </c>
      <c r="M1493" t="s">
        <v>83</v>
      </c>
    </row>
    <row r="1494" spans="5:18" hidden="1" x14ac:dyDescent="0.35">
      <c r="E1494" s="81"/>
      <c r="H1494" s="82"/>
      <c r="I1494" s="83" t="e">
        <f>VLOOKUP(E1494,[1]Mapping!$A$3:$B$14,2,FALSE)</f>
        <v>#N/A</v>
      </c>
      <c r="J1494" s="84">
        <f t="shared" si="48"/>
        <v>0</v>
      </c>
      <c r="K1494" s="84">
        <f t="shared" si="49"/>
        <v>0</v>
      </c>
      <c r="L1494" s="61" t="e">
        <f>VLOOKUP(K1494,[1]Mapping!$J$3:$Q$351,8,FALSE)</f>
        <v>#N/A</v>
      </c>
      <c r="M1494" t="s">
        <v>83</v>
      </c>
    </row>
    <row r="1495" spans="5:18" hidden="1" x14ac:dyDescent="0.35">
      <c r="E1495" s="81"/>
      <c r="H1495" s="82"/>
      <c r="I1495" s="83" t="e">
        <f>VLOOKUP(E1495,[1]Mapping!$A$3:$B$14,2,FALSE)</f>
        <v>#N/A</v>
      </c>
      <c r="J1495" s="84">
        <f t="shared" si="48"/>
        <v>0</v>
      </c>
      <c r="K1495" s="84">
        <f t="shared" si="49"/>
        <v>0</v>
      </c>
      <c r="L1495" s="61" t="e">
        <f>VLOOKUP(K1495,[1]Mapping!$J$3:$Q$351,8,FALSE)</f>
        <v>#N/A</v>
      </c>
      <c r="M1495" t="s">
        <v>83</v>
      </c>
    </row>
    <row r="1496" spans="5:18" hidden="1" x14ac:dyDescent="0.35">
      <c r="E1496" s="81"/>
      <c r="H1496" s="82"/>
      <c r="I1496" s="83" t="e">
        <f>VLOOKUP(E1496,[1]Mapping!$A$3:$B$14,2,FALSE)</f>
        <v>#N/A</v>
      </c>
      <c r="J1496" s="84">
        <f t="shared" si="48"/>
        <v>0</v>
      </c>
      <c r="K1496" s="84">
        <f t="shared" si="49"/>
        <v>0</v>
      </c>
      <c r="L1496" s="61" t="e">
        <f>VLOOKUP(K1496,[1]Mapping!$J$3:$Q$351,8,FALSE)</f>
        <v>#N/A</v>
      </c>
      <c r="M1496" t="s">
        <v>83</v>
      </c>
    </row>
    <row r="1497" spans="5:18" hidden="1" x14ac:dyDescent="0.35">
      <c r="E1497" s="81"/>
      <c r="H1497" s="82"/>
      <c r="I1497" s="83" t="e">
        <f>VLOOKUP(E1497,[1]Mapping!$A$3:$B$14,2,FALSE)</f>
        <v>#N/A</v>
      </c>
      <c r="J1497" s="84">
        <f t="shared" si="48"/>
        <v>0</v>
      </c>
      <c r="K1497" s="84">
        <f t="shared" si="49"/>
        <v>0</v>
      </c>
      <c r="L1497" s="61" t="e">
        <f>VLOOKUP(K1497,[1]Mapping!$J$3:$Q$351,8,FALSE)</f>
        <v>#N/A</v>
      </c>
      <c r="M1497" t="s">
        <v>83</v>
      </c>
    </row>
    <row r="1498" spans="5:18" hidden="1" x14ac:dyDescent="0.35">
      <c r="E1498" s="81"/>
      <c r="H1498" s="82"/>
      <c r="I1498" s="83" t="e">
        <f>VLOOKUP(E1498,[1]Mapping!$A$3:$B$14,2,FALSE)</f>
        <v>#N/A</v>
      </c>
      <c r="J1498" s="84">
        <f t="shared" si="48"/>
        <v>0</v>
      </c>
      <c r="K1498" s="84">
        <f t="shared" si="49"/>
        <v>0</v>
      </c>
      <c r="L1498" s="61" t="e">
        <f>VLOOKUP(K1498,[1]Mapping!$J$3:$Q$351,8,FALSE)</f>
        <v>#N/A</v>
      </c>
      <c r="M1498" t="s">
        <v>83</v>
      </c>
      <c r="Q1498">
        <v>0.72985239999999996</v>
      </c>
      <c r="R1498" s="55">
        <f>Q1498*SUM(G1501:G1507)</f>
        <v>0</v>
      </c>
    </row>
    <row r="1499" spans="5:18" hidden="1" x14ac:dyDescent="0.35">
      <c r="E1499" s="81"/>
      <c r="H1499" s="82"/>
      <c r="I1499" s="83" t="e">
        <f>VLOOKUP(E1499,[1]Mapping!$A$3:$B$14,2,FALSE)</f>
        <v>#N/A</v>
      </c>
      <c r="J1499" s="84">
        <f t="shared" si="48"/>
        <v>0</v>
      </c>
      <c r="K1499" s="84">
        <f t="shared" si="49"/>
        <v>0</v>
      </c>
      <c r="L1499" s="61" t="e">
        <f>VLOOKUP(K1499,[1]Mapping!$J$3:$Q$351,8,FALSE)</f>
        <v>#N/A</v>
      </c>
      <c r="M1499" t="s">
        <v>83</v>
      </c>
      <c r="Q1499">
        <v>1.0566149</v>
      </c>
      <c r="R1499" s="55">
        <f>Q1499*SUM(G1508:G1514)</f>
        <v>0</v>
      </c>
    </row>
    <row r="1500" spans="5:18" hidden="1" x14ac:dyDescent="0.35">
      <c r="E1500" s="81"/>
      <c r="H1500" s="82"/>
      <c r="I1500" s="83" t="e">
        <f>VLOOKUP(E1500,[1]Mapping!$A$3:$B$14,2,FALSE)</f>
        <v>#N/A</v>
      </c>
      <c r="J1500" s="84">
        <f t="shared" si="48"/>
        <v>0</v>
      </c>
      <c r="K1500" s="84">
        <f t="shared" si="49"/>
        <v>0</v>
      </c>
      <c r="L1500" s="61" t="e">
        <f>VLOOKUP(K1500,[1]Mapping!$J$3:$Q$351,8,FALSE)</f>
        <v>#N/A</v>
      </c>
      <c r="M1500" t="s">
        <v>83</v>
      </c>
      <c r="Q1500">
        <v>6.6890999999999999E-3</v>
      </c>
      <c r="R1500" s="55">
        <f>Q1500*SUM(G1498:G1500)</f>
        <v>0</v>
      </c>
    </row>
    <row r="1501" spans="5:18" hidden="1" x14ac:dyDescent="0.35">
      <c r="E1501" s="81"/>
      <c r="H1501" s="82"/>
      <c r="I1501" s="83" t="e">
        <f>VLOOKUP(E1501,[1]Mapping!$A$3:$B$14,2,FALSE)</f>
        <v>#N/A</v>
      </c>
      <c r="J1501" s="84">
        <f t="shared" si="48"/>
        <v>0</v>
      </c>
      <c r="K1501" s="84">
        <f t="shared" si="49"/>
        <v>0</v>
      </c>
      <c r="L1501" s="61" t="e">
        <f>VLOOKUP(K1501,[1]Mapping!$J$3:$Q$351,8,FALSE)</f>
        <v>#N/A</v>
      </c>
      <c r="M1501" t="s">
        <v>83</v>
      </c>
      <c r="Q1501" t="s">
        <v>201</v>
      </c>
      <c r="R1501" s="55">
        <f>SUM(R1498:R1500)</f>
        <v>0</v>
      </c>
    </row>
    <row r="1502" spans="5:18" hidden="1" x14ac:dyDescent="0.35">
      <c r="E1502" s="81"/>
      <c r="H1502" s="82"/>
      <c r="I1502" s="83" t="e">
        <f>VLOOKUP(E1502,[1]Mapping!$A$3:$B$14,2,FALSE)</f>
        <v>#N/A</v>
      </c>
      <c r="J1502" s="84">
        <f t="shared" si="48"/>
        <v>0</v>
      </c>
      <c r="K1502" s="84">
        <f t="shared" si="49"/>
        <v>0</v>
      </c>
      <c r="L1502" s="61" t="e">
        <f>VLOOKUP(K1502,[1]Mapping!$J$3:$Q$351,8,FALSE)</f>
        <v>#N/A</v>
      </c>
      <c r="M1502" t="s">
        <v>83</v>
      </c>
      <c r="R1502" s="72">
        <f>R1501-SUM(H1498:H1514)</f>
        <v>0</v>
      </c>
    </row>
    <row r="1503" spans="5:18" hidden="1" x14ac:dyDescent="0.35">
      <c r="E1503" s="81"/>
      <c r="H1503" s="82"/>
      <c r="I1503" s="83" t="e">
        <f>VLOOKUP(E1503,[1]Mapping!$A$3:$B$14,2,FALSE)</f>
        <v>#N/A</v>
      </c>
      <c r="J1503" s="84">
        <f t="shared" si="48"/>
        <v>0</v>
      </c>
      <c r="K1503" s="84">
        <f t="shared" si="49"/>
        <v>0</v>
      </c>
      <c r="L1503" s="61" t="e">
        <f>VLOOKUP(K1503,[1]Mapping!$J$3:$Q$351,8,FALSE)</f>
        <v>#N/A</v>
      </c>
      <c r="M1503" t="s">
        <v>83</v>
      </c>
    </row>
    <row r="1504" spans="5:18" hidden="1" x14ac:dyDescent="0.35">
      <c r="E1504" s="81"/>
      <c r="H1504" s="82"/>
      <c r="I1504" s="83" t="e">
        <f>VLOOKUP(E1504,[1]Mapping!$A$3:$B$14,2,FALSE)</f>
        <v>#N/A</v>
      </c>
      <c r="J1504" s="84">
        <f t="shared" si="48"/>
        <v>0</v>
      </c>
      <c r="K1504" s="84">
        <f t="shared" si="49"/>
        <v>0</v>
      </c>
      <c r="L1504" s="61" t="e">
        <f>VLOOKUP(K1504,[1]Mapping!$J$3:$Q$351,8,FALSE)</f>
        <v>#N/A</v>
      </c>
      <c r="M1504" t="s">
        <v>83</v>
      </c>
    </row>
    <row r="1505" spans="5:13" hidden="1" x14ac:dyDescent="0.35">
      <c r="E1505" s="81"/>
      <c r="H1505" s="82"/>
      <c r="I1505" s="83" t="e">
        <f>VLOOKUP(E1505,[1]Mapping!$A$3:$B$14,2,FALSE)</f>
        <v>#N/A</v>
      </c>
      <c r="J1505" s="84">
        <f t="shared" si="48"/>
        <v>0</v>
      </c>
      <c r="K1505" s="84">
        <f t="shared" si="49"/>
        <v>0</v>
      </c>
      <c r="L1505" s="61" t="e">
        <f>VLOOKUP(K1505,[1]Mapping!$J$3:$Q$351,8,FALSE)</f>
        <v>#N/A</v>
      </c>
      <c r="M1505" t="s">
        <v>83</v>
      </c>
    </row>
    <row r="1506" spans="5:13" hidden="1" x14ac:dyDescent="0.35">
      <c r="E1506" s="81"/>
      <c r="H1506" s="82"/>
      <c r="I1506" s="83" t="e">
        <f>VLOOKUP(E1506,[1]Mapping!$A$3:$B$14,2,FALSE)</f>
        <v>#N/A</v>
      </c>
      <c r="J1506" s="84">
        <f t="shared" si="48"/>
        <v>0</v>
      </c>
      <c r="K1506" s="84">
        <f t="shared" si="49"/>
        <v>0</v>
      </c>
      <c r="L1506" s="61" t="e">
        <f>VLOOKUP(K1506,[1]Mapping!$J$3:$Q$351,8,FALSE)</f>
        <v>#N/A</v>
      </c>
      <c r="M1506" t="s">
        <v>83</v>
      </c>
    </row>
    <row r="1507" spans="5:13" hidden="1" x14ac:dyDescent="0.35">
      <c r="E1507" s="81"/>
      <c r="H1507" s="82"/>
      <c r="I1507" s="83" t="e">
        <f>VLOOKUP(E1507,[1]Mapping!$A$3:$B$14,2,FALSE)</f>
        <v>#N/A</v>
      </c>
      <c r="J1507" s="84">
        <f t="shared" si="48"/>
        <v>0</v>
      </c>
      <c r="K1507" s="84">
        <f t="shared" si="49"/>
        <v>0</v>
      </c>
      <c r="L1507" s="61" t="e">
        <f>VLOOKUP(K1507,[1]Mapping!$J$3:$Q$351,8,FALSE)</f>
        <v>#N/A</v>
      </c>
      <c r="M1507" t="s">
        <v>83</v>
      </c>
    </row>
    <row r="1508" spans="5:13" hidden="1" x14ac:dyDescent="0.35">
      <c r="E1508" s="81"/>
      <c r="H1508" s="82"/>
      <c r="I1508" s="83" t="e">
        <f>VLOOKUP(E1508,[1]Mapping!$A$3:$B$14,2,FALSE)</f>
        <v>#N/A</v>
      </c>
      <c r="J1508" s="84">
        <f t="shared" si="48"/>
        <v>0</v>
      </c>
      <c r="K1508" s="84">
        <f t="shared" si="49"/>
        <v>0</v>
      </c>
      <c r="L1508" s="61" t="e">
        <f>VLOOKUP(K1508,[1]Mapping!$J$3:$Q$351,8,FALSE)</f>
        <v>#N/A</v>
      </c>
      <c r="M1508" t="s">
        <v>83</v>
      </c>
    </row>
    <row r="1509" spans="5:13" hidden="1" x14ac:dyDescent="0.35">
      <c r="E1509" s="81"/>
      <c r="H1509" s="82"/>
      <c r="I1509" s="83" t="e">
        <f>VLOOKUP(E1509,[1]Mapping!$A$3:$B$14,2,FALSE)</f>
        <v>#N/A</v>
      </c>
      <c r="J1509" s="84">
        <f t="shared" si="48"/>
        <v>0</v>
      </c>
      <c r="K1509" s="84">
        <f t="shared" si="49"/>
        <v>0</v>
      </c>
      <c r="L1509" s="61" t="e">
        <f>VLOOKUP(K1509,[1]Mapping!$J$3:$Q$351,8,FALSE)</f>
        <v>#N/A</v>
      </c>
      <c r="M1509" t="s">
        <v>83</v>
      </c>
    </row>
    <row r="1510" spans="5:13" hidden="1" x14ac:dyDescent="0.35">
      <c r="E1510" s="81"/>
      <c r="H1510" s="82"/>
      <c r="I1510" s="83" t="e">
        <f>VLOOKUP(E1510,[1]Mapping!$A$3:$B$14,2,FALSE)</f>
        <v>#N/A</v>
      </c>
      <c r="J1510" s="84">
        <f t="shared" si="48"/>
        <v>0</v>
      </c>
      <c r="K1510" s="84">
        <f t="shared" si="49"/>
        <v>0</v>
      </c>
      <c r="L1510" s="61" t="e">
        <f>VLOOKUP(K1510,[1]Mapping!$J$3:$Q$351,8,FALSE)</f>
        <v>#N/A</v>
      </c>
      <c r="M1510" t="s">
        <v>83</v>
      </c>
    </row>
    <row r="1511" spans="5:13" hidden="1" x14ac:dyDescent="0.35">
      <c r="E1511" s="81"/>
      <c r="H1511" s="82"/>
      <c r="I1511" s="83" t="e">
        <f>VLOOKUP(E1511,[1]Mapping!$A$3:$B$14,2,FALSE)</f>
        <v>#N/A</v>
      </c>
      <c r="J1511" s="84">
        <f t="shared" si="48"/>
        <v>0</v>
      </c>
      <c r="K1511" s="84">
        <f t="shared" si="49"/>
        <v>0</v>
      </c>
      <c r="L1511" s="61" t="e">
        <f>VLOOKUP(K1511,[1]Mapping!$J$3:$Q$351,8,FALSE)</f>
        <v>#N/A</v>
      </c>
      <c r="M1511" t="s">
        <v>83</v>
      </c>
    </row>
    <row r="1512" spans="5:13" hidden="1" x14ac:dyDescent="0.35">
      <c r="E1512" s="81"/>
      <c r="H1512" s="82"/>
      <c r="I1512" s="83" t="e">
        <f>VLOOKUP(E1512,[1]Mapping!$A$3:$B$14,2,FALSE)</f>
        <v>#N/A</v>
      </c>
      <c r="J1512" s="84">
        <f t="shared" si="48"/>
        <v>0</v>
      </c>
      <c r="K1512" s="84">
        <f t="shared" si="49"/>
        <v>0</v>
      </c>
      <c r="L1512" s="61" t="e">
        <f>VLOOKUP(K1512,[1]Mapping!$J$3:$Q$351,8,FALSE)</f>
        <v>#N/A</v>
      </c>
      <c r="M1512" t="s">
        <v>83</v>
      </c>
    </row>
    <row r="1513" spans="5:13" hidden="1" x14ac:dyDescent="0.35">
      <c r="E1513" s="81"/>
      <c r="H1513" s="82"/>
      <c r="I1513" s="83" t="e">
        <f>VLOOKUP(E1513,[1]Mapping!$A$3:$B$14,2,FALSE)</f>
        <v>#N/A</v>
      </c>
      <c r="J1513" s="84">
        <f t="shared" si="48"/>
        <v>0</v>
      </c>
      <c r="K1513" s="84">
        <f t="shared" si="49"/>
        <v>0</v>
      </c>
      <c r="L1513" s="61" t="e">
        <f>VLOOKUP(K1513,[1]Mapping!$J$3:$Q$351,8,FALSE)</f>
        <v>#N/A</v>
      </c>
      <c r="M1513" t="s">
        <v>83</v>
      </c>
    </row>
    <row r="1514" spans="5:13" hidden="1" x14ac:dyDescent="0.35">
      <c r="E1514" s="81"/>
      <c r="H1514" s="82"/>
      <c r="I1514" s="83" t="e">
        <f>VLOOKUP(E1514,[1]Mapping!$A$3:$B$14,2,FALSE)</f>
        <v>#N/A</v>
      </c>
      <c r="J1514" s="84">
        <f t="shared" si="48"/>
        <v>0</v>
      </c>
      <c r="K1514" s="84">
        <f t="shared" si="49"/>
        <v>0</v>
      </c>
      <c r="L1514" s="61" t="e">
        <f>VLOOKUP(K1514,[1]Mapping!$J$3:$Q$351,8,FALSE)</f>
        <v>#N/A</v>
      </c>
      <c r="M1514" t="s">
        <v>83</v>
      </c>
    </row>
    <row r="1515" spans="5:13" hidden="1" x14ac:dyDescent="0.35">
      <c r="E1515" s="81"/>
      <c r="H1515" s="82"/>
      <c r="I1515" s="83" t="e">
        <f>VLOOKUP(E1515,[1]Mapping!$A$3:$B$14,2,FALSE)</f>
        <v>#N/A</v>
      </c>
      <c r="J1515" s="84">
        <f t="shared" si="48"/>
        <v>0</v>
      </c>
      <c r="K1515" s="84">
        <f t="shared" si="49"/>
        <v>0</v>
      </c>
      <c r="L1515" s="61" t="e">
        <f>VLOOKUP(K1515,[1]Mapping!$J$3:$Q$351,8,FALSE)</f>
        <v>#N/A</v>
      </c>
      <c r="M1515" t="s">
        <v>83</v>
      </c>
    </row>
    <row r="1516" spans="5:13" hidden="1" x14ac:dyDescent="0.35">
      <c r="E1516" s="81"/>
      <c r="H1516" s="82"/>
      <c r="I1516" s="83" t="e">
        <f>VLOOKUP(E1516,[1]Mapping!$A$3:$B$14,2,FALSE)</f>
        <v>#N/A</v>
      </c>
      <c r="J1516" s="84">
        <f t="shared" si="48"/>
        <v>0</v>
      </c>
      <c r="K1516" s="84">
        <f t="shared" si="49"/>
        <v>0</v>
      </c>
      <c r="L1516" s="61" t="e">
        <f>VLOOKUP(K1516,[1]Mapping!$J$3:$Q$351,8,FALSE)</f>
        <v>#N/A</v>
      </c>
      <c r="M1516" t="s">
        <v>83</v>
      </c>
    </row>
    <row r="1517" spans="5:13" hidden="1" x14ac:dyDescent="0.35">
      <c r="E1517" s="81"/>
      <c r="H1517" s="82"/>
      <c r="I1517" s="83" t="e">
        <f>VLOOKUP(E1517,[1]Mapping!$A$3:$B$14,2,FALSE)</f>
        <v>#N/A</v>
      </c>
      <c r="J1517" s="84">
        <f t="shared" si="48"/>
        <v>0</v>
      </c>
      <c r="K1517" s="84">
        <f t="shared" si="49"/>
        <v>0</v>
      </c>
      <c r="L1517" s="61" t="e">
        <f>VLOOKUP(K1517,[1]Mapping!$J$3:$Q$351,8,FALSE)</f>
        <v>#N/A</v>
      </c>
      <c r="M1517" t="s">
        <v>83</v>
      </c>
    </row>
    <row r="1518" spans="5:13" hidden="1" x14ac:dyDescent="0.35">
      <c r="E1518" s="81"/>
      <c r="H1518" s="82"/>
      <c r="I1518" s="83" t="e">
        <f>VLOOKUP(E1518,[1]Mapping!$A$3:$B$14,2,FALSE)</f>
        <v>#N/A</v>
      </c>
      <c r="J1518" s="84">
        <f t="shared" si="48"/>
        <v>0</v>
      </c>
      <c r="K1518" s="84">
        <f t="shared" si="49"/>
        <v>0</v>
      </c>
      <c r="L1518" s="61" t="e">
        <f>VLOOKUP(K1518,[1]Mapping!$J$3:$Q$351,8,FALSE)</f>
        <v>#N/A</v>
      </c>
      <c r="M1518" t="s">
        <v>83</v>
      </c>
    </row>
    <row r="1519" spans="5:13" hidden="1" x14ac:dyDescent="0.35">
      <c r="E1519" s="81"/>
      <c r="H1519" s="82"/>
      <c r="I1519" s="83" t="e">
        <f>VLOOKUP(E1519,[1]Mapping!$A$3:$B$14,2,FALSE)</f>
        <v>#N/A</v>
      </c>
      <c r="J1519" s="84">
        <f t="shared" si="48"/>
        <v>0</v>
      </c>
      <c r="K1519" s="84">
        <f t="shared" si="49"/>
        <v>0</v>
      </c>
      <c r="L1519" s="61" t="e">
        <f>VLOOKUP(K1519,[1]Mapping!$J$3:$Q$351,8,FALSE)</f>
        <v>#N/A</v>
      </c>
      <c r="M1519" t="s">
        <v>83</v>
      </c>
    </row>
    <row r="1520" spans="5:13" hidden="1" x14ac:dyDescent="0.35">
      <c r="E1520" s="81"/>
      <c r="H1520" s="82"/>
      <c r="I1520" s="83" t="e">
        <f>VLOOKUP(E1520,[1]Mapping!$A$3:$B$14,2,FALSE)</f>
        <v>#N/A</v>
      </c>
      <c r="J1520" s="84">
        <f t="shared" si="48"/>
        <v>0</v>
      </c>
      <c r="K1520" s="84">
        <f t="shared" si="49"/>
        <v>0</v>
      </c>
      <c r="L1520" s="61" t="e">
        <f>VLOOKUP(K1520,[1]Mapping!$J$3:$Q$351,8,FALSE)</f>
        <v>#N/A</v>
      </c>
      <c r="M1520" t="s">
        <v>83</v>
      </c>
    </row>
    <row r="1521" spans="5:13" hidden="1" x14ac:dyDescent="0.35">
      <c r="E1521" s="81"/>
      <c r="H1521" s="82"/>
      <c r="I1521" s="83" t="e">
        <f>VLOOKUP(E1521,[1]Mapping!$A$3:$B$14,2,FALSE)</f>
        <v>#N/A</v>
      </c>
      <c r="J1521" s="84">
        <f t="shared" si="48"/>
        <v>0</v>
      </c>
      <c r="K1521" s="84">
        <f t="shared" si="49"/>
        <v>0</v>
      </c>
      <c r="L1521" s="61" t="e">
        <f>VLOOKUP(K1521,[1]Mapping!$J$3:$Q$351,8,FALSE)</f>
        <v>#N/A</v>
      </c>
      <c r="M1521" t="s">
        <v>83</v>
      </c>
    </row>
    <row r="1522" spans="5:13" hidden="1" x14ac:dyDescent="0.35">
      <c r="E1522" s="81"/>
      <c r="H1522" s="82"/>
      <c r="I1522" s="83" t="e">
        <f>VLOOKUP(E1522,[1]Mapping!$A$3:$B$14,2,FALSE)</f>
        <v>#N/A</v>
      </c>
      <c r="J1522" s="84">
        <f t="shared" si="48"/>
        <v>0</v>
      </c>
      <c r="K1522" s="84">
        <f t="shared" si="49"/>
        <v>0</v>
      </c>
      <c r="L1522" s="61" t="e">
        <f>VLOOKUP(K1522,[1]Mapping!$J$3:$Q$351,8,FALSE)</f>
        <v>#N/A</v>
      </c>
      <c r="M1522" t="s">
        <v>83</v>
      </c>
    </row>
    <row r="1523" spans="5:13" hidden="1" x14ac:dyDescent="0.35">
      <c r="E1523" s="81"/>
      <c r="H1523" s="82"/>
      <c r="I1523" s="83" t="e">
        <f>VLOOKUP(E1523,[1]Mapping!$A$3:$B$14,2,FALSE)</f>
        <v>#N/A</v>
      </c>
      <c r="J1523" s="84">
        <f t="shared" si="48"/>
        <v>0</v>
      </c>
      <c r="K1523" s="84">
        <f t="shared" si="49"/>
        <v>0</v>
      </c>
      <c r="L1523" s="61" t="e">
        <f>VLOOKUP(K1523,[1]Mapping!$J$3:$Q$351,8,FALSE)</f>
        <v>#N/A</v>
      </c>
      <c r="M1523" t="s">
        <v>83</v>
      </c>
    </row>
    <row r="1524" spans="5:13" hidden="1" x14ac:dyDescent="0.35">
      <c r="E1524" s="81"/>
      <c r="H1524" s="82"/>
      <c r="I1524" s="83" t="e">
        <f>VLOOKUP(E1524,[1]Mapping!$A$3:$B$14,2,FALSE)</f>
        <v>#N/A</v>
      </c>
      <c r="J1524" s="84">
        <f t="shared" si="48"/>
        <v>0</v>
      </c>
      <c r="K1524" s="84">
        <f t="shared" si="49"/>
        <v>0</v>
      </c>
      <c r="L1524" s="61" t="e">
        <f>VLOOKUP(K1524,[1]Mapping!$J$3:$Q$351,8,FALSE)</f>
        <v>#N/A</v>
      </c>
      <c r="M1524" t="s">
        <v>83</v>
      </c>
    </row>
    <row r="1525" spans="5:13" hidden="1" x14ac:dyDescent="0.35">
      <c r="E1525" s="81"/>
      <c r="H1525" s="82"/>
      <c r="I1525" s="83" t="e">
        <f>VLOOKUP(E1525,[1]Mapping!$A$3:$B$14,2,FALSE)</f>
        <v>#N/A</v>
      </c>
      <c r="J1525" s="84">
        <f t="shared" si="48"/>
        <v>0</v>
      </c>
      <c r="K1525" s="84">
        <f t="shared" si="49"/>
        <v>0</v>
      </c>
      <c r="L1525" s="61" t="e">
        <f>VLOOKUP(K1525,[1]Mapping!$J$3:$Q$351,8,FALSE)</f>
        <v>#N/A</v>
      </c>
      <c r="M1525" t="s">
        <v>83</v>
      </c>
    </row>
    <row r="1526" spans="5:13" hidden="1" x14ac:dyDescent="0.35">
      <c r="E1526" s="81"/>
      <c r="H1526" s="82"/>
      <c r="I1526" s="83" t="e">
        <f>VLOOKUP(E1526,[1]Mapping!$A$3:$B$14,2,FALSE)</f>
        <v>#N/A</v>
      </c>
      <c r="J1526" s="84">
        <f t="shared" si="48"/>
        <v>0</v>
      </c>
      <c r="K1526" s="84">
        <f t="shared" si="49"/>
        <v>0</v>
      </c>
      <c r="L1526" s="61" t="e">
        <f>VLOOKUP(K1526,[1]Mapping!$J$3:$Q$351,8,FALSE)</f>
        <v>#N/A</v>
      </c>
      <c r="M1526" t="s">
        <v>83</v>
      </c>
    </row>
    <row r="1527" spans="5:13" hidden="1" x14ac:dyDescent="0.35">
      <c r="E1527" s="81"/>
      <c r="H1527" s="82"/>
      <c r="I1527" s="83" t="e">
        <f>VLOOKUP(E1527,[1]Mapping!$A$3:$B$14,2,FALSE)</f>
        <v>#N/A</v>
      </c>
      <c r="J1527" s="84">
        <f t="shared" si="48"/>
        <v>0</v>
      </c>
      <c r="K1527" s="84">
        <f t="shared" si="49"/>
        <v>0</v>
      </c>
      <c r="L1527" s="61" t="e">
        <f>VLOOKUP(K1527,[1]Mapping!$J$3:$Q$351,8,FALSE)</f>
        <v>#N/A</v>
      </c>
      <c r="M1527" t="s">
        <v>83</v>
      </c>
    </row>
    <row r="1528" spans="5:13" hidden="1" x14ac:dyDescent="0.35">
      <c r="E1528" s="81"/>
      <c r="H1528" s="82"/>
      <c r="I1528" s="83" t="e">
        <f>VLOOKUP(E1528,[1]Mapping!$A$3:$B$14,2,FALSE)</f>
        <v>#N/A</v>
      </c>
      <c r="J1528" s="84">
        <f t="shared" si="48"/>
        <v>0</v>
      </c>
      <c r="K1528" s="84">
        <f t="shared" si="49"/>
        <v>0</v>
      </c>
      <c r="L1528" s="61" t="e">
        <f>VLOOKUP(K1528,[1]Mapping!$J$3:$Q$351,8,FALSE)</f>
        <v>#N/A</v>
      </c>
      <c r="M1528" t="s">
        <v>83</v>
      </c>
    </row>
    <row r="1529" spans="5:13" hidden="1" x14ac:dyDescent="0.35">
      <c r="E1529" s="81"/>
      <c r="H1529" s="82"/>
      <c r="I1529" s="83" t="e">
        <f>VLOOKUP(E1529,[1]Mapping!$A$3:$B$14,2,FALSE)</f>
        <v>#N/A</v>
      </c>
      <c r="J1529" s="84">
        <f t="shared" si="48"/>
        <v>0</v>
      </c>
      <c r="K1529" s="84">
        <f t="shared" si="49"/>
        <v>0</v>
      </c>
      <c r="L1529" s="61" t="e">
        <f>VLOOKUP(K1529,[1]Mapping!$J$3:$Q$351,8,FALSE)</f>
        <v>#N/A</v>
      </c>
      <c r="M1529" t="s">
        <v>83</v>
      </c>
    </row>
    <row r="1530" spans="5:13" hidden="1" x14ac:dyDescent="0.35">
      <c r="E1530" s="81"/>
      <c r="H1530" s="82"/>
      <c r="I1530" s="83" t="e">
        <f>VLOOKUP(E1530,[1]Mapping!$A$3:$B$14,2,FALSE)</f>
        <v>#N/A</v>
      </c>
      <c r="J1530" s="84">
        <f t="shared" si="48"/>
        <v>0</v>
      </c>
      <c r="K1530" s="84">
        <f t="shared" si="49"/>
        <v>0</v>
      </c>
      <c r="L1530" s="61" t="e">
        <f>VLOOKUP(K1530,[1]Mapping!$J$3:$Q$351,8,FALSE)</f>
        <v>#N/A</v>
      </c>
      <c r="M1530" t="s">
        <v>83</v>
      </c>
    </row>
    <row r="1531" spans="5:13" hidden="1" x14ac:dyDescent="0.35">
      <c r="E1531" s="81"/>
      <c r="H1531" s="82"/>
      <c r="I1531" s="83" t="e">
        <f>VLOOKUP(E1531,[1]Mapping!$A$3:$B$14,2,FALSE)</f>
        <v>#N/A</v>
      </c>
      <c r="J1531" s="84">
        <f t="shared" si="48"/>
        <v>0</v>
      </c>
      <c r="K1531" s="84">
        <f t="shared" si="49"/>
        <v>0</v>
      </c>
      <c r="L1531" s="61" t="e">
        <f>VLOOKUP(K1531,[1]Mapping!$J$3:$Q$351,8,FALSE)</f>
        <v>#N/A</v>
      </c>
      <c r="M1531" t="s">
        <v>83</v>
      </c>
    </row>
    <row r="1532" spans="5:13" hidden="1" x14ac:dyDescent="0.35">
      <c r="E1532" s="81"/>
      <c r="H1532" s="82"/>
      <c r="I1532" s="83" t="e">
        <f>VLOOKUP(E1532,[1]Mapping!$A$3:$B$14,2,FALSE)</f>
        <v>#N/A</v>
      </c>
      <c r="J1532" s="84">
        <f t="shared" si="48"/>
        <v>0</v>
      </c>
      <c r="K1532" s="84">
        <f t="shared" si="49"/>
        <v>0</v>
      </c>
      <c r="L1532" s="61" t="e">
        <f>VLOOKUP(K1532,[1]Mapping!$J$3:$Q$351,8,FALSE)</f>
        <v>#N/A</v>
      </c>
      <c r="M1532" t="s">
        <v>83</v>
      </c>
    </row>
    <row r="1533" spans="5:13" hidden="1" x14ac:dyDescent="0.35">
      <c r="E1533" s="81"/>
      <c r="H1533" s="82"/>
      <c r="I1533" s="83" t="e">
        <f>VLOOKUP(E1533,[1]Mapping!$A$3:$B$14,2,FALSE)</f>
        <v>#N/A</v>
      </c>
      <c r="J1533" s="84">
        <f t="shared" si="48"/>
        <v>0</v>
      </c>
      <c r="K1533" s="84">
        <f t="shared" si="49"/>
        <v>0</v>
      </c>
      <c r="L1533" s="61" t="e">
        <f>VLOOKUP(K1533,[1]Mapping!$J$3:$Q$351,8,FALSE)</f>
        <v>#N/A</v>
      </c>
      <c r="M1533" t="s">
        <v>83</v>
      </c>
    </row>
    <row r="1534" spans="5:13" hidden="1" x14ac:dyDescent="0.35">
      <c r="E1534" s="81"/>
      <c r="H1534" s="82"/>
      <c r="I1534" s="83" t="e">
        <f>VLOOKUP(E1534,[1]Mapping!$A$3:$B$14,2,FALSE)</f>
        <v>#N/A</v>
      </c>
      <c r="J1534" s="84">
        <f t="shared" si="48"/>
        <v>0</v>
      </c>
      <c r="K1534" s="84">
        <f t="shared" si="49"/>
        <v>0</v>
      </c>
      <c r="L1534" s="61" t="e">
        <f>VLOOKUP(K1534,[1]Mapping!$J$3:$Q$351,8,FALSE)</f>
        <v>#N/A</v>
      </c>
      <c r="M1534" t="s">
        <v>83</v>
      </c>
    </row>
    <row r="1535" spans="5:13" hidden="1" x14ac:dyDescent="0.35">
      <c r="E1535" s="81"/>
      <c r="H1535" s="82"/>
      <c r="I1535" s="83" t="e">
        <f>VLOOKUP(E1535,[1]Mapping!$A$3:$B$14,2,FALSE)</f>
        <v>#N/A</v>
      </c>
      <c r="J1535" s="84">
        <f t="shared" si="48"/>
        <v>0</v>
      </c>
      <c r="K1535" s="84">
        <f t="shared" si="49"/>
        <v>0</v>
      </c>
      <c r="L1535" s="61" t="e">
        <f>VLOOKUP(K1535,[1]Mapping!$J$3:$Q$351,8,FALSE)</f>
        <v>#N/A</v>
      </c>
      <c r="M1535" t="s">
        <v>83</v>
      </c>
    </row>
    <row r="1536" spans="5:13" hidden="1" x14ac:dyDescent="0.35">
      <c r="E1536" s="81"/>
      <c r="H1536" s="82"/>
      <c r="I1536" s="83" t="e">
        <f>VLOOKUP(E1536,[1]Mapping!$A$3:$B$14,2,FALSE)</f>
        <v>#N/A</v>
      </c>
      <c r="J1536" s="84">
        <f t="shared" si="48"/>
        <v>0</v>
      </c>
      <c r="K1536" s="84">
        <f t="shared" si="49"/>
        <v>0</v>
      </c>
      <c r="L1536" s="61" t="e">
        <f>VLOOKUP(K1536,[1]Mapping!$J$3:$Q$351,8,FALSE)</f>
        <v>#N/A</v>
      </c>
      <c r="M1536" t="s">
        <v>83</v>
      </c>
    </row>
    <row r="1537" spans="5:13" hidden="1" x14ac:dyDescent="0.35">
      <c r="E1537" s="81"/>
      <c r="H1537" s="82"/>
      <c r="I1537" s="83" t="e">
        <f>VLOOKUP(E1537,[1]Mapping!$A$3:$B$14,2,FALSE)</f>
        <v>#N/A</v>
      </c>
      <c r="J1537" s="84">
        <f t="shared" si="48"/>
        <v>0</v>
      </c>
      <c r="K1537" s="84">
        <f t="shared" si="49"/>
        <v>0</v>
      </c>
      <c r="L1537" s="61" t="e">
        <f>VLOOKUP(K1537,[1]Mapping!$J$3:$Q$351,8,FALSE)</f>
        <v>#N/A</v>
      </c>
      <c r="M1537" t="s">
        <v>83</v>
      </c>
    </row>
    <row r="1538" spans="5:13" hidden="1" x14ac:dyDescent="0.35">
      <c r="E1538" s="81"/>
      <c r="H1538" s="82"/>
      <c r="I1538" s="83" t="e">
        <f>VLOOKUP(E1538,[1]Mapping!$A$3:$B$14,2,FALSE)</f>
        <v>#N/A</v>
      </c>
      <c r="J1538" s="84">
        <f t="shared" si="48"/>
        <v>0</v>
      </c>
      <c r="K1538" s="84">
        <f t="shared" si="49"/>
        <v>0</v>
      </c>
      <c r="L1538" s="61" t="e">
        <f>VLOOKUP(K1538,[1]Mapping!$J$3:$Q$351,8,FALSE)</f>
        <v>#N/A</v>
      </c>
      <c r="M1538" t="s">
        <v>83</v>
      </c>
    </row>
    <row r="1539" spans="5:13" hidden="1" x14ac:dyDescent="0.35">
      <c r="E1539" s="81"/>
      <c r="H1539" s="82"/>
      <c r="I1539" s="83" t="e">
        <f>VLOOKUP(E1539,[1]Mapping!$A$3:$B$14,2,FALSE)</f>
        <v>#N/A</v>
      </c>
      <c r="J1539" s="84">
        <f t="shared" si="48"/>
        <v>0</v>
      </c>
      <c r="K1539" s="84">
        <f t="shared" si="49"/>
        <v>0</v>
      </c>
      <c r="L1539" s="61" t="e">
        <f>VLOOKUP(K1539,[1]Mapping!$J$3:$Q$351,8,FALSE)</f>
        <v>#N/A</v>
      </c>
      <c r="M1539" t="s">
        <v>83</v>
      </c>
    </row>
    <row r="1540" spans="5:13" hidden="1" x14ac:dyDescent="0.35">
      <c r="E1540" s="81"/>
      <c r="H1540" s="82"/>
      <c r="I1540" s="83" t="e">
        <f>VLOOKUP(E1540,[1]Mapping!$A$3:$B$14,2,FALSE)</f>
        <v>#N/A</v>
      </c>
      <c r="J1540" s="84">
        <f t="shared" ref="J1540:J1603" si="50">VALUE(A1540)</f>
        <v>0</v>
      </c>
      <c r="K1540" s="84">
        <f t="shared" ref="K1540:K1603" si="51">VALUE(C1540)</f>
        <v>0</v>
      </c>
      <c r="L1540" s="61" t="e">
        <f>VLOOKUP(K1540,[1]Mapping!$J$3:$Q$351,8,FALSE)</f>
        <v>#N/A</v>
      </c>
      <c r="M1540" t="s">
        <v>83</v>
      </c>
    </row>
    <row r="1541" spans="5:13" hidden="1" x14ac:dyDescent="0.35">
      <c r="E1541" s="81"/>
      <c r="H1541" s="82"/>
      <c r="I1541" s="83" t="e">
        <f>VLOOKUP(E1541,[1]Mapping!$A$3:$B$14,2,FALSE)</f>
        <v>#N/A</v>
      </c>
      <c r="J1541" s="84">
        <f t="shared" si="50"/>
        <v>0</v>
      </c>
      <c r="K1541" s="84">
        <f t="shared" si="51"/>
        <v>0</v>
      </c>
      <c r="L1541" s="61" t="e">
        <f>VLOOKUP(K1541,[1]Mapping!$J$3:$Q$351,8,FALSE)</f>
        <v>#N/A</v>
      </c>
      <c r="M1541" t="s">
        <v>83</v>
      </c>
    </row>
    <row r="1542" spans="5:13" hidden="1" x14ac:dyDescent="0.35">
      <c r="E1542" s="81"/>
      <c r="H1542" s="82"/>
      <c r="I1542" s="83" t="e">
        <f>VLOOKUP(E1542,[1]Mapping!$A$3:$B$14,2,FALSE)</f>
        <v>#N/A</v>
      </c>
      <c r="J1542" s="84">
        <f t="shared" si="50"/>
        <v>0</v>
      </c>
      <c r="K1542" s="84">
        <f t="shared" si="51"/>
        <v>0</v>
      </c>
      <c r="L1542" s="61" t="e">
        <f>VLOOKUP(K1542,[1]Mapping!$J$3:$Q$351,8,FALSE)</f>
        <v>#N/A</v>
      </c>
      <c r="M1542" t="s">
        <v>83</v>
      </c>
    </row>
    <row r="1543" spans="5:13" hidden="1" x14ac:dyDescent="0.35">
      <c r="E1543" s="81"/>
      <c r="H1543" s="82"/>
      <c r="I1543" s="83" t="e">
        <f>VLOOKUP(E1543,[1]Mapping!$A$3:$B$14,2,FALSE)</f>
        <v>#N/A</v>
      </c>
      <c r="J1543" s="84">
        <f t="shared" si="50"/>
        <v>0</v>
      </c>
      <c r="K1543" s="84">
        <f t="shared" si="51"/>
        <v>0</v>
      </c>
      <c r="L1543" s="61" t="e">
        <f>VLOOKUP(K1543,[1]Mapping!$J$3:$Q$351,8,FALSE)</f>
        <v>#N/A</v>
      </c>
      <c r="M1543" t="s">
        <v>83</v>
      </c>
    </row>
    <row r="1544" spans="5:13" hidden="1" x14ac:dyDescent="0.35">
      <c r="E1544" s="81"/>
      <c r="H1544" s="82"/>
      <c r="I1544" s="83" t="e">
        <f>VLOOKUP(E1544,[1]Mapping!$A$3:$B$14,2,FALSE)</f>
        <v>#N/A</v>
      </c>
      <c r="J1544" s="84">
        <f t="shared" si="50"/>
        <v>0</v>
      </c>
      <c r="K1544" s="84">
        <f t="shared" si="51"/>
        <v>0</v>
      </c>
      <c r="L1544" s="61" t="e">
        <f>VLOOKUP(K1544,[1]Mapping!$J$3:$Q$351,8,FALSE)</f>
        <v>#N/A</v>
      </c>
      <c r="M1544" t="s">
        <v>83</v>
      </c>
    </row>
    <row r="1545" spans="5:13" hidden="1" x14ac:dyDescent="0.35">
      <c r="E1545" s="81"/>
      <c r="H1545" s="82"/>
      <c r="I1545" s="83" t="e">
        <f>VLOOKUP(E1545,[1]Mapping!$A$3:$B$14,2,FALSE)</f>
        <v>#N/A</v>
      </c>
      <c r="J1545" s="84">
        <f t="shared" si="50"/>
        <v>0</v>
      </c>
      <c r="K1545" s="84">
        <f t="shared" si="51"/>
        <v>0</v>
      </c>
      <c r="L1545" s="61" t="e">
        <f>VLOOKUP(K1545,[1]Mapping!$J$3:$Q$351,8,FALSE)</f>
        <v>#N/A</v>
      </c>
      <c r="M1545" t="s">
        <v>83</v>
      </c>
    </row>
    <row r="1546" spans="5:13" hidden="1" x14ac:dyDescent="0.35">
      <c r="E1546" s="81"/>
      <c r="H1546" s="82"/>
      <c r="I1546" s="83" t="e">
        <f>VLOOKUP(E1546,[1]Mapping!$A$3:$B$14,2,FALSE)</f>
        <v>#N/A</v>
      </c>
      <c r="J1546" s="84">
        <f t="shared" si="50"/>
        <v>0</v>
      </c>
      <c r="K1546" s="84">
        <f t="shared" si="51"/>
        <v>0</v>
      </c>
      <c r="L1546" s="61" t="e">
        <f>VLOOKUP(K1546,[1]Mapping!$J$3:$Q$351,8,FALSE)</f>
        <v>#N/A</v>
      </c>
      <c r="M1546" t="s">
        <v>83</v>
      </c>
    </row>
    <row r="1547" spans="5:13" hidden="1" x14ac:dyDescent="0.35">
      <c r="E1547" s="81"/>
      <c r="H1547" s="82"/>
      <c r="I1547" s="83" t="e">
        <f>VLOOKUP(E1547,[1]Mapping!$A$3:$B$14,2,FALSE)</f>
        <v>#N/A</v>
      </c>
      <c r="J1547" s="84">
        <f t="shared" si="50"/>
        <v>0</v>
      </c>
      <c r="K1547" s="84">
        <f t="shared" si="51"/>
        <v>0</v>
      </c>
      <c r="L1547" s="61" t="e">
        <f>VLOOKUP(K1547,[1]Mapping!$J$3:$Q$351,8,FALSE)</f>
        <v>#N/A</v>
      </c>
      <c r="M1547" t="s">
        <v>83</v>
      </c>
    </row>
    <row r="1548" spans="5:13" hidden="1" x14ac:dyDescent="0.35">
      <c r="E1548" s="81"/>
      <c r="H1548" s="82"/>
      <c r="I1548" s="83" t="e">
        <f>VLOOKUP(E1548,[1]Mapping!$A$3:$B$14,2,FALSE)</f>
        <v>#N/A</v>
      </c>
      <c r="J1548" s="84">
        <f t="shared" si="50"/>
        <v>0</v>
      </c>
      <c r="K1548" s="84">
        <f t="shared" si="51"/>
        <v>0</v>
      </c>
      <c r="L1548" s="61" t="e">
        <f>VLOOKUP(K1548,[1]Mapping!$J$3:$Q$351,8,FALSE)</f>
        <v>#N/A</v>
      </c>
      <c r="M1548" t="s">
        <v>83</v>
      </c>
    </row>
    <row r="1549" spans="5:13" hidden="1" x14ac:dyDescent="0.35">
      <c r="E1549" s="81"/>
      <c r="H1549" s="82"/>
      <c r="I1549" s="83" t="e">
        <f>VLOOKUP(E1549,[1]Mapping!$A$3:$B$14,2,FALSE)</f>
        <v>#N/A</v>
      </c>
      <c r="J1549" s="84">
        <f t="shared" si="50"/>
        <v>0</v>
      </c>
      <c r="K1549" s="84">
        <f t="shared" si="51"/>
        <v>0</v>
      </c>
      <c r="L1549" s="61" t="e">
        <f>VLOOKUP(K1549,[1]Mapping!$J$3:$Q$351,8,FALSE)</f>
        <v>#N/A</v>
      </c>
      <c r="M1549" t="s">
        <v>83</v>
      </c>
    </row>
    <row r="1550" spans="5:13" hidden="1" x14ac:dyDescent="0.35">
      <c r="E1550" s="81"/>
      <c r="H1550" s="82"/>
      <c r="I1550" s="83" t="e">
        <f>VLOOKUP(E1550,[1]Mapping!$A$3:$B$14,2,FALSE)</f>
        <v>#N/A</v>
      </c>
      <c r="J1550" s="84">
        <f t="shared" si="50"/>
        <v>0</v>
      </c>
      <c r="K1550" s="84">
        <f t="shared" si="51"/>
        <v>0</v>
      </c>
      <c r="L1550" s="61" t="e">
        <f>VLOOKUP(K1550,[1]Mapping!$J$3:$Q$351,8,FALSE)</f>
        <v>#N/A</v>
      </c>
      <c r="M1550" t="s">
        <v>83</v>
      </c>
    </row>
    <row r="1551" spans="5:13" hidden="1" x14ac:dyDescent="0.35">
      <c r="E1551" s="81"/>
      <c r="H1551" s="82"/>
      <c r="I1551" s="83" t="e">
        <f>VLOOKUP(E1551,[1]Mapping!$A$3:$B$14,2,FALSE)</f>
        <v>#N/A</v>
      </c>
      <c r="J1551" s="84">
        <f t="shared" si="50"/>
        <v>0</v>
      </c>
      <c r="K1551" s="84">
        <f t="shared" si="51"/>
        <v>0</v>
      </c>
      <c r="L1551" s="61" t="e">
        <f>VLOOKUP(K1551,[1]Mapping!$J$3:$Q$351,8,FALSE)</f>
        <v>#N/A</v>
      </c>
      <c r="M1551" t="s">
        <v>83</v>
      </c>
    </row>
    <row r="1552" spans="5:13" hidden="1" x14ac:dyDescent="0.35">
      <c r="E1552" s="81"/>
      <c r="H1552" s="82"/>
      <c r="I1552" s="83" t="e">
        <f>VLOOKUP(E1552,[1]Mapping!$A$3:$B$14,2,FALSE)</f>
        <v>#N/A</v>
      </c>
      <c r="J1552" s="84">
        <f t="shared" si="50"/>
        <v>0</v>
      </c>
      <c r="K1552" s="84">
        <f t="shared" si="51"/>
        <v>0</v>
      </c>
      <c r="L1552" s="61" t="e">
        <f>VLOOKUP(K1552,[1]Mapping!$J$3:$Q$351,8,FALSE)</f>
        <v>#N/A</v>
      </c>
      <c r="M1552" t="s">
        <v>83</v>
      </c>
    </row>
    <row r="1553" spans="5:13" hidden="1" x14ac:dyDescent="0.35">
      <c r="E1553" s="81"/>
      <c r="H1553" s="82"/>
      <c r="I1553" s="83" t="e">
        <f>VLOOKUP(E1553,[1]Mapping!$A$3:$B$14,2,FALSE)</f>
        <v>#N/A</v>
      </c>
      <c r="J1553" s="84">
        <f t="shared" si="50"/>
        <v>0</v>
      </c>
      <c r="K1553" s="84">
        <f t="shared" si="51"/>
        <v>0</v>
      </c>
      <c r="L1553" s="61" t="e">
        <f>VLOOKUP(K1553,[1]Mapping!$J$3:$Q$351,8,FALSE)</f>
        <v>#N/A</v>
      </c>
      <c r="M1553" t="s">
        <v>83</v>
      </c>
    </row>
    <row r="1554" spans="5:13" hidden="1" x14ac:dyDescent="0.35">
      <c r="E1554" s="81"/>
      <c r="H1554" s="82"/>
      <c r="I1554" s="83" t="e">
        <f>VLOOKUP(E1554,[1]Mapping!$A$3:$B$14,2,FALSE)</f>
        <v>#N/A</v>
      </c>
      <c r="J1554" s="84">
        <f t="shared" si="50"/>
        <v>0</v>
      </c>
      <c r="K1554" s="84">
        <f t="shared" si="51"/>
        <v>0</v>
      </c>
      <c r="L1554" s="61" t="e">
        <f>VLOOKUP(K1554,[1]Mapping!$J$3:$Q$351,8,FALSE)</f>
        <v>#N/A</v>
      </c>
      <c r="M1554" t="s">
        <v>83</v>
      </c>
    </row>
    <row r="1555" spans="5:13" hidden="1" x14ac:dyDescent="0.35">
      <c r="E1555" s="81"/>
      <c r="H1555" s="82"/>
      <c r="I1555" s="83" t="e">
        <f>VLOOKUP(E1555,[1]Mapping!$A$3:$B$14,2,FALSE)</f>
        <v>#N/A</v>
      </c>
      <c r="J1555" s="84">
        <f t="shared" si="50"/>
        <v>0</v>
      </c>
      <c r="K1555" s="84">
        <f t="shared" si="51"/>
        <v>0</v>
      </c>
      <c r="L1555" s="61" t="e">
        <f>VLOOKUP(K1555,[1]Mapping!$J$3:$Q$351,8,FALSE)</f>
        <v>#N/A</v>
      </c>
      <c r="M1555" t="s">
        <v>83</v>
      </c>
    </row>
    <row r="1556" spans="5:13" hidden="1" x14ac:dyDescent="0.35">
      <c r="E1556" s="81"/>
      <c r="H1556" s="82"/>
      <c r="I1556" s="83" t="e">
        <f>VLOOKUP(E1556,[1]Mapping!$A$3:$B$14,2,FALSE)</f>
        <v>#N/A</v>
      </c>
      <c r="J1556" s="84">
        <f t="shared" si="50"/>
        <v>0</v>
      </c>
      <c r="K1556" s="84">
        <f t="shared" si="51"/>
        <v>0</v>
      </c>
      <c r="L1556" s="61" t="e">
        <f>VLOOKUP(K1556,[1]Mapping!$J$3:$Q$351,8,FALSE)</f>
        <v>#N/A</v>
      </c>
      <c r="M1556" t="s">
        <v>83</v>
      </c>
    </row>
    <row r="1557" spans="5:13" hidden="1" x14ac:dyDescent="0.35">
      <c r="E1557" s="81"/>
      <c r="H1557" s="82"/>
      <c r="I1557" s="83" t="e">
        <f>VLOOKUP(E1557,[1]Mapping!$A$3:$B$14,2,FALSE)</f>
        <v>#N/A</v>
      </c>
      <c r="J1557" s="84">
        <f t="shared" si="50"/>
        <v>0</v>
      </c>
      <c r="K1557" s="84">
        <f t="shared" si="51"/>
        <v>0</v>
      </c>
      <c r="L1557" s="61" t="e">
        <f>VLOOKUP(K1557,[1]Mapping!$J$3:$Q$351,8,FALSE)</f>
        <v>#N/A</v>
      </c>
      <c r="M1557" t="s">
        <v>83</v>
      </c>
    </row>
    <row r="1558" spans="5:13" hidden="1" x14ac:dyDescent="0.35">
      <c r="E1558" s="81"/>
      <c r="H1558" s="82"/>
      <c r="I1558" s="83" t="e">
        <f>VLOOKUP(E1558,[1]Mapping!$A$3:$B$14,2,FALSE)</f>
        <v>#N/A</v>
      </c>
      <c r="J1558" s="84">
        <f t="shared" si="50"/>
        <v>0</v>
      </c>
      <c r="K1558" s="84">
        <f t="shared" si="51"/>
        <v>0</v>
      </c>
      <c r="L1558" s="61" t="e">
        <f>VLOOKUP(K1558,[1]Mapping!$J$3:$Q$351,8,FALSE)</f>
        <v>#N/A</v>
      </c>
      <c r="M1558" t="s">
        <v>83</v>
      </c>
    </row>
    <row r="1559" spans="5:13" hidden="1" x14ac:dyDescent="0.35">
      <c r="E1559" s="81"/>
      <c r="H1559" s="82"/>
      <c r="I1559" s="83" t="e">
        <f>VLOOKUP(E1559,[1]Mapping!$A$3:$B$14,2,FALSE)</f>
        <v>#N/A</v>
      </c>
      <c r="J1559" s="84">
        <f t="shared" si="50"/>
        <v>0</v>
      </c>
      <c r="K1559" s="84">
        <f t="shared" si="51"/>
        <v>0</v>
      </c>
      <c r="L1559" s="61" t="e">
        <f>VLOOKUP(K1559,[1]Mapping!$J$3:$Q$351,8,FALSE)</f>
        <v>#N/A</v>
      </c>
      <c r="M1559" t="s">
        <v>83</v>
      </c>
    </row>
    <row r="1560" spans="5:13" hidden="1" x14ac:dyDescent="0.35">
      <c r="E1560" s="81"/>
      <c r="H1560" s="82"/>
      <c r="I1560" s="83" t="e">
        <f>VLOOKUP(E1560,[1]Mapping!$A$3:$B$14,2,FALSE)</f>
        <v>#N/A</v>
      </c>
      <c r="J1560" s="84">
        <f t="shared" si="50"/>
        <v>0</v>
      </c>
      <c r="K1560" s="84">
        <f t="shared" si="51"/>
        <v>0</v>
      </c>
      <c r="L1560" s="61" t="e">
        <f>VLOOKUP(K1560,[1]Mapping!$J$3:$Q$351,8,FALSE)</f>
        <v>#N/A</v>
      </c>
      <c r="M1560" t="s">
        <v>83</v>
      </c>
    </row>
    <row r="1561" spans="5:13" hidden="1" x14ac:dyDescent="0.35">
      <c r="E1561" s="81"/>
      <c r="H1561" s="82"/>
      <c r="I1561" s="83" t="e">
        <f>VLOOKUP(E1561,[1]Mapping!$A$3:$B$14,2,FALSE)</f>
        <v>#N/A</v>
      </c>
      <c r="J1561" s="84">
        <f t="shared" si="50"/>
        <v>0</v>
      </c>
      <c r="K1561" s="84">
        <f t="shared" si="51"/>
        <v>0</v>
      </c>
      <c r="L1561" s="61" t="e">
        <f>VLOOKUP(K1561,[1]Mapping!$J$3:$Q$351,8,FALSE)</f>
        <v>#N/A</v>
      </c>
      <c r="M1561" t="s">
        <v>83</v>
      </c>
    </row>
    <row r="1562" spans="5:13" hidden="1" x14ac:dyDescent="0.35">
      <c r="E1562" s="81"/>
      <c r="H1562" s="82"/>
      <c r="I1562" s="83" t="e">
        <f>VLOOKUP(E1562,[1]Mapping!$A$3:$B$14,2,FALSE)</f>
        <v>#N/A</v>
      </c>
      <c r="J1562" s="84">
        <f t="shared" si="50"/>
        <v>0</v>
      </c>
      <c r="K1562" s="84">
        <f t="shared" si="51"/>
        <v>0</v>
      </c>
      <c r="L1562" s="61" t="e">
        <f>VLOOKUP(K1562,[1]Mapping!$J$3:$Q$351,8,FALSE)</f>
        <v>#N/A</v>
      </c>
      <c r="M1562" t="s">
        <v>83</v>
      </c>
    </row>
    <row r="1563" spans="5:13" hidden="1" x14ac:dyDescent="0.35">
      <c r="E1563" s="81"/>
      <c r="H1563" s="82"/>
      <c r="I1563" s="83" t="e">
        <f>VLOOKUP(E1563,[1]Mapping!$A$3:$B$14,2,FALSE)</f>
        <v>#N/A</v>
      </c>
      <c r="J1563" s="84">
        <f t="shared" si="50"/>
        <v>0</v>
      </c>
      <c r="K1563" s="84">
        <f t="shared" si="51"/>
        <v>0</v>
      </c>
      <c r="L1563" s="61" t="e">
        <f>VLOOKUP(K1563,[1]Mapping!$J$3:$Q$351,8,FALSE)</f>
        <v>#N/A</v>
      </c>
      <c r="M1563" t="s">
        <v>83</v>
      </c>
    </row>
    <row r="1564" spans="5:13" hidden="1" x14ac:dyDescent="0.35">
      <c r="E1564" s="81"/>
      <c r="H1564" s="82"/>
      <c r="I1564" s="83" t="e">
        <f>VLOOKUP(E1564,[1]Mapping!$A$3:$B$14,2,FALSE)</f>
        <v>#N/A</v>
      </c>
      <c r="J1564" s="84">
        <f t="shared" si="50"/>
        <v>0</v>
      </c>
      <c r="K1564" s="84">
        <f t="shared" si="51"/>
        <v>0</v>
      </c>
      <c r="L1564" s="61" t="e">
        <f>VLOOKUP(K1564,[1]Mapping!$J$3:$Q$351,8,FALSE)</f>
        <v>#N/A</v>
      </c>
      <c r="M1564" t="s">
        <v>83</v>
      </c>
    </row>
    <row r="1565" spans="5:13" hidden="1" x14ac:dyDescent="0.35">
      <c r="E1565" s="81"/>
      <c r="H1565" s="82"/>
      <c r="I1565" s="83" t="e">
        <f>VLOOKUP(E1565,[1]Mapping!$A$3:$B$14,2,FALSE)</f>
        <v>#N/A</v>
      </c>
      <c r="J1565" s="84">
        <f t="shared" si="50"/>
        <v>0</v>
      </c>
      <c r="K1565" s="84">
        <f t="shared" si="51"/>
        <v>0</v>
      </c>
      <c r="L1565" s="61" t="e">
        <f>VLOOKUP(K1565,[1]Mapping!$J$3:$Q$351,8,FALSE)</f>
        <v>#N/A</v>
      </c>
      <c r="M1565" t="s">
        <v>83</v>
      </c>
    </row>
    <row r="1566" spans="5:13" hidden="1" x14ac:dyDescent="0.35">
      <c r="E1566" s="81"/>
      <c r="H1566" s="82"/>
      <c r="I1566" s="83" t="e">
        <f>VLOOKUP(E1566,[1]Mapping!$A$3:$B$14,2,FALSE)</f>
        <v>#N/A</v>
      </c>
      <c r="J1566" s="84">
        <f t="shared" si="50"/>
        <v>0</v>
      </c>
      <c r="K1566" s="84">
        <f t="shared" si="51"/>
        <v>0</v>
      </c>
      <c r="L1566" s="61" t="e">
        <f>VLOOKUP(K1566,[1]Mapping!$J$3:$Q$351,8,FALSE)</f>
        <v>#N/A</v>
      </c>
      <c r="M1566" t="s">
        <v>83</v>
      </c>
    </row>
    <row r="1567" spans="5:13" hidden="1" x14ac:dyDescent="0.35">
      <c r="E1567" s="81"/>
      <c r="H1567" s="82"/>
      <c r="I1567" s="83" t="e">
        <f>VLOOKUP(E1567,[1]Mapping!$A$3:$B$14,2,FALSE)</f>
        <v>#N/A</v>
      </c>
      <c r="J1567" s="84">
        <f t="shared" si="50"/>
        <v>0</v>
      </c>
      <c r="K1567" s="84">
        <f t="shared" si="51"/>
        <v>0</v>
      </c>
      <c r="L1567" s="61" t="e">
        <f>VLOOKUP(K1567,[1]Mapping!$J$3:$Q$351,8,FALSE)</f>
        <v>#N/A</v>
      </c>
      <c r="M1567" t="s">
        <v>83</v>
      </c>
    </row>
    <row r="1568" spans="5:13" hidden="1" x14ac:dyDescent="0.35">
      <c r="E1568" s="81"/>
      <c r="H1568" s="82"/>
      <c r="I1568" s="83" t="e">
        <f>VLOOKUP(E1568,[1]Mapping!$A$3:$B$14,2,FALSE)</f>
        <v>#N/A</v>
      </c>
      <c r="J1568" s="84">
        <f t="shared" si="50"/>
        <v>0</v>
      </c>
      <c r="K1568" s="84">
        <f t="shared" si="51"/>
        <v>0</v>
      </c>
      <c r="L1568" s="61" t="e">
        <f>VLOOKUP(K1568,[1]Mapping!$J$3:$Q$351,8,FALSE)</f>
        <v>#N/A</v>
      </c>
      <c r="M1568" t="s">
        <v>83</v>
      </c>
    </row>
    <row r="1569" spans="5:13" hidden="1" x14ac:dyDescent="0.35">
      <c r="E1569" s="81"/>
      <c r="H1569" s="82"/>
      <c r="I1569" s="83" t="e">
        <f>VLOOKUP(E1569,[1]Mapping!$A$3:$B$14,2,FALSE)</f>
        <v>#N/A</v>
      </c>
      <c r="J1569" s="84">
        <f t="shared" si="50"/>
        <v>0</v>
      </c>
      <c r="K1569" s="84">
        <f t="shared" si="51"/>
        <v>0</v>
      </c>
      <c r="L1569" s="61" t="e">
        <f>VLOOKUP(K1569,[1]Mapping!$J$3:$Q$351,8,FALSE)</f>
        <v>#N/A</v>
      </c>
      <c r="M1569" t="s">
        <v>83</v>
      </c>
    </row>
    <row r="1570" spans="5:13" hidden="1" x14ac:dyDescent="0.35">
      <c r="E1570" s="81"/>
      <c r="H1570" s="82"/>
      <c r="I1570" s="83" t="e">
        <f>VLOOKUP(E1570,[1]Mapping!$A$3:$B$14,2,FALSE)</f>
        <v>#N/A</v>
      </c>
      <c r="J1570" s="84">
        <f t="shared" si="50"/>
        <v>0</v>
      </c>
      <c r="K1570" s="84">
        <f t="shared" si="51"/>
        <v>0</v>
      </c>
      <c r="L1570" s="61" t="e">
        <f>VLOOKUP(K1570,[1]Mapping!$J$3:$Q$351,8,FALSE)</f>
        <v>#N/A</v>
      </c>
      <c r="M1570" t="s">
        <v>83</v>
      </c>
    </row>
    <row r="1571" spans="5:13" hidden="1" x14ac:dyDescent="0.35">
      <c r="E1571" s="81"/>
      <c r="H1571" s="82"/>
      <c r="I1571" s="83" t="e">
        <f>VLOOKUP(E1571,[1]Mapping!$A$3:$B$14,2,FALSE)</f>
        <v>#N/A</v>
      </c>
      <c r="J1571" s="84">
        <f t="shared" si="50"/>
        <v>0</v>
      </c>
      <c r="K1571" s="84">
        <f t="shared" si="51"/>
        <v>0</v>
      </c>
      <c r="L1571" s="61" t="e">
        <f>VLOOKUP(K1571,[1]Mapping!$J$3:$Q$351,8,FALSE)</f>
        <v>#N/A</v>
      </c>
      <c r="M1571" t="s">
        <v>83</v>
      </c>
    </row>
    <row r="1572" spans="5:13" hidden="1" x14ac:dyDescent="0.35">
      <c r="E1572" s="81"/>
      <c r="H1572" s="82"/>
      <c r="I1572" s="83" t="e">
        <f>VLOOKUP(E1572,[1]Mapping!$A$3:$B$14,2,FALSE)</f>
        <v>#N/A</v>
      </c>
      <c r="J1572" s="84">
        <f t="shared" si="50"/>
        <v>0</v>
      </c>
      <c r="K1572" s="84">
        <f t="shared" si="51"/>
        <v>0</v>
      </c>
      <c r="L1572" s="61" t="e">
        <f>VLOOKUP(K1572,[1]Mapping!$J$3:$Q$351,8,FALSE)</f>
        <v>#N/A</v>
      </c>
      <c r="M1572" t="s">
        <v>83</v>
      </c>
    </row>
    <row r="1573" spans="5:13" hidden="1" x14ac:dyDescent="0.35">
      <c r="E1573" s="81"/>
      <c r="H1573" s="82"/>
      <c r="I1573" s="83" t="e">
        <f>VLOOKUP(E1573,[1]Mapping!$A$3:$B$14,2,FALSE)</f>
        <v>#N/A</v>
      </c>
      <c r="J1573" s="84">
        <f t="shared" si="50"/>
        <v>0</v>
      </c>
      <c r="K1573" s="84">
        <f t="shared" si="51"/>
        <v>0</v>
      </c>
      <c r="L1573" s="61" t="e">
        <f>VLOOKUP(K1573,[1]Mapping!$J$3:$Q$351,8,FALSE)</f>
        <v>#N/A</v>
      </c>
      <c r="M1573" t="s">
        <v>83</v>
      </c>
    </row>
    <row r="1574" spans="5:13" hidden="1" x14ac:dyDescent="0.35">
      <c r="E1574" s="81"/>
      <c r="H1574" s="82"/>
      <c r="I1574" s="83" t="e">
        <f>VLOOKUP(E1574,[1]Mapping!$A$3:$B$14,2,FALSE)</f>
        <v>#N/A</v>
      </c>
      <c r="J1574" s="84">
        <f t="shared" si="50"/>
        <v>0</v>
      </c>
      <c r="K1574" s="84">
        <f t="shared" si="51"/>
        <v>0</v>
      </c>
      <c r="L1574" s="61" t="e">
        <f>VLOOKUP(K1574,[1]Mapping!$J$3:$Q$351,8,FALSE)</f>
        <v>#N/A</v>
      </c>
      <c r="M1574" t="s">
        <v>83</v>
      </c>
    </row>
    <row r="1575" spans="5:13" hidden="1" x14ac:dyDescent="0.35">
      <c r="E1575" s="81"/>
      <c r="H1575" s="82"/>
      <c r="I1575" s="83" t="e">
        <f>VLOOKUP(E1575,[1]Mapping!$A$3:$B$14,2,FALSE)</f>
        <v>#N/A</v>
      </c>
      <c r="J1575" s="84">
        <f t="shared" si="50"/>
        <v>0</v>
      </c>
      <c r="K1575" s="84">
        <f t="shared" si="51"/>
        <v>0</v>
      </c>
      <c r="L1575" s="61" t="e">
        <f>VLOOKUP(K1575,[1]Mapping!$J$3:$Q$351,8,FALSE)</f>
        <v>#N/A</v>
      </c>
      <c r="M1575" t="s">
        <v>83</v>
      </c>
    </row>
    <row r="1576" spans="5:13" hidden="1" x14ac:dyDescent="0.35">
      <c r="E1576" s="81"/>
      <c r="H1576" s="82"/>
      <c r="I1576" s="83" t="e">
        <f>VLOOKUP(E1576,[1]Mapping!$A$3:$B$14,2,FALSE)</f>
        <v>#N/A</v>
      </c>
      <c r="J1576" s="84">
        <f t="shared" si="50"/>
        <v>0</v>
      </c>
      <c r="K1576" s="84">
        <f t="shared" si="51"/>
        <v>0</v>
      </c>
      <c r="L1576" s="61" t="e">
        <f>VLOOKUP(K1576,[1]Mapping!$J$3:$Q$351,8,FALSE)</f>
        <v>#N/A</v>
      </c>
      <c r="M1576" t="s">
        <v>83</v>
      </c>
    </row>
    <row r="1577" spans="5:13" hidden="1" x14ac:dyDescent="0.35">
      <c r="E1577" s="81"/>
      <c r="H1577" s="82"/>
      <c r="I1577" s="83" t="e">
        <f>VLOOKUP(E1577,[1]Mapping!$A$3:$B$14,2,FALSE)</f>
        <v>#N/A</v>
      </c>
      <c r="J1577" s="84">
        <f t="shared" si="50"/>
        <v>0</v>
      </c>
      <c r="K1577" s="84">
        <f t="shared" si="51"/>
        <v>0</v>
      </c>
      <c r="L1577" s="61" t="e">
        <f>VLOOKUP(K1577,[1]Mapping!$J$3:$Q$351,8,FALSE)</f>
        <v>#N/A</v>
      </c>
      <c r="M1577" t="s">
        <v>83</v>
      </c>
    </row>
    <row r="1578" spans="5:13" hidden="1" x14ac:dyDescent="0.35">
      <c r="E1578" s="81"/>
      <c r="H1578" s="82"/>
      <c r="I1578" s="83" t="e">
        <f>VLOOKUP(E1578,[1]Mapping!$A$3:$B$14,2,FALSE)</f>
        <v>#N/A</v>
      </c>
      <c r="J1578" s="84">
        <f t="shared" si="50"/>
        <v>0</v>
      </c>
      <c r="K1578" s="84">
        <f t="shared" si="51"/>
        <v>0</v>
      </c>
      <c r="L1578" s="61" t="e">
        <f>VLOOKUP(K1578,[1]Mapping!$J$3:$Q$351,8,FALSE)</f>
        <v>#N/A</v>
      </c>
      <c r="M1578" t="s">
        <v>83</v>
      </c>
    </row>
    <row r="1579" spans="5:13" hidden="1" x14ac:dyDescent="0.35">
      <c r="E1579" s="81"/>
      <c r="H1579" s="82"/>
      <c r="I1579" s="83" t="e">
        <f>VLOOKUP(E1579,[1]Mapping!$A$3:$B$14,2,FALSE)</f>
        <v>#N/A</v>
      </c>
      <c r="J1579" s="84">
        <f t="shared" si="50"/>
        <v>0</v>
      </c>
      <c r="K1579" s="84">
        <f t="shared" si="51"/>
        <v>0</v>
      </c>
      <c r="L1579" s="61" t="e">
        <f>VLOOKUP(K1579,[1]Mapping!$J$3:$Q$351,8,FALSE)</f>
        <v>#N/A</v>
      </c>
      <c r="M1579" t="s">
        <v>83</v>
      </c>
    </row>
    <row r="1580" spans="5:13" hidden="1" x14ac:dyDescent="0.35">
      <c r="E1580" s="81"/>
      <c r="H1580" s="82"/>
      <c r="I1580" s="83" t="e">
        <f>VLOOKUP(E1580,[1]Mapping!$A$3:$B$14,2,FALSE)</f>
        <v>#N/A</v>
      </c>
      <c r="J1580" s="84">
        <f t="shared" si="50"/>
        <v>0</v>
      </c>
      <c r="K1580" s="84">
        <f t="shared" si="51"/>
        <v>0</v>
      </c>
      <c r="L1580" s="61" t="e">
        <f>VLOOKUP(K1580,[1]Mapping!$J$3:$Q$351,8,FALSE)</f>
        <v>#N/A</v>
      </c>
      <c r="M1580" t="s">
        <v>83</v>
      </c>
    </row>
    <row r="1581" spans="5:13" hidden="1" x14ac:dyDescent="0.35">
      <c r="E1581" s="81"/>
      <c r="H1581" s="82"/>
      <c r="I1581" s="83" t="e">
        <f>VLOOKUP(E1581,[1]Mapping!$A$3:$B$14,2,FALSE)</f>
        <v>#N/A</v>
      </c>
      <c r="J1581" s="84">
        <f t="shared" si="50"/>
        <v>0</v>
      </c>
      <c r="K1581" s="84">
        <f t="shared" si="51"/>
        <v>0</v>
      </c>
      <c r="L1581" s="61" t="e">
        <f>VLOOKUP(K1581,[1]Mapping!$J$3:$Q$351,8,FALSE)</f>
        <v>#N/A</v>
      </c>
      <c r="M1581" t="s">
        <v>83</v>
      </c>
    </row>
    <row r="1582" spans="5:13" hidden="1" x14ac:dyDescent="0.35">
      <c r="E1582" s="81"/>
      <c r="H1582" s="82"/>
      <c r="I1582" s="83" t="e">
        <f>VLOOKUP(E1582,[1]Mapping!$A$3:$B$14,2,FALSE)</f>
        <v>#N/A</v>
      </c>
      <c r="J1582" s="84">
        <f t="shared" si="50"/>
        <v>0</v>
      </c>
      <c r="K1582" s="84">
        <f t="shared" si="51"/>
        <v>0</v>
      </c>
      <c r="L1582" s="61" t="e">
        <f>VLOOKUP(K1582,[1]Mapping!$J$3:$Q$351,8,FALSE)</f>
        <v>#N/A</v>
      </c>
      <c r="M1582" t="s">
        <v>83</v>
      </c>
    </row>
    <row r="1583" spans="5:13" hidden="1" x14ac:dyDescent="0.35">
      <c r="E1583" s="81"/>
      <c r="H1583" s="82"/>
      <c r="I1583" s="83" t="e">
        <f>VLOOKUP(E1583,[1]Mapping!$A$3:$B$14,2,FALSE)</f>
        <v>#N/A</v>
      </c>
      <c r="J1583" s="84">
        <f t="shared" si="50"/>
        <v>0</v>
      </c>
      <c r="K1583" s="84">
        <f t="shared" si="51"/>
        <v>0</v>
      </c>
      <c r="L1583" s="61" t="e">
        <f>VLOOKUP(K1583,[1]Mapping!$J$3:$Q$351,8,FALSE)</f>
        <v>#N/A</v>
      </c>
      <c r="M1583" t="s">
        <v>83</v>
      </c>
    </row>
    <row r="1584" spans="5:13" hidden="1" x14ac:dyDescent="0.35">
      <c r="E1584" s="81"/>
      <c r="H1584" s="82"/>
      <c r="I1584" s="83" t="e">
        <f>VLOOKUP(E1584,[1]Mapping!$A$3:$B$14,2,FALSE)</f>
        <v>#N/A</v>
      </c>
      <c r="J1584" s="84">
        <f t="shared" si="50"/>
        <v>0</v>
      </c>
      <c r="K1584" s="84">
        <f t="shared" si="51"/>
        <v>0</v>
      </c>
      <c r="L1584" s="61" t="e">
        <f>VLOOKUP(K1584,[1]Mapping!$J$3:$Q$351,8,FALSE)</f>
        <v>#N/A</v>
      </c>
      <c r="M1584" t="s">
        <v>83</v>
      </c>
    </row>
    <row r="1585" spans="5:13" hidden="1" x14ac:dyDescent="0.35">
      <c r="E1585" s="81"/>
      <c r="H1585" s="82"/>
      <c r="I1585" s="83" t="e">
        <f>VLOOKUP(E1585,[1]Mapping!$A$3:$B$14,2,FALSE)</f>
        <v>#N/A</v>
      </c>
      <c r="J1585" s="84">
        <f t="shared" si="50"/>
        <v>0</v>
      </c>
      <c r="K1585" s="84">
        <f t="shared" si="51"/>
        <v>0</v>
      </c>
      <c r="L1585" s="61" t="e">
        <f>VLOOKUP(K1585,[1]Mapping!$J$3:$Q$351,8,FALSE)</f>
        <v>#N/A</v>
      </c>
      <c r="M1585" t="s">
        <v>83</v>
      </c>
    </row>
    <row r="1586" spans="5:13" hidden="1" x14ac:dyDescent="0.35">
      <c r="E1586" s="81"/>
      <c r="H1586" s="82"/>
      <c r="I1586" s="83" t="e">
        <f>VLOOKUP(E1586,[1]Mapping!$A$3:$B$14,2,FALSE)</f>
        <v>#N/A</v>
      </c>
      <c r="J1586" s="84">
        <f t="shared" si="50"/>
        <v>0</v>
      </c>
      <c r="K1586" s="84">
        <f t="shared" si="51"/>
        <v>0</v>
      </c>
      <c r="L1586" s="61" t="e">
        <f>VLOOKUP(K1586,[1]Mapping!$J$3:$Q$351,8,FALSE)</f>
        <v>#N/A</v>
      </c>
      <c r="M1586" t="s">
        <v>83</v>
      </c>
    </row>
    <row r="1587" spans="5:13" hidden="1" x14ac:dyDescent="0.35">
      <c r="E1587" s="81"/>
      <c r="H1587" s="82"/>
      <c r="I1587" s="83" t="e">
        <f>VLOOKUP(E1587,[1]Mapping!$A$3:$B$14,2,FALSE)</f>
        <v>#N/A</v>
      </c>
      <c r="J1587" s="84">
        <f t="shared" si="50"/>
        <v>0</v>
      </c>
      <c r="K1587" s="84">
        <f t="shared" si="51"/>
        <v>0</v>
      </c>
      <c r="L1587" s="61" t="e">
        <f>VLOOKUP(K1587,[1]Mapping!$J$3:$Q$351,8,FALSE)</f>
        <v>#N/A</v>
      </c>
      <c r="M1587" t="s">
        <v>83</v>
      </c>
    </row>
    <row r="1588" spans="5:13" hidden="1" x14ac:dyDescent="0.35">
      <c r="E1588" s="81"/>
      <c r="H1588" s="82"/>
      <c r="I1588" s="83" t="e">
        <f>VLOOKUP(E1588,[1]Mapping!$A$3:$B$14,2,FALSE)</f>
        <v>#N/A</v>
      </c>
      <c r="J1588" s="84">
        <f t="shared" si="50"/>
        <v>0</v>
      </c>
      <c r="K1588" s="84">
        <f t="shared" si="51"/>
        <v>0</v>
      </c>
      <c r="L1588" s="61" t="e">
        <f>VLOOKUP(K1588,[1]Mapping!$J$3:$Q$351,8,FALSE)</f>
        <v>#N/A</v>
      </c>
      <c r="M1588" t="s">
        <v>83</v>
      </c>
    </row>
    <row r="1589" spans="5:13" hidden="1" x14ac:dyDescent="0.35">
      <c r="E1589" s="81"/>
      <c r="H1589" s="82"/>
      <c r="I1589" s="83" t="e">
        <f>VLOOKUP(E1589,[1]Mapping!$A$3:$B$14,2,FALSE)</f>
        <v>#N/A</v>
      </c>
      <c r="J1589" s="84">
        <f t="shared" si="50"/>
        <v>0</v>
      </c>
      <c r="K1589" s="84">
        <f t="shared" si="51"/>
        <v>0</v>
      </c>
      <c r="L1589" s="61" t="e">
        <f>VLOOKUP(K1589,[1]Mapping!$J$3:$Q$351,8,FALSE)</f>
        <v>#N/A</v>
      </c>
      <c r="M1589" t="s">
        <v>83</v>
      </c>
    </row>
    <row r="1590" spans="5:13" hidden="1" x14ac:dyDescent="0.35">
      <c r="E1590" s="81"/>
      <c r="H1590" s="82"/>
      <c r="I1590" s="83" t="e">
        <f>VLOOKUP(E1590,[1]Mapping!$A$3:$B$14,2,FALSE)</f>
        <v>#N/A</v>
      </c>
      <c r="J1590" s="84">
        <f t="shared" si="50"/>
        <v>0</v>
      </c>
      <c r="K1590" s="84">
        <f t="shared" si="51"/>
        <v>0</v>
      </c>
      <c r="L1590" s="61" t="e">
        <f>VLOOKUP(K1590,[1]Mapping!$J$3:$Q$351,8,FALSE)</f>
        <v>#N/A</v>
      </c>
      <c r="M1590" t="s">
        <v>83</v>
      </c>
    </row>
    <row r="1591" spans="5:13" hidden="1" x14ac:dyDescent="0.35">
      <c r="E1591" s="81"/>
      <c r="H1591" s="82"/>
      <c r="I1591" s="83" t="e">
        <f>VLOOKUP(E1591,[1]Mapping!$A$3:$B$14,2,FALSE)</f>
        <v>#N/A</v>
      </c>
      <c r="J1591" s="84">
        <f t="shared" si="50"/>
        <v>0</v>
      </c>
      <c r="K1591" s="84">
        <f t="shared" si="51"/>
        <v>0</v>
      </c>
      <c r="L1591" s="61" t="e">
        <f>VLOOKUP(K1591,[1]Mapping!$J$3:$Q$351,8,FALSE)</f>
        <v>#N/A</v>
      </c>
      <c r="M1591" t="s">
        <v>83</v>
      </c>
    </row>
    <row r="1592" spans="5:13" hidden="1" x14ac:dyDescent="0.35">
      <c r="E1592" s="81"/>
      <c r="H1592" s="82"/>
      <c r="I1592" s="83" t="e">
        <f>VLOOKUP(E1592,[1]Mapping!$A$3:$B$14,2,FALSE)</f>
        <v>#N/A</v>
      </c>
      <c r="J1592" s="84">
        <f t="shared" si="50"/>
        <v>0</v>
      </c>
      <c r="K1592" s="84">
        <f t="shared" si="51"/>
        <v>0</v>
      </c>
      <c r="L1592" s="61" t="e">
        <f>VLOOKUP(K1592,[1]Mapping!$J$3:$Q$351,8,FALSE)</f>
        <v>#N/A</v>
      </c>
      <c r="M1592" t="s">
        <v>83</v>
      </c>
    </row>
    <row r="1593" spans="5:13" hidden="1" x14ac:dyDescent="0.35">
      <c r="E1593" s="81"/>
      <c r="H1593" s="82"/>
      <c r="I1593" s="83" t="e">
        <f>VLOOKUP(E1593,[1]Mapping!$A$3:$B$14,2,FALSE)</f>
        <v>#N/A</v>
      </c>
      <c r="J1593" s="84">
        <f t="shared" si="50"/>
        <v>0</v>
      </c>
      <c r="K1593" s="84">
        <f t="shared" si="51"/>
        <v>0</v>
      </c>
      <c r="L1593" s="61" t="e">
        <f>VLOOKUP(K1593,[1]Mapping!$J$3:$Q$351,8,FALSE)</f>
        <v>#N/A</v>
      </c>
      <c r="M1593" t="s">
        <v>83</v>
      </c>
    </row>
    <row r="1594" spans="5:13" hidden="1" x14ac:dyDescent="0.35">
      <c r="E1594" s="81"/>
      <c r="H1594" s="82"/>
      <c r="I1594" s="83" t="e">
        <f>VLOOKUP(E1594,[1]Mapping!$A$3:$B$14,2,FALSE)</f>
        <v>#N/A</v>
      </c>
      <c r="J1594" s="84">
        <f t="shared" si="50"/>
        <v>0</v>
      </c>
      <c r="K1594" s="84">
        <f t="shared" si="51"/>
        <v>0</v>
      </c>
      <c r="L1594" s="61" t="e">
        <f>VLOOKUP(K1594,[1]Mapping!$J$3:$Q$351,8,FALSE)</f>
        <v>#N/A</v>
      </c>
      <c r="M1594" t="s">
        <v>83</v>
      </c>
    </row>
    <row r="1595" spans="5:13" hidden="1" x14ac:dyDescent="0.35">
      <c r="E1595" s="81"/>
      <c r="H1595" s="82"/>
      <c r="I1595" s="83" t="e">
        <f>VLOOKUP(E1595,[1]Mapping!$A$3:$B$14,2,FALSE)</f>
        <v>#N/A</v>
      </c>
      <c r="J1595" s="84">
        <f t="shared" si="50"/>
        <v>0</v>
      </c>
      <c r="K1595" s="84">
        <f t="shared" si="51"/>
        <v>0</v>
      </c>
      <c r="L1595" s="61" t="e">
        <f>VLOOKUP(K1595,[1]Mapping!$J$3:$Q$351,8,FALSE)</f>
        <v>#N/A</v>
      </c>
      <c r="M1595" t="s">
        <v>83</v>
      </c>
    </row>
    <row r="1596" spans="5:13" hidden="1" x14ac:dyDescent="0.35">
      <c r="E1596" s="81"/>
      <c r="H1596" s="82"/>
      <c r="I1596" s="83" t="e">
        <f>VLOOKUP(E1596,[1]Mapping!$A$3:$B$14,2,FALSE)</f>
        <v>#N/A</v>
      </c>
      <c r="J1596" s="84">
        <f t="shared" si="50"/>
        <v>0</v>
      </c>
      <c r="K1596" s="84">
        <f t="shared" si="51"/>
        <v>0</v>
      </c>
      <c r="L1596" s="61" t="e">
        <f>VLOOKUP(K1596,[1]Mapping!$J$3:$Q$351,8,FALSE)</f>
        <v>#N/A</v>
      </c>
      <c r="M1596" t="s">
        <v>83</v>
      </c>
    </row>
    <row r="1597" spans="5:13" hidden="1" x14ac:dyDescent="0.35">
      <c r="E1597" s="81"/>
      <c r="H1597" s="82"/>
      <c r="I1597" s="83" t="e">
        <f>VLOOKUP(E1597,[1]Mapping!$A$3:$B$14,2,FALSE)</f>
        <v>#N/A</v>
      </c>
      <c r="J1597" s="84">
        <f t="shared" si="50"/>
        <v>0</v>
      </c>
      <c r="K1597" s="84">
        <f t="shared" si="51"/>
        <v>0</v>
      </c>
      <c r="L1597" s="61" t="e">
        <f>VLOOKUP(K1597,[1]Mapping!$J$3:$Q$351,8,FALSE)</f>
        <v>#N/A</v>
      </c>
      <c r="M1597" t="s">
        <v>83</v>
      </c>
    </row>
    <row r="1598" spans="5:13" hidden="1" x14ac:dyDescent="0.35">
      <c r="E1598" s="81"/>
      <c r="H1598" s="82"/>
      <c r="I1598" s="83" t="e">
        <f>VLOOKUP(E1598,[1]Mapping!$A$3:$B$14,2,FALSE)</f>
        <v>#N/A</v>
      </c>
      <c r="J1598" s="84">
        <f t="shared" si="50"/>
        <v>0</v>
      </c>
      <c r="K1598" s="84">
        <f t="shared" si="51"/>
        <v>0</v>
      </c>
      <c r="L1598" s="61" t="e">
        <f>VLOOKUP(K1598,[1]Mapping!$J$3:$Q$351,8,FALSE)</f>
        <v>#N/A</v>
      </c>
      <c r="M1598" t="s">
        <v>83</v>
      </c>
    </row>
    <row r="1599" spans="5:13" hidden="1" x14ac:dyDescent="0.35">
      <c r="E1599" s="81"/>
      <c r="H1599" s="82"/>
      <c r="I1599" s="83" t="e">
        <f>VLOOKUP(E1599,[1]Mapping!$A$3:$B$14,2,FALSE)</f>
        <v>#N/A</v>
      </c>
      <c r="J1599" s="84">
        <f t="shared" si="50"/>
        <v>0</v>
      </c>
      <c r="K1599" s="84">
        <f t="shared" si="51"/>
        <v>0</v>
      </c>
      <c r="L1599" s="61" t="e">
        <f>VLOOKUP(K1599,[1]Mapping!$J$3:$Q$351,8,FALSE)</f>
        <v>#N/A</v>
      </c>
      <c r="M1599" t="s">
        <v>83</v>
      </c>
    </row>
    <row r="1600" spans="5:13" hidden="1" x14ac:dyDescent="0.35">
      <c r="E1600" s="81"/>
      <c r="H1600" s="82"/>
      <c r="I1600" s="83" t="e">
        <f>VLOOKUP(E1600,[1]Mapping!$A$3:$B$14,2,FALSE)</f>
        <v>#N/A</v>
      </c>
      <c r="J1600" s="84">
        <f t="shared" si="50"/>
        <v>0</v>
      </c>
      <c r="K1600" s="84">
        <f t="shared" si="51"/>
        <v>0</v>
      </c>
      <c r="L1600" s="61" t="e">
        <f>VLOOKUP(K1600,[1]Mapping!$J$3:$Q$351,8,FALSE)</f>
        <v>#N/A</v>
      </c>
      <c r="M1600" t="s">
        <v>83</v>
      </c>
    </row>
    <row r="1601" spans="5:13" hidden="1" x14ac:dyDescent="0.35">
      <c r="E1601" s="81"/>
      <c r="H1601" s="82"/>
      <c r="I1601" s="83" t="e">
        <f>VLOOKUP(E1601,[1]Mapping!$A$3:$B$14,2,FALSE)</f>
        <v>#N/A</v>
      </c>
      <c r="J1601" s="84">
        <f t="shared" si="50"/>
        <v>0</v>
      </c>
      <c r="K1601" s="84">
        <f t="shared" si="51"/>
        <v>0</v>
      </c>
      <c r="L1601" s="61" t="e">
        <f>VLOOKUP(K1601,[1]Mapping!$J$3:$Q$351,8,FALSE)</f>
        <v>#N/A</v>
      </c>
      <c r="M1601" t="s">
        <v>83</v>
      </c>
    </row>
    <row r="1602" spans="5:13" hidden="1" x14ac:dyDescent="0.35">
      <c r="E1602" s="81"/>
      <c r="H1602" s="82"/>
      <c r="I1602" s="83" t="e">
        <f>VLOOKUP(E1602,[1]Mapping!$A$3:$B$14,2,FALSE)</f>
        <v>#N/A</v>
      </c>
      <c r="J1602" s="84">
        <f t="shared" si="50"/>
        <v>0</v>
      </c>
      <c r="K1602" s="84">
        <f t="shared" si="51"/>
        <v>0</v>
      </c>
      <c r="L1602" s="61" t="e">
        <f>VLOOKUP(K1602,[1]Mapping!$J$3:$Q$351,8,FALSE)</f>
        <v>#N/A</v>
      </c>
      <c r="M1602" t="s">
        <v>83</v>
      </c>
    </row>
    <row r="1603" spans="5:13" hidden="1" x14ac:dyDescent="0.35">
      <c r="E1603" s="81"/>
      <c r="H1603" s="82"/>
      <c r="I1603" s="83" t="e">
        <f>VLOOKUP(E1603,[1]Mapping!$A$3:$B$14,2,FALSE)</f>
        <v>#N/A</v>
      </c>
      <c r="J1603" s="84">
        <f t="shared" si="50"/>
        <v>0</v>
      </c>
      <c r="K1603" s="84">
        <f t="shared" si="51"/>
        <v>0</v>
      </c>
      <c r="L1603" s="61" t="e">
        <f>VLOOKUP(K1603,[1]Mapping!$J$3:$Q$351,8,FALSE)</f>
        <v>#N/A</v>
      </c>
      <c r="M1603" t="s">
        <v>83</v>
      </c>
    </row>
    <row r="1604" spans="5:13" hidden="1" x14ac:dyDescent="0.35">
      <c r="E1604" s="81"/>
      <c r="H1604" s="82"/>
      <c r="I1604" s="83" t="e">
        <f>VLOOKUP(E1604,[1]Mapping!$A$3:$B$14,2,FALSE)</f>
        <v>#N/A</v>
      </c>
      <c r="J1604" s="84">
        <f t="shared" ref="J1604:J1667" si="52">VALUE(A1604)</f>
        <v>0</v>
      </c>
      <c r="K1604" s="84">
        <f t="shared" ref="K1604:K1667" si="53">VALUE(C1604)</f>
        <v>0</v>
      </c>
      <c r="L1604" s="61" t="e">
        <f>VLOOKUP(K1604,[1]Mapping!$J$3:$Q$351,8,FALSE)</f>
        <v>#N/A</v>
      </c>
      <c r="M1604" t="s">
        <v>83</v>
      </c>
    </row>
    <row r="1605" spans="5:13" hidden="1" x14ac:dyDescent="0.35">
      <c r="E1605" s="81"/>
      <c r="H1605" s="82"/>
      <c r="I1605" s="83" t="e">
        <f>VLOOKUP(E1605,[1]Mapping!$A$3:$B$14,2,FALSE)</f>
        <v>#N/A</v>
      </c>
      <c r="J1605" s="84">
        <f t="shared" si="52"/>
        <v>0</v>
      </c>
      <c r="K1605" s="84">
        <f t="shared" si="53"/>
        <v>0</v>
      </c>
      <c r="L1605" s="61" t="e">
        <f>VLOOKUP(K1605,[1]Mapping!$J$3:$Q$351,8,FALSE)</f>
        <v>#N/A</v>
      </c>
      <c r="M1605" t="s">
        <v>83</v>
      </c>
    </row>
    <row r="1606" spans="5:13" hidden="1" x14ac:dyDescent="0.35">
      <c r="E1606" s="81"/>
      <c r="H1606" s="82"/>
      <c r="I1606" s="83" t="e">
        <f>VLOOKUP(E1606,[1]Mapping!$A$3:$B$14,2,FALSE)</f>
        <v>#N/A</v>
      </c>
      <c r="J1606" s="84">
        <f t="shared" si="52"/>
        <v>0</v>
      </c>
      <c r="K1606" s="84">
        <f t="shared" si="53"/>
        <v>0</v>
      </c>
      <c r="L1606" s="61" t="e">
        <f>VLOOKUP(K1606,[1]Mapping!$J$3:$Q$351,8,FALSE)</f>
        <v>#N/A</v>
      </c>
      <c r="M1606" t="s">
        <v>83</v>
      </c>
    </row>
    <row r="1607" spans="5:13" hidden="1" x14ac:dyDescent="0.35">
      <c r="E1607" s="81"/>
      <c r="H1607" s="82"/>
      <c r="I1607" s="83" t="e">
        <f>VLOOKUP(E1607,[1]Mapping!$A$3:$B$14,2,FALSE)</f>
        <v>#N/A</v>
      </c>
      <c r="J1607" s="84">
        <f t="shared" si="52"/>
        <v>0</v>
      </c>
      <c r="K1607" s="84">
        <f t="shared" si="53"/>
        <v>0</v>
      </c>
      <c r="L1607" s="61" t="e">
        <f>VLOOKUP(K1607,[1]Mapping!$J$3:$Q$351,8,FALSE)</f>
        <v>#N/A</v>
      </c>
      <c r="M1607" t="s">
        <v>83</v>
      </c>
    </row>
    <row r="1608" spans="5:13" hidden="1" x14ac:dyDescent="0.35">
      <c r="E1608" s="81"/>
      <c r="H1608" s="82"/>
      <c r="I1608" s="83" t="e">
        <f>VLOOKUP(E1608,[1]Mapping!$A$3:$B$14,2,FALSE)</f>
        <v>#N/A</v>
      </c>
      <c r="J1608" s="84">
        <f t="shared" si="52"/>
        <v>0</v>
      </c>
      <c r="K1608" s="84">
        <f t="shared" si="53"/>
        <v>0</v>
      </c>
      <c r="L1608" s="61" t="e">
        <f>VLOOKUP(K1608,[1]Mapping!$J$3:$Q$351,8,FALSE)</f>
        <v>#N/A</v>
      </c>
      <c r="M1608" t="s">
        <v>83</v>
      </c>
    </row>
    <row r="1609" spans="5:13" hidden="1" x14ac:dyDescent="0.35">
      <c r="E1609" s="81"/>
      <c r="H1609" s="82"/>
      <c r="I1609" s="83" t="e">
        <f>VLOOKUP(E1609,[1]Mapping!$A$3:$B$14,2,FALSE)</f>
        <v>#N/A</v>
      </c>
      <c r="J1609" s="84">
        <f t="shared" si="52"/>
        <v>0</v>
      </c>
      <c r="K1609" s="84">
        <f t="shared" si="53"/>
        <v>0</v>
      </c>
      <c r="L1609" s="61" t="e">
        <f>VLOOKUP(K1609,[1]Mapping!$J$3:$Q$351,8,FALSE)</f>
        <v>#N/A</v>
      </c>
      <c r="M1609" t="s">
        <v>83</v>
      </c>
    </row>
    <row r="1610" spans="5:13" hidden="1" x14ac:dyDescent="0.35">
      <c r="E1610" s="81"/>
      <c r="H1610" s="82"/>
      <c r="I1610" s="83" t="e">
        <f>VLOOKUP(E1610,[1]Mapping!$A$3:$B$14,2,FALSE)</f>
        <v>#N/A</v>
      </c>
      <c r="J1610" s="84">
        <f t="shared" si="52"/>
        <v>0</v>
      </c>
      <c r="K1610" s="84">
        <f t="shared" si="53"/>
        <v>0</v>
      </c>
      <c r="L1610" s="61" t="e">
        <f>VLOOKUP(K1610,[1]Mapping!$J$3:$Q$351,8,FALSE)</f>
        <v>#N/A</v>
      </c>
      <c r="M1610" t="s">
        <v>83</v>
      </c>
    </row>
    <row r="1611" spans="5:13" hidden="1" x14ac:dyDescent="0.35">
      <c r="E1611" s="81"/>
      <c r="H1611" s="82"/>
      <c r="I1611" s="83" t="e">
        <f>VLOOKUP(E1611,[1]Mapping!$A$3:$B$14,2,FALSE)</f>
        <v>#N/A</v>
      </c>
      <c r="J1611" s="84">
        <f t="shared" si="52"/>
        <v>0</v>
      </c>
      <c r="K1611" s="84">
        <f t="shared" si="53"/>
        <v>0</v>
      </c>
      <c r="L1611" s="61" t="e">
        <f>VLOOKUP(K1611,[1]Mapping!$J$3:$Q$351,8,FALSE)</f>
        <v>#N/A</v>
      </c>
      <c r="M1611" t="s">
        <v>83</v>
      </c>
    </row>
    <row r="1612" spans="5:13" hidden="1" x14ac:dyDescent="0.35">
      <c r="E1612" s="81"/>
      <c r="H1612" s="82"/>
      <c r="I1612" s="83" t="e">
        <f>VLOOKUP(E1612,[1]Mapping!$A$3:$B$14,2,FALSE)</f>
        <v>#N/A</v>
      </c>
      <c r="J1612" s="84">
        <f t="shared" si="52"/>
        <v>0</v>
      </c>
      <c r="K1612" s="84">
        <f t="shared" si="53"/>
        <v>0</v>
      </c>
      <c r="L1612" s="61" t="e">
        <f>VLOOKUP(K1612,[1]Mapping!$J$3:$Q$351,8,FALSE)</f>
        <v>#N/A</v>
      </c>
      <c r="M1612" t="s">
        <v>83</v>
      </c>
    </row>
    <row r="1613" spans="5:13" hidden="1" x14ac:dyDescent="0.35">
      <c r="E1613" s="81"/>
      <c r="H1613" s="82"/>
      <c r="I1613" s="83" t="e">
        <f>VLOOKUP(E1613,[1]Mapping!$A$3:$B$14,2,FALSE)</f>
        <v>#N/A</v>
      </c>
      <c r="J1613" s="84">
        <f t="shared" si="52"/>
        <v>0</v>
      </c>
      <c r="K1613" s="84">
        <f t="shared" si="53"/>
        <v>0</v>
      </c>
      <c r="L1613" s="61" t="e">
        <f>VLOOKUP(K1613,[1]Mapping!$J$3:$Q$351,8,FALSE)</f>
        <v>#N/A</v>
      </c>
      <c r="M1613" t="s">
        <v>83</v>
      </c>
    </row>
    <row r="1614" spans="5:13" hidden="1" x14ac:dyDescent="0.35">
      <c r="E1614" s="81"/>
      <c r="H1614" s="82"/>
      <c r="I1614" s="83" t="e">
        <f>VLOOKUP(E1614,[1]Mapping!$A$3:$B$14,2,FALSE)</f>
        <v>#N/A</v>
      </c>
      <c r="J1614" s="84">
        <f t="shared" si="52"/>
        <v>0</v>
      </c>
      <c r="K1614" s="84">
        <f t="shared" si="53"/>
        <v>0</v>
      </c>
      <c r="L1614" s="61" t="e">
        <f>VLOOKUP(K1614,[1]Mapping!$J$3:$Q$351,8,FALSE)</f>
        <v>#N/A</v>
      </c>
      <c r="M1614" t="s">
        <v>83</v>
      </c>
    </row>
    <row r="1615" spans="5:13" hidden="1" x14ac:dyDescent="0.35">
      <c r="E1615" s="81"/>
      <c r="H1615" s="82"/>
      <c r="I1615" s="83" t="e">
        <f>VLOOKUP(E1615,[1]Mapping!$A$3:$B$14,2,FALSE)</f>
        <v>#N/A</v>
      </c>
      <c r="J1615" s="84">
        <f t="shared" si="52"/>
        <v>0</v>
      </c>
      <c r="K1615" s="84">
        <f t="shared" si="53"/>
        <v>0</v>
      </c>
      <c r="L1615" s="61" t="e">
        <f>VLOOKUP(K1615,[1]Mapping!$J$3:$Q$351,8,FALSE)</f>
        <v>#N/A</v>
      </c>
      <c r="M1615" t="s">
        <v>83</v>
      </c>
    </row>
    <row r="1616" spans="5:13" hidden="1" x14ac:dyDescent="0.35">
      <c r="E1616" s="81"/>
      <c r="H1616" s="82"/>
      <c r="I1616" s="83" t="e">
        <f>VLOOKUP(E1616,[1]Mapping!$A$3:$B$14,2,FALSE)</f>
        <v>#N/A</v>
      </c>
      <c r="J1616" s="84">
        <f t="shared" si="52"/>
        <v>0</v>
      </c>
      <c r="K1616" s="84">
        <f t="shared" si="53"/>
        <v>0</v>
      </c>
      <c r="L1616" s="61" t="e">
        <f>VLOOKUP(K1616,[1]Mapping!$J$3:$Q$351,8,FALSE)</f>
        <v>#N/A</v>
      </c>
      <c r="M1616" t="s">
        <v>83</v>
      </c>
    </row>
    <row r="1617" spans="5:13" hidden="1" x14ac:dyDescent="0.35">
      <c r="E1617" s="81"/>
      <c r="H1617" s="82"/>
      <c r="I1617" s="83" t="e">
        <f>VLOOKUP(E1617,[1]Mapping!$A$3:$B$14,2,FALSE)</f>
        <v>#N/A</v>
      </c>
      <c r="J1617" s="84">
        <f t="shared" si="52"/>
        <v>0</v>
      </c>
      <c r="K1617" s="84">
        <f t="shared" si="53"/>
        <v>0</v>
      </c>
      <c r="L1617" s="61" t="e">
        <f>VLOOKUP(K1617,[1]Mapping!$J$3:$Q$351,8,FALSE)</f>
        <v>#N/A</v>
      </c>
      <c r="M1617" t="s">
        <v>83</v>
      </c>
    </row>
    <row r="1618" spans="5:13" hidden="1" x14ac:dyDescent="0.35">
      <c r="E1618" s="81"/>
      <c r="H1618" s="82"/>
      <c r="I1618" s="83" t="e">
        <f>VLOOKUP(E1618,[1]Mapping!$A$3:$B$14,2,FALSE)</f>
        <v>#N/A</v>
      </c>
      <c r="J1618" s="84">
        <f t="shared" si="52"/>
        <v>0</v>
      </c>
      <c r="K1618" s="84">
        <f t="shared" si="53"/>
        <v>0</v>
      </c>
      <c r="L1618" s="61" t="e">
        <f>VLOOKUP(K1618,[1]Mapping!$J$3:$Q$351,8,FALSE)</f>
        <v>#N/A</v>
      </c>
      <c r="M1618" t="s">
        <v>83</v>
      </c>
    </row>
    <row r="1619" spans="5:13" hidden="1" x14ac:dyDescent="0.35">
      <c r="E1619" s="81"/>
      <c r="H1619" s="82"/>
      <c r="I1619" s="83" t="e">
        <f>VLOOKUP(E1619,[1]Mapping!$A$3:$B$14,2,FALSE)</f>
        <v>#N/A</v>
      </c>
      <c r="J1619" s="84">
        <f t="shared" si="52"/>
        <v>0</v>
      </c>
      <c r="K1619" s="84">
        <f t="shared" si="53"/>
        <v>0</v>
      </c>
      <c r="L1619" s="61" t="e">
        <f>VLOOKUP(K1619,[1]Mapping!$J$3:$Q$351,8,FALSE)</f>
        <v>#N/A</v>
      </c>
      <c r="M1619" t="s">
        <v>83</v>
      </c>
    </row>
    <row r="1620" spans="5:13" hidden="1" x14ac:dyDescent="0.35">
      <c r="E1620" s="81"/>
      <c r="H1620" s="82"/>
      <c r="I1620" s="83" t="e">
        <f>VLOOKUP(E1620,[1]Mapping!$A$3:$B$14,2,FALSE)</f>
        <v>#N/A</v>
      </c>
      <c r="J1620" s="84">
        <f t="shared" si="52"/>
        <v>0</v>
      </c>
      <c r="K1620" s="84">
        <f t="shared" si="53"/>
        <v>0</v>
      </c>
      <c r="L1620" s="61" t="e">
        <f>VLOOKUP(K1620,[1]Mapping!$J$3:$Q$351,8,FALSE)</f>
        <v>#N/A</v>
      </c>
      <c r="M1620" t="s">
        <v>83</v>
      </c>
    </row>
    <row r="1621" spans="5:13" hidden="1" x14ac:dyDescent="0.35">
      <c r="E1621" s="81"/>
      <c r="H1621" s="82"/>
      <c r="I1621" s="83" t="e">
        <f>VLOOKUP(E1621,[1]Mapping!$A$3:$B$14,2,FALSE)</f>
        <v>#N/A</v>
      </c>
      <c r="J1621" s="84">
        <f t="shared" si="52"/>
        <v>0</v>
      </c>
      <c r="K1621" s="84">
        <f t="shared" si="53"/>
        <v>0</v>
      </c>
      <c r="L1621" s="61" t="e">
        <f>VLOOKUP(K1621,[1]Mapping!$J$3:$Q$351,8,FALSE)</f>
        <v>#N/A</v>
      </c>
      <c r="M1621" t="s">
        <v>83</v>
      </c>
    </row>
    <row r="1622" spans="5:13" hidden="1" x14ac:dyDescent="0.35">
      <c r="E1622" s="81"/>
      <c r="H1622" s="82"/>
      <c r="I1622" s="83" t="e">
        <f>VLOOKUP(E1622,[1]Mapping!$A$3:$B$14,2,FALSE)</f>
        <v>#N/A</v>
      </c>
      <c r="J1622" s="84">
        <f t="shared" si="52"/>
        <v>0</v>
      </c>
      <c r="K1622" s="84">
        <f t="shared" si="53"/>
        <v>0</v>
      </c>
      <c r="L1622" s="61" t="e">
        <f>VLOOKUP(K1622,[1]Mapping!$J$3:$Q$351,8,FALSE)</f>
        <v>#N/A</v>
      </c>
      <c r="M1622" t="s">
        <v>83</v>
      </c>
    </row>
    <row r="1623" spans="5:13" hidden="1" x14ac:dyDescent="0.35">
      <c r="E1623" s="81"/>
      <c r="H1623" s="82"/>
      <c r="I1623" s="83" t="e">
        <f>VLOOKUP(E1623,[1]Mapping!$A$3:$B$14,2,FALSE)</f>
        <v>#N/A</v>
      </c>
      <c r="J1623" s="84">
        <f t="shared" si="52"/>
        <v>0</v>
      </c>
      <c r="K1623" s="84">
        <f t="shared" si="53"/>
        <v>0</v>
      </c>
      <c r="L1623" s="61" t="e">
        <f>VLOOKUP(K1623,[1]Mapping!$J$3:$Q$351,8,FALSE)</f>
        <v>#N/A</v>
      </c>
      <c r="M1623" t="s">
        <v>83</v>
      </c>
    </row>
    <row r="1624" spans="5:13" hidden="1" x14ac:dyDescent="0.35">
      <c r="E1624" s="81"/>
      <c r="H1624" s="82"/>
      <c r="I1624" s="83" t="e">
        <f>VLOOKUP(E1624,[1]Mapping!$A$3:$B$14,2,FALSE)</f>
        <v>#N/A</v>
      </c>
      <c r="J1624" s="84">
        <f t="shared" si="52"/>
        <v>0</v>
      </c>
      <c r="K1624" s="84">
        <f t="shared" si="53"/>
        <v>0</v>
      </c>
      <c r="L1624" s="61" t="e">
        <f>VLOOKUP(K1624,[1]Mapping!$J$3:$Q$351,8,FALSE)</f>
        <v>#N/A</v>
      </c>
      <c r="M1624" t="s">
        <v>83</v>
      </c>
    </row>
    <row r="1625" spans="5:13" hidden="1" x14ac:dyDescent="0.35">
      <c r="E1625" s="81"/>
      <c r="H1625" s="82"/>
      <c r="I1625" s="83" t="e">
        <f>VLOOKUP(E1625,[1]Mapping!$A$3:$B$14,2,FALSE)</f>
        <v>#N/A</v>
      </c>
      <c r="J1625" s="84">
        <f t="shared" si="52"/>
        <v>0</v>
      </c>
      <c r="K1625" s="84">
        <f t="shared" si="53"/>
        <v>0</v>
      </c>
      <c r="L1625" s="61" t="e">
        <f>VLOOKUP(K1625,[1]Mapping!$J$3:$Q$351,8,FALSE)</f>
        <v>#N/A</v>
      </c>
      <c r="M1625" t="s">
        <v>83</v>
      </c>
    </row>
    <row r="1626" spans="5:13" hidden="1" x14ac:dyDescent="0.35">
      <c r="E1626" s="81"/>
      <c r="H1626" s="82"/>
      <c r="I1626" s="83" t="e">
        <f>VLOOKUP(E1626,[1]Mapping!$A$3:$B$14,2,FALSE)</f>
        <v>#N/A</v>
      </c>
      <c r="J1626" s="84">
        <f t="shared" si="52"/>
        <v>0</v>
      </c>
      <c r="K1626" s="84">
        <f t="shared" si="53"/>
        <v>0</v>
      </c>
      <c r="L1626" s="61" t="e">
        <f>VLOOKUP(K1626,[1]Mapping!$J$3:$Q$351,8,FALSE)</f>
        <v>#N/A</v>
      </c>
      <c r="M1626" t="s">
        <v>83</v>
      </c>
    </row>
    <row r="1627" spans="5:13" hidden="1" x14ac:dyDescent="0.35">
      <c r="E1627" s="81"/>
      <c r="H1627" s="82"/>
      <c r="I1627" s="83" t="e">
        <f>VLOOKUP(E1627,[1]Mapping!$A$3:$B$14,2,FALSE)</f>
        <v>#N/A</v>
      </c>
      <c r="J1627" s="84">
        <f t="shared" si="52"/>
        <v>0</v>
      </c>
      <c r="K1627" s="84">
        <f t="shared" si="53"/>
        <v>0</v>
      </c>
      <c r="L1627" s="61" t="e">
        <f>VLOOKUP(K1627,[1]Mapping!$J$3:$Q$351,8,FALSE)</f>
        <v>#N/A</v>
      </c>
      <c r="M1627" t="s">
        <v>83</v>
      </c>
    </row>
    <row r="1628" spans="5:13" hidden="1" x14ac:dyDescent="0.35">
      <c r="E1628" s="81"/>
      <c r="H1628" s="82"/>
      <c r="I1628" s="83" t="e">
        <f>VLOOKUP(E1628,[1]Mapping!$A$3:$B$14,2,FALSE)</f>
        <v>#N/A</v>
      </c>
      <c r="J1628" s="84">
        <f t="shared" si="52"/>
        <v>0</v>
      </c>
      <c r="K1628" s="84">
        <f t="shared" si="53"/>
        <v>0</v>
      </c>
      <c r="L1628" s="61" t="e">
        <f>VLOOKUP(K1628,[1]Mapping!$J$3:$Q$351,8,FALSE)</f>
        <v>#N/A</v>
      </c>
      <c r="M1628" t="s">
        <v>83</v>
      </c>
    </row>
    <row r="1629" spans="5:13" hidden="1" x14ac:dyDescent="0.35">
      <c r="E1629" s="81"/>
      <c r="H1629" s="82"/>
      <c r="I1629" s="83" t="e">
        <f>VLOOKUP(E1629,[1]Mapping!$A$3:$B$14,2,FALSE)</f>
        <v>#N/A</v>
      </c>
      <c r="J1629" s="84">
        <f t="shared" si="52"/>
        <v>0</v>
      </c>
      <c r="K1629" s="84">
        <f t="shared" si="53"/>
        <v>0</v>
      </c>
      <c r="L1629" s="61" t="e">
        <f>VLOOKUP(K1629,[1]Mapping!$J$3:$Q$351,8,FALSE)</f>
        <v>#N/A</v>
      </c>
      <c r="M1629" t="s">
        <v>83</v>
      </c>
    </row>
    <row r="1630" spans="5:13" hidden="1" x14ac:dyDescent="0.35">
      <c r="E1630" s="81"/>
      <c r="H1630" s="82"/>
      <c r="I1630" s="83" t="e">
        <f>VLOOKUP(E1630,[1]Mapping!$A$3:$B$14,2,FALSE)</f>
        <v>#N/A</v>
      </c>
      <c r="J1630" s="84">
        <f t="shared" si="52"/>
        <v>0</v>
      </c>
      <c r="K1630" s="84">
        <f t="shared" si="53"/>
        <v>0</v>
      </c>
      <c r="L1630" s="61" t="e">
        <f>VLOOKUP(K1630,[1]Mapping!$J$3:$Q$351,8,FALSE)</f>
        <v>#N/A</v>
      </c>
      <c r="M1630" t="s">
        <v>83</v>
      </c>
    </row>
    <row r="1631" spans="5:13" hidden="1" x14ac:dyDescent="0.35">
      <c r="E1631" s="81"/>
      <c r="H1631" s="82"/>
      <c r="I1631" s="83" t="e">
        <f>VLOOKUP(E1631,[1]Mapping!$A$3:$B$14,2,FALSE)</f>
        <v>#N/A</v>
      </c>
      <c r="J1631" s="84">
        <f t="shared" si="52"/>
        <v>0</v>
      </c>
      <c r="K1631" s="84">
        <f t="shared" si="53"/>
        <v>0</v>
      </c>
      <c r="L1631" s="61" t="e">
        <f>VLOOKUP(K1631,[1]Mapping!$J$3:$Q$351,8,FALSE)</f>
        <v>#N/A</v>
      </c>
      <c r="M1631" t="s">
        <v>83</v>
      </c>
    </row>
    <row r="1632" spans="5:13" hidden="1" x14ac:dyDescent="0.35">
      <c r="E1632" s="81"/>
      <c r="H1632" s="82"/>
      <c r="I1632" s="83" t="e">
        <f>VLOOKUP(E1632,[1]Mapping!$A$3:$B$14,2,FALSE)</f>
        <v>#N/A</v>
      </c>
      <c r="J1632" s="84">
        <f t="shared" si="52"/>
        <v>0</v>
      </c>
      <c r="K1632" s="84">
        <f t="shared" si="53"/>
        <v>0</v>
      </c>
      <c r="L1632" s="61" t="e">
        <f>VLOOKUP(K1632,[1]Mapping!$J$3:$Q$351,8,FALSE)</f>
        <v>#N/A</v>
      </c>
      <c r="M1632" t="s">
        <v>83</v>
      </c>
    </row>
    <row r="1633" spans="5:13" hidden="1" x14ac:dyDescent="0.35">
      <c r="E1633" s="81"/>
      <c r="H1633" s="82"/>
      <c r="I1633" s="83" t="e">
        <f>VLOOKUP(E1633,[1]Mapping!$A$3:$B$14,2,FALSE)</f>
        <v>#N/A</v>
      </c>
      <c r="J1633" s="84">
        <f t="shared" si="52"/>
        <v>0</v>
      </c>
      <c r="K1633" s="84">
        <f t="shared" si="53"/>
        <v>0</v>
      </c>
      <c r="L1633" s="61" t="e">
        <f>VLOOKUP(K1633,[1]Mapping!$J$3:$Q$351,8,FALSE)</f>
        <v>#N/A</v>
      </c>
      <c r="M1633" t="s">
        <v>83</v>
      </c>
    </row>
    <row r="1634" spans="5:13" hidden="1" x14ac:dyDescent="0.35">
      <c r="E1634" s="81"/>
      <c r="H1634" s="82"/>
      <c r="I1634" s="83" t="e">
        <f>VLOOKUP(E1634,[1]Mapping!$A$3:$B$14,2,FALSE)</f>
        <v>#N/A</v>
      </c>
      <c r="J1634" s="84">
        <f t="shared" si="52"/>
        <v>0</v>
      </c>
      <c r="K1634" s="84">
        <f t="shared" si="53"/>
        <v>0</v>
      </c>
      <c r="L1634" s="61" t="e">
        <f>VLOOKUP(K1634,[1]Mapping!$J$3:$Q$351,8,FALSE)</f>
        <v>#N/A</v>
      </c>
      <c r="M1634" t="s">
        <v>83</v>
      </c>
    </row>
    <row r="1635" spans="5:13" hidden="1" x14ac:dyDescent="0.35">
      <c r="E1635" s="81"/>
      <c r="H1635" s="82"/>
      <c r="I1635" s="83" t="e">
        <f>VLOOKUP(E1635,[1]Mapping!$A$3:$B$14,2,FALSE)</f>
        <v>#N/A</v>
      </c>
      <c r="J1635" s="84">
        <f t="shared" si="52"/>
        <v>0</v>
      </c>
      <c r="K1635" s="84">
        <f t="shared" si="53"/>
        <v>0</v>
      </c>
      <c r="L1635" s="61" t="e">
        <f>VLOOKUP(K1635,[1]Mapping!$J$3:$Q$351,8,FALSE)</f>
        <v>#N/A</v>
      </c>
      <c r="M1635" t="s">
        <v>83</v>
      </c>
    </row>
    <row r="1636" spans="5:13" hidden="1" x14ac:dyDescent="0.35">
      <c r="E1636" s="81"/>
      <c r="H1636" s="82"/>
      <c r="I1636" s="83" t="e">
        <f>VLOOKUP(E1636,[1]Mapping!$A$3:$B$14,2,FALSE)</f>
        <v>#N/A</v>
      </c>
      <c r="J1636" s="84">
        <f t="shared" si="52"/>
        <v>0</v>
      </c>
      <c r="K1636" s="84">
        <f t="shared" si="53"/>
        <v>0</v>
      </c>
      <c r="L1636" s="61" t="e">
        <f>VLOOKUP(K1636,[1]Mapping!$J$3:$Q$351,8,FALSE)</f>
        <v>#N/A</v>
      </c>
      <c r="M1636" t="s">
        <v>83</v>
      </c>
    </row>
    <row r="1637" spans="5:13" hidden="1" x14ac:dyDescent="0.35">
      <c r="E1637" s="81"/>
      <c r="H1637" s="82"/>
      <c r="I1637" s="83" t="e">
        <f>VLOOKUP(E1637,[1]Mapping!$A$3:$B$14,2,FALSE)</f>
        <v>#N/A</v>
      </c>
      <c r="J1637" s="84">
        <f t="shared" si="52"/>
        <v>0</v>
      </c>
      <c r="K1637" s="84">
        <f t="shared" si="53"/>
        <v>0</v>
      </c>
      <c r="L1637" s="61" t="e">
        <f>VLOOKUP(K1637,[1]Mapping!$J$3:$Q$351,8,FALSE)</f>
        <v>#N/A</v>
      </c>
      <c r="M1637" t="s">
        <v>83</v>
      </c>
    </row>
    <row r="1638" spans="5:13" hidden="1" x14ac:dyDescent="0.35">
      <c r="E1638" s="81"/>
      <c r="H1638" s="82"/>
      <c r="I1638" s="83" t="e">
        <f>VLOOKUP(E1638,[1]Mapping!$A$3:$B$14,2,FALSE)</f>
        <v>#N/A</v>
      </c>
      <c r="J1638" s="84">
        <f t="shared" si="52"/>
        <v>0</v>
      </c>
      <c r="K1638" s="84">
        <f t="shared" si="53"/>
        <v>0</v>
      </c>
      <c r="L1638" s="61" t="e">
        <f>VLOOKUP(K1638,[1]Mapping!$J$3:$Q$351,8,FALSE)</f>
        <v>#N/A</v>
      </c>
      <c r="M1638" t="s">
        <v>83</v>
      </c>
    </row>
    <row r="1639" spans="5:13" hidden="1" x14ac:dyDescent="0.35">
      <c r="E1639" s="81"/>
      <c r="H1639" s="82"/>
      <c r="I1639" s="83" t="e">
        <f>VLOOKUP(E1639,[1]Mapping!$A$3:$B$14,2,FALSE)</f>
        <v>#N/A</v>
      </c>
      <c r="J1639" s="84">
        <f t="shared" si="52"/>
        <v>0</v>
      </c>
      <c r="K1639" s="84">
        <f t="shared" si="53"/>
        <v>0</v>
      </c>
      <c r="L1639" s="61" t="e">
        <f>VLOOKUP(K1639,[1]Mapping!$J$3:$Q$351,8,FALSE)</f>
        <v>#N/A</v>
      </c>
      <c r="M1639" t="s">
        <v>83</v>
      </c>
    </row>
    <row r="1640" spans="5:13" hidden="1" x14ac:dyDescent="0.35">
      <c r="E1640" s="81"/>
      <c r="H1640" s="82"/>
      <c r="I1640" s="83" t="e">
        <f>VLOOKUP(E1640,[1]Mapping!$A$3:$B$14,2,FALSE)</f>
        <v>#N/A</v>
      </c>
      <c r="J1640" s="84">
        <f t="shared" si="52"/>
        <v>0</v>
      </c>
      <c r="K1640" s="84">
        <f t="shared" si="53"/>
        <v>0</v>
      </c>
      <c r="L1640" s="61" t="e">
        <f>VLOOKUP(K1640,[1]Mapping!$J$3:$Q$351,8,FALSE)</f>
        <v>#N/A</v>
      </c>
      <c r="M1640" t="s">
        <v>83</v>
      </c>
    </row>
    <row r="1641" spans="5:13" hidden="1" x14ac:dyDescent="0.35">
      <c r="E1641" s="81"/>
      <c r="H1641" s="82"/>
      <c r="I1641" s="83" t="e">
        <f>VLOOKUP(E1641,[1]Mapping!$A$3:$B$14,2,FALSE)</f>
        <v>#N/A</v>
      </c>
      <c r="J1641" s="84">
        <f t="shared" si="52"/>
        <v>0</v>
      </c>
      <c r="K1641" s="84">
        <f t="shared" si="53"/>
        <v>0</v>
      </c>
      <c r="L1641" s="61" t="e">
        <f>VLOOKUP(K1641,[1]Mapping!$J$3:$Q$351,8,FALSE)</f>
        <v>#N/A</v>
      </c>
      <c r="M1641" t="s">
        <v>83</v>
      </c>
    </row>
    <row r="1642" spans="5:13" hidden="1" x14ac:dyDescent="0.35">
      <c r="E1642" s="81"/>
      <c r="H1642" s="82"/>
      <c r="I1642" s="83" t="e">
        <f>VLOOKUP(E1642,[1]Mapping!$A$3:$B$14,2,FALSE)</f>
        <v>#N/A</v>
      </c>
      <c r="J1642" s="84">
        <f t="shared" si="52"/>
        <v>0</v>
      </c>
      <c r="K1642" s="84">
        <f t="shared" si="53"/>
        <v>0</v>
      </c>
      <c r="L1642" s="61" t="e">
        <f>VLOOKUP(K1642,[1]Mapping!$J$3:$Q$351,8,FALSE)</f>
        <v>#N/A</v>
      </c>
      <c r="M1642" t="s">
        <v>83</v>
      </c>
    </row>
    <row r="1643" spans="5:13" hidden="1" x14ac:dyDescent="0.35">
      <c r="E1643" s="81"/>
      <c r="H1643" s="82"/>
      <c r="I1643" s="83" t="e">
        <f>VLOOKUP(E1643,[1]Mapping!$A$3:$B$14,2,FALSE)</f>
        <v>#N/A</v>
      </c>
      <c r="J1643" s="84">
        <f t="shared" si="52"/>
        <v>0</v>
      </c>
      <c r="K1643" s="84">
        <f t="shared" si="53"/>
        <v>0</v>
      </c>
      <c r="L1643" s="61" t="e">
        <f>VLOOKUP(K1643,[1]Mapping!$J$3:$Q$351,8,FALSE)</f>
        <v>#N/A</v>
      </c>
      <c r="M1643" t="s">
        <v>83</v>
      </c>
    </row>
    <row r="1644" spans="5:13" hidden="1" x14ac:dyDescent="0.35">
      <c r="E1644" s="81"/>
      <c r="H1644" s="82"/>
      <c r="I1644" s="83" t="e">
        <f>VLOOKUP(E1644,[1]Mapping!$A$3:$B$14,2,FALSE)</f>
        <v>#N/A</v>
      </c>
      <c r="J1644" s="84">
        <f t="shared" si="52"/>
        <v>0</v>
      </c>
      <c r="K1644" s="84">
        <f t="shared" si="53"/>
        <v>0</v>
      </c>
      <c r="L1644" s="61" t="e">
        <f>VLOOKUP(K1644,[1]Mapping!$J$3:$Q$351,8,FALSE)</f>
        <v>#N/A</v>
      </c>
      <c r="M1644" t="s">
        <v>83</v>
      </c>
    </row>
    <row r="1645" spans="5:13" hidden="1" x14ac:dyDescent="0.35">
      <c r="E1645" s="81"/>
      <c r="H1645" s="82"/>
      <c r="I1645" s="83" t="e">
        <f>VLOOKUP(E1645,[1]Mapping!$A$3:$B$14,2,FALSE)</f>
        <v>#N/A</v>
      </c>
      <c r="J1645" s="84">
        <f t="shared" si="52"/>
        <v>0</v>
      </c>
      <c r="K1645" s="84">
        <f t="shared" si="53"/>
        <v>0</v>
      </c>
      <c r="L1645" s="61" t="e">
        <f>VLOOKUP(K1645,[1]Mapping!$J$3:$Q$351,8,FALSE)</f>
        <v>#N/A</v>
      </c>
      <c r="M1645" t="s">
        <v>83</v>
      </c>
    </row>
    <row r="1646" spans="5:13" hidden="1" x14ac:dyDescent="0.35">
      <c r="E1646" s="81"/>
      <c r="H1646" s="82"/>
      <c r="I1646" s="83" t="e">
        <f>VLOOKUP(E1646,[1]Mapping!$A$3:$B$14,2,FALSE)</f>
        <v>#N/A</v>
      </c>
      <c r="J1646" s="84">
        <f t="shared" si="52"/>
        <v>0</v>
      </c>
      <c r="K1646" s="84">
        <f t="shared" si="53"/>
        <v>0</v>
      </c>
      <c r="L1646" s="61" t="e">
        <f>VLOOKUP(K1646,[1]Mapping!$J$3:$Q$351,8,FALSE)</f>
        <v>#N/A</v>
      </c>
      <c r="M1646" t="s">
        <v>83</v>
      </c>
    </row>
    <row r="1647" spans="5:13" hidden="1" x14ac:dyDescent="0.35">
      <c r="E1647" s="81"/>
      <c r="H1647" s="82"/>
      <c r="I1647" s="83" t="e">
        <f>VLOOKUP(E1647,[1]Mapping!$A$3:$B$14,2,FALSE)</f>
        <v>#N/A</v>
      </c>
      <c r="J1647" s="84">
        <f t="shared" si="52"/>
        <v>0</v>
      </c>
      <c r="K1647" s="84">
        <f t="shared" si="53"/>
        <v>0</v>
      </c>
      <c r="L1647" s="61" t="e">
        <f>VLOOKUP(K1647,[1]Mapping!$J$3:$Q$351,8,FALSE)</f>
        <v>#N/A</v>
      </c>
      <c r="M1647" t="s">
        <v>83</v>
      </c>
    </row>
    <row r="1648" spans="5:13" hidden="1" x14ac:dyDescent="0.35">
      <c r="E1648" s="81"/>
      <c r="H1648" s="82"/>
      <c r="I1648" s="83" t="e">
        <f>VLOOKUP(E1648,[1]Mapping!$A$3:$B$14,2,FALSE)</f>
        <v>#N/A</v>
      </c>
      <c r="J1648" s="84">
        <f t="shared" si="52"/>
        <v>0</v>
      </c>
      <c r="K1648" s="84">
        <f t="shared" si="53"/>
        <v>0</v>
      </c>
      <c r="L1648" s="61" t="e">
        <f>VLOOKUP(K1648,[1]Mapping!$J$3:$Q$351,8,FALSE)</f>
        <v>#N/A</v>
      </c>
      <c r="M1648" t="s">
        <v>83</v>
      </c>
    </row>
    <row r="1649" spans="5:13" hidden="1" x14ac:dyDescent="0.35">
      <c r="E1649" s="81"/>
      <c r="H1649" s="82"/>
      <c r="I1649" s="83" t="e">
        <f>VLOOKUP(E1649,[1]Mapping!$A$3:$B$14,2,FALSE)</f>
        <v>#N/A</v>
      </c>
      <c r="J1649" s="84">
        <f t="shared" si="52"/>
        <v>0</v>
      </c>
      <c r="K1649" s="84">
        <f t="shared" si="53"/>
        <v>0</v>
      </c>
      <c r="L1649" s="61" t="e">
        <f>VLOOKUP(K1649,[1]Mapping!$J$3:$Q$351,8,FALSE)</f>
        <v>#N/A</v>
      </c>
      <c r="M1649" t="s">
        <v>83</v>
      </c>
    </row>
    <row r="1650" spans="5:13" hidden="1" x14ac:dyDescent="0.35">
      <c r="E1650" s="81"/>
      <c r="H1650" s="82"/>
      <c r="I1650" s="83" t="e">
        <f>VLOOKUP(E1650,[1]Mapping!$A$3:$B$14,2,FALSE)</f>
        <v>#N/A</v>
      </c>
      <c r="J1650" s="84">
        <f t="shared" si="52"/>
        <v>0</v>
      </c>
      <c r="K1650" s="84">
        <f t="shared" si="53"/>
        <v>0</v>
      </c>
      <c r="L1650" s="61" t="e">
        <f>VLOOKUP(K1650,[1]Mapping!$J$3:$Q$351,8,FALSE)</f>
        <v>#N/A</v>
      </c>
      <c r="M1650" t="s">
        <v>83</v>
      </c>
    </row>
    <row r="1651" spans="5:13" hidden="1" x14ac:dyDescent="0.35">
      <c r="E1651" s="81"/>
      <c r="H1651" s="82"/>
      <c r="I1651" s="83" t="e">
        <f>VLOOKUP(E1651,[1]Mapping!$A$3:$B$14,2,FALSE)</f>
        <v>#N/A</v>
      </c>
      <c r="J1651" s="84">
        <f t="shared" si="52"/>
        <v>0</v>
      </c>
      <c r="K1651" s="84">
        <f t="shared" si="53"/>
        <v>0</v>
      </c>
      <c r="L1651" s="61" t="e">
        <f>VLOOKUP(K1651,[1]Mapping!$J$3:$Q$351,8,FALSE)</f>
        <v>#N/A</v>
      </c>
      <c r="M1651" t="s">
        <v>83</v>
      </c>
    </row>
    <row r="1652" spans="5:13" hidden="1" x14ac:dyDescent="0.35">
      <c r="E1652" s="81"/>
      <c r="H1652" s="82"/>
      <c r="I1652" s="83" t="e">
        <f>VLOOKUP(E1652,[1]Mapping!$A$3:$B$14,2,FALSE)</f>
        <v>#N/A</v>
      </c>
      <c r="J1652" s="84">
        <f t="shared" si="52"/>
        <v>0</v>
      </c>
      <c r="K1652" s="84">
        <f t="shared" si="53"/>
        <v>0</v>
      </c>
      <c r="L1652" s="61" t="e">
        <f>VLOOKUP(K1652,[1]Mapping!$J$3:$Q$351,8,FALSE)</f>
        <v>#N/A</v>
      </c>
      <c r="M1652" t="s">
        <v>83</v>
      </c>
    </row>
    <row r="1653" spans="5:13" hidden="1" x14ac:dyDescent="0.35">
      <c r="E1653" s="81"/>
      <c r="H1653" s="82"/>
      <c r="I1653" s="83" t="e">
        <f>VLOOKUP(E1653,[1]Mapping!$A$3:$B$14,2,FALSE)</f>
        <v>#N/A</v>
      </c>
      <c r="J1653" s="84">
        <f t="shared" si="52"/>
        <v>0</v>
      </c>
      <c r="K1653" s="84">
        <f t="shared" si="53"/>
        <v>0</v>
      </c>
      <c r="L1653" s="61" t="e">
        <f>VLOOKUP(K1653,[1]Mapping!$J$3:$Q$351,8,FALSE)</f>
        <v>#N/A</v>
      </c>
      <c r="M1653" t="s">
        <v>83</v>
      </c>
    </row>
    <row r="1654" spans="5:13" hidden="1" x14ac:dyDescent="0.35">
      <c r="E1654" s="81"/>
      <c r="H1654" s="82"/>
      <c r="I1654" s="83" t="e">
        <f>VLOOKUP(E1654,[1]Mapping!$A$3:$B$14,2,FALSE)</f>
        <v>#N/A</v>
      </c>
      <c r="J1654" s="84">
        <f t="shared" si="52"/>
        <v>0</v>
      </c>
      <c r="K1654" s="84">
        <f t="shared" si="53"/>
        <v>0</v>
      </c>
      <c r="L1654" s="61" t="e">
        <f>VLOOKUP(K1654,[1]Mapping!$J$3:$Q$351,8,FALSE)</f>
        <v>#N/A</v>
      </c>
      <c r="M1654" t="s">
        <v>83</v>
      </c>
    </row>
    <row r="1655" spans="5:13" hidden="1" x14ac:dyDescent="0.35">
      <c r="E1655" s="81"/>
      <c r="H1655" s="82"/>
      <c r="I1655" s="83" t="e">
        <f>VLOOKUP(E1655,[1]Mapping!$A$3:$B$14,2,FALSE)</f>
        <v>#N/A</v>
      </c>
      <c r="J1655" s="84">
        <f t="shared" si="52"/>
        <v>0</v>
      </c>
      <c r="K1655" s="84">
        <f t="shared" si="53"/>
        <v>0</v>
      </c>
      <c r="L1655" s="61" t="e">
        <f>VLOOKUP(K1655,[1]Mapping!$J$3:$Q$351,8,FALSE)</f>
        <v>#N/A</v>
      </c>
      <c r="M1655" t="s">
        <v>83</v>
      </c>
    </row>
    <row r="1656" spans="5:13" hidden="1" x14ac:dyDescent="0.35">
      <c r="E1656" s="81"/>
      <c r="H1656" s="82"/>
      <c r="I1656" s="83" t="e">
        <f>VLOOKUP(E1656,[1]Mapping!$A$3:$B$14,2,FALSE)</f>
        <v>#N/A</v>
      </c>
      <c r="J1656" s="84">
        <f t="shared" si="52"/>
        <v>0</v>
      </c>
      <c r="K1656" s="84">
        <f t="shared" si="53"/>
        <v>0</v>
      </c>
      <c r="L1656" s="61" t="e">
        <f>VLOOKUP(K1656,[1]Mapping!$J$3:$Q$351,8,FALSE)</f>
        <v>#N/A</v>
      </c>
      <c r="M1656" t="s">
        <v>83</v>
      </c>
    </row>
    <row r="1657" spans="5:13" hidden="1" x14ac:dyDescent="0.35">
      <c r="E1657" s="81"/>
      <c r="H1657" s="82"/>
      <c r="I1657" s="83" t="e">
        <f>VLOOKUP(E1657,[1]Mapping!$A$3:$B$14,2,FALSE)</f>
        <v>#N/A</v>
      </c>
      <c r="J1657" s="84">
        <f t="shared" si="52"/>
        <v>0</v>
      </c>
      <c r="K1657" s="84">
        <f t="shared" si="53"/>
        <v>0</v>
      </c>
      <c r="L1657" s="61" t="e">
        <f>VLOOKUP(K1657,[1]Mapping!$J$3:$Q$351,8,FALSE)</f>
        <v>#N/A</v>
      </c>
      <c r="M1657" t="s">
        <v>83</v>
      </c>
    </row>
    <row r="1658" spans="5:13" hidden="1" x14ac:dyDescent="0.35">
      <c r="E1658" s="81"/>
      <c r="H1658" s="82"/>
      <c r="I1658" s="83" t="e">
        <f>VLOOKUP(E1658,[1]Mapping!$A$3:$B$14,2,FALSE)</f>
        <v>#N/A</v>
      </c>
      <c r="J1658" s="84">
        <f t="shared" si="52"/>
        <v>0</v>
      </c>
      <c r="K1658" s="84">
        <f t="shared" si="53"/>
        <v>0</v>
      </c>
      <c r="L1658" s="61" t="e">
        <f>VLOOKUP(K1658,[1]Mapping!$J$3:$Q$351,8,FALSE)</f>
        <v>#N/A</v>
      </c>
      <c r="M1658" t="s">
        <v>83</v>
      </c>
    </row>
    <row r="1659" spans="5:13" hidden="1" x14ac:dyDescent="0.35">
      <c r="E1659" s="81"/>
      <c r="H1659" s="82"/>
      <c r="I1659" s="83" t="e">
        <f>VLOOKUP(E1659,[1]Mapping!$A$3:$B$14,2,FALSE)</f>
        <v>#N/A</v>
      </c>
      <c r="J1659" s="84">
        <f t="shared" si="52"/>
        <v>0</v>
      </c>
      <c r="K1659" s="84">
        <f t="shared" si="53"/>
        <v>0</v>
      </c>
      <c r="L1659" s="61" t="e">
        <f>VLOOKUP(K1659,[1]Mapping!$J$3:$Q$351,8,FALSE)</f>
        <v>#N/A</v>
      </c>
      <c r="M1659" t="s">
        <v>83</v>
      </c>
    </row>
    <row r="1660" spans="5:13" hidden="1" x14ac:dyDescent="0.35">
      <c r="E1660" s="81"/>
      <c r="H1660" s="82"/>
      <c r="I1660" s="83" t="e">
        <f>VLOOKUP(E1660,[1]Mapping!$A$3:$B$14,2,FALSE)</f>
        <v>#N/A</v>
      </c>
      <c r="J1660" s="84">
        <f t="shared" si="52"/>
        <v>0</v>
      </c>
      <c r="K1660" s="84">
        <f t="shared" si="53"/>
        <v>0</v>
      </c>
      <c r="L1660" s="61" t="e">
        <f>VLOOKUP(K1660,[1]Mapping!$J$3:$Q$351,8,FALSE)</f>
        <v>#N/A</v>
      </c>
      <c r="M1660" t="s">
        <v>83</v>
      </c>
    </row>
    <row r="1661" spans="5:13" hidden="1" x14ac:dyDescent="0.35">
      <c r="E1661" s="81"/>
      <c r="H1661" s="82"/>
      <c r="I1661" s="83" t="e">
        <f>VLOOKUP(E1661,[1]Mapping!$A$3:$B$14,2,FALSE)</f>
        <v>#N/A</v>
      </c>
      <c r="J1661" s="84">
        <f t="shared" si="52"/>
        <v>0</v>
      </c>
      <c r="K1661" s="84">
        <f t="shared" si="53"/>
        <v>0</v>
      </c>
      <c r="L1661" s="61" t="e">
        <f>VLOOKUP(K1661,[1]Mapping!$J$3:$Q$351,8,FALSE)</f>
        <v>#N/A</v>
      </c>
      <c r="M1661" t="s">
        <v>83</v>
      </c>
    </row>
    <row r="1662" spans="5:13" hidden="1" x14ac:dyDescent="0.35">
      <c r="E1662" s="81"/>
      <c r="H1662" s="82"/>
      <c r="I1662" s="83" t="e">
        <f>VLOOKUP(E1662,[1]Mapping!$A$3:$B$14,2,FALSE)</f>
        <v>#N/A</v>
      </c>
      <c r="J1662" s="84">
        <f t="shared" si="52"/>
        <v>0</v>
      </c>
      <c r="K1662" s="84">
        <f t="shared" si="53"/>
        <v>0</v>
      </c>
      <c r="L1662" s="61" t="e">
        <f>VLOOKUP(K1662,[1]Mapping!$J$3:$Q$351,8,FALSE)</f>
        <v>#N/A</v>
      </c>
      <c r="M1662" t="s">
        <v>83</v>
      </c>
    </row>
    <row r="1663" spans="5:13" hidden="1" x14ac:dyDescent="0.35">
      <c r="E1663" s="81"/>
      <c r="H1663" s="82"/>
      <c r="I1663" s="83" t="e">
        <f>VLOOKUP(E1663,[1]Mapping!$A$3:$B$14,2,FALSE)</f>
        <v>#N/A</v>
      </c>
      <c r="J1663" s="84">
        <f t="shared" si="52"/>
        <v>0</v>
      </c>
      <c r="K1663" s="84">
        <f t="shared" si="53"/>
        <v>0</v>
      </c>
      <c r="L1663" s="61" t="e">
        <f>VLOOKUP(K1663,[1]Mapping!$J$3:$Q$351,8,FALSE)</f>
        <v>#N/A</v>
      </c>
      <c r="M1663" t="s">
        <v>83</v>
      </c>
    </row>
    <row r="1664" spans="5:13" hidden="1" x14ac:dyDescent="0.35">
      <c r="E1664" s="81"/>
      <c r="H1664" s="82"/>
      <c r="I1664" s="83" t="e">
        <f>VLOOKUP(E1664,[1]Mapping!$A$3:$B$14,2,FALSE)</f>
        <v>#N/A</v>
      </c>
      <c r="J1664" s="84">
        <f t="shared" si="52"/>
        <v>0</v>
      </c>
      <c r="K1664" s="84">
        <f t="shared" si="53"/>
        <v>0</v>
      </c>
      <c r="L1664" s="61" t="e">
        <f>VLOOKUP(K1664,[1]Mapping!$J$3:$Q$351,8,FALSE)</f>
        <v>#N/A</v>
      </c>
      <c r="M1664" t="s">
        <v>83</v>
      </c>
    </row>
    <row r="1665" spans="5:15" hidden="1" x14ac:dyDescent="0.35">
      <c r="E1665" s="81"/>
      <c r="H1665" s="82"/>
      <c r="I1665" s="83" t="e">
        <f>VLOOKUP(E1665,[1]Mapping!$A$3:$B$14,2,FALSE)</f>
        <v>#N/A</v>
      </c>
      <c r="J1665" s="84">
        <f t="shared" si="52"/>
        <v>0</v>
      </c>
      <c r="K1665" s="84">
        <f t="shared" si="53"/>
        <v>0</v>
      </c>
      <c r="L1665" s="61" t="e">
        <f>VLOOKUP(K1665,[1]Mapping!$J$3:$Q$351,8,FALSE)</f>
        <v>#N/A</v>
      </c>
      <c r="M1665" t="s">
        <v>83</v>
      </c>
      <c r="N1665" t="s">
        <v>177</v>
      </c>
      <c r="O1665" t="s">
        <v>178</v>
      </c>
    </row>
    <row r="1666" spans="5:15" hidden="1" x14ac:dyDescent="0.35">
      <c r="E1666" s="81"/>
      <c r="H1666" s="82"/>
      <c r="I1666" s="83" t="e">
        <f>VLOOKUP(E1666,[1]Mapping!$A$3:$B$14,2,FALSE)</f>
        <v>#N/A</v>
      </c>
      <c r="J1666" s="84">
        <f t="shared" si="52"/>
        <v>0</v>
      </c>
      <c r="K1666" s="84">
        <f t="shared" si="53"/>
        <v>0</v>
      </c>
      <c r="L1666" s="61" t="e">
        <f>VLOOKUP(K1666,[1]Mapping!$J$3:$Q$351,8,FALSE)</f>
        <v>#N/A</v>
      </c>
      <c r="M1666" t="s">
        <v>83</v>
      </c>
      <c r="N1666" t="s">
        <v>177</v>
      </c>
      <c r="O1666" t="s">
        <v>178</v>
      </c>
    </row>
    <row r="1667" spans="5:15" hidden="1" x14ac:dyDescent="0.35">
      <c r="E1667" s="81"/>
      <c r="H1667" s="82"/>
      <c r="I1667" s="83" t="e">
        <f>VLOOKUP(E1667,[1]Mapping!$A$3:$B$14,2,FALSE)</f>
        <v>#N/A</v>
      </c>
      <c r="J1667" s="84">
        <f t="shared" si="52"/>
        <v>0</v>
      </c>
      <c r="K1667" s="84">
        <f t="shared" si="53"/>
        <v>0</v>
      </c>
      <c r="L1667" s="61" t="e">
        <f>VLOOKUP(K1667,[1]Mapping!$J$3:$Q$351,8,FALSE)</f>
        <v>#N/A</v>
      </c>
      <c r="M1667" t="s">
        <v>83</v>
      </c>
      <c r="N1667" t="s">
        <v>177</v>
      </c>
      <c r="O1667" t="s">
        <v>178</v>
      </c>
    </row>
    <row r="1668" spans="5:15" hidden="1" x14ac:dyDescent="0.35">
      <c r="E1668" s="81"/>
      <c r="H1668" s="82"/>
      <c r="I1668" s="83" t="e">
        <f>VLOOKUP(E1668,[1]Mapping!$A$3:$B$14,2,FALSE)</f>
        <v>#N/A</v>
      </c>
      <c r="J1668" s="84">
        <f t="shared" ref="J1668:J1731" si="54">VALUE(A1668)</f>
        <v>0</v>
      </c>
      <c r="K1668" s="84">
        <f t="shared" ref="K1668:K1731" si="55">VALUE(C1668)</f>
        <v>0</v>
      </c>
      <c r="L1668" s="61" t="e">
        <f>VLOOKUP(K1668,[1]Mapping!$J$3:$Q$351,8,FALSE)</f>
        <v>#N/A</v>
      </c>
      <c r="M1668" t="s">
        <v>83</v>
      </c>
      <c r="N1668" t="s">
        <v>177</v>
      </c>
      <c r="O1668" t="s">
        <v>178</v>
      </c>
    </row>
    <row r="1669" spans="5:15" hidden="1" x14ac:dyDescent="0.35">
      <c r="E1669" s="81"/>
      <c r="H1669" s="82"/>
      <c r="I1669" s="83" t="e">
        <f>VLOOKUP(E1669,[1]Mapping!$A$3:$B$14,2,FALSE)</f>
        <v>#N/A</v>
      </c>
      <c r="J1669" s="84">
        <f t="shared" si="54"/>
        <v>0</v>
      </c>
      <c r="K1669" s="84">
        <f t="shared" si="55"/>
        <v>0</v>
      </c>
      <c r="L1669" s="61" t="e">
        <f>VLOOKUP(K1669,[1]Mapping!$J$3:$Q$351,8,FALSE)</f>
        <v>#N/A</v>
      </c>
      <c r="M1669" t="s">
        <v>83</v>
      </c>
      <c r="N1669" t="s">
        <v>177</v>
      </c>
      <c r="O1669" t="s">
        <v>178</v>
      </c>
    </row>
    <row r="1670" spans="5:15" hidden="1" x14ac:dyDescent="0.35">
      <c r="E1670" s="81"/>
      <c r="H1670" s="82"/>
      <c r="I1670" s="83" t="e">
        <f>VLOOKUP(E1670,[1]Mapping!$A$3:$B$14,2,FALSE)</f>
        <v>#N/A</v>
      </c>
      <c r="J1670" s="84">
        <f t="shared" si="54"/>
        <v>0</v>
      </c>
      <c r="K1670" s="84">
        <f t="shared" si="55"/>
        <v>0</v>
      </c>
      <c r="L1670" s="61" t="e">
        <f>VLOOKUP(K1670,[1]Mapping!$J$3:$Q$351,8,FALSE)</f>
        <v>#N/A</v>
      </c>
      <c r="M1670" t="s">
        <v>83</v>
      </c>
      <c r="N1670" t="s">
        <v>177</v>
      </c>
      <c r="O1670" t="s">
        <v>178</v>
      </c>
    </row>
    <row r="1671" spans="5:15" hidden="1" x14ac:dyDescent="0.35">
      <c r="E1671" s="81"/>
      <c r="H1671" s="82"/>
      <c r="I1671" s="83" t="e">
        <f>VLOOKUP(E1671,[1]Mapping!$A$3:$B$14,2,FALSE)</f>
        <v>#N/A</v>
      </c>
      <c r="J1671" s="84">
        <f t="shared" si="54"/>
        <v>0</v>
      </c>
      <c r="K1671" s="84">
        <f t="shared" si="55"/>
        <v>0</v>
      </c>
      <c r="L1671" s="61" t="e">
        <f>VLOOKUP(K1671,[1]Mapping!$J$3:$Q$351,8,FALSE)</f>
        <v>#N/A</v>
      </c>
      <c r="M1671" t="s">
        <v>83</v>
      </c>
      <c r="N1671" t="s">
        <v>180</v>
      </c>
      <c r="O1671" t="s">
        <v>178</v>
      </c>
    </row>
    <row r="1672" spans="5:15" hidden="1" x14ac:dyDescent="0.35">
      <c r="E1672" s="81"/>
      <c r="I1672" s="83" t="e">
        <f>VLOOKUP(E1672,[1]Mapping!$A$3:$B$14,2,FALSE)</f>
        <v>#N/A</v>
      </c>
      <c r="J1672" s="84">
        <f t="shared" si="54"/>
        <v>0</v>
      </c>
      <c r="K1672" s="84">
        <f t="shared" si="55"/>
        <v>0</v>
      </c>
      <c r="L1672" s="61" t="e">
        <f>VLOOKUP(K1672,[1]Mapping!$J$3:$Q$351,8,FALSE)</f>
        <v>#N/A</v>
      </c>
      <c r="M1672" t="s">
        <v>83</v>
      </c>
    </row>
    <row r="1673" spans="5:15" hidden="1" x14ac:dyDescent="0.35">
      <c r="E1673" s="81"/>
      <c r="I1673" s="83" t="e">
        <f>VLOOKUP(E1673,[1]Mapping!$A$3:$B$14,2,FALSE)</f>
        <v>#N/A</v>
      </c>
      <c r="J1673" s="84">
        <f t="shared" si="54"/>
        <v>0</v>
      </c>
      <c r="K1673" s="84">
        <f t="shared" si="55"/>
        <v>0</v>
      </c>
      <c r="L1673" s="61" t="e">
        <f>VLOOKUP(K1673,[1]Mapping!$J$3:$Q$351,8,FALSE)</f>
        <v>#N/A</v>
      </c>
      <c r="M1673" t="s">
        <v>83</v>
      </c>
    </row>
    <row r="1674" spans="5:15" hidden="1" x14ac:dyDescent="0.35">
      <c r="E1674" s="81"/>
      <c r="I1674" s="83" t="e">
        <f>VLOOKUP(E1674,[1]Mapping!$A$3:$B$14,2,FALSE)</f>
        <v>#N/A</v>
      </c>
      <c r="J1674" s="84">
        <f t="shared" si="54"/>
        <v>0</v>
      </c>
      <c r="K1674" s="84">
        <f t="shared" si="55"/>
        <v>0</v>
      </c>
      <c r="L1674" s="61" t="e">
        <f>VLOOKUP(K1674,[1]Mapping!$J$3:$Q$351,8,FALSE)</f>
        <v>#N/A</v>
      </c>
      <c r="M1674" t="s">
        <v>83</v>
      </c>
    </row>
    <row r="1675" spans="5:15" hidden="1" x14ac:dyDescent="0.35">
      <c r="E1675" s="81"/>
      <c r="I1675" s="83" t="e">
        <f>VLOOKUP(E1675,[1]Mapping!$A$3:$B$14,2,FALSE)</f>
        <v>#N/A</v>
      </c>
      <c r="J1675" s="84">
        <f t="shared" si="54"/>
        <v>0</v>
      </c>
      <c r="K1675" s="84">
        <f t="shared" si="55"/>
        <v>0</v>
      </c>
      <c r="L1675" s="61" t="e">
        <f>VLOOKUP(K1675,[1]Mapping!$J$3:$Q$351,8,FALSE)</f>
        <v>#N/A</v>
      </c>
      <c r="M1675" t="s">
        <v>83</v>
      </c>
    </row>
    <row r="1676" spans="5:15" hidden="1" x14ac:dyDescent="0.35">
      <c r="E1676" s="81"/>
      <c r="I1676" s="83" t="e">
        <f>VLOOKUP(E1676,[1]Mapping!$A$3:$B$14,2,FALSE)</f>
        <v>#N/A</v>
      </c>
      <c r="J1676" s="84">
        <f t="shared" si="54"/>
        <v>0</v>
      </c>
      <c r="K1676" s="84">
        <f t="shared" si="55"/>
        <v>0</v>
      </c>
      <c r="L1676" s="61" t="e">
        <f>VLOOKUP(K1676,[1]Mapping!$J$3:$Q$351,8,FALSE)</f>
        <v>#N/A</v>
      </c>
      <c r="M1676" t="s">
        <v>83</v>
      </c>
    </row>
    <row r="1677" spans="5:15" hidden="1" x14ac:dyDescent="0.35">
      <c r="E1677" s="81"/>
      <c r="I1677" s="83" t="e">
        <f>VLOOKUP(E1677,[1]Mapping!$A$3:$B$14,2,FALSE)</f>
        <v>#N/A</v>
      </c>
      <c r="J1677" s="84">
        <f t="shared" si="54"/>
        <v>0</v>
      </c>
      <c r="K1677" s="84">
        <f t="shared" si="55"/>
        <v>0</v>
      </c>
      <c r="L1677" s="61" t="e">
        <f>VLOOKUP(K1677,[1]Mapping!$J$3:$Q$351,8,FALSE)</f>
        <v>#N/A</v>
      </c>
      <c r="M1677" t="s">
        <v>83</v>
      </c>
    </row>
    <row r="1678" spans="5:15" hidden="1" x14ac:dyDescent="0.35">
      <c r="E1678" s="81"/>
      <c r="I1678" s="83" t="e">
        <f>VLOOKUP(E1678,[1]Mapping!$A$3:$B$14,2,FALSE)</f>
        <v>#N/A</v>
      </c>
      <c r="J1678" s="84">
        <f t="shared" si="54"/>
        <v>0</v>
      </c>
      <c r="K1678" s="84">
        <f t="shared" si="55"/>
        <v>0</v>
      </c>
      <c r="L1678" s="61" t="e">
        <f>VLOOKUP(K1678,[1]Mapping!$J$3:$Q$351,8,FALSE)</f>
        <v>#N/A</v>
      </c>
      <c r="M1678" t="s">
        <v>83</v>
      </c>
    </row>
    <row r="1679" spans="5:15" hidden="1" x14ac:dyDescent="0.35">
      <c r="E1679" s="81"/>
      <c r="I1679" s="83" t="e">
        <f>VLOOKUP(E1679,[1]Mapping!$A$3:$B$14,2,FALSE)</f>
        <v>#N/A</v>
      </c>
      <c r="J1679" s="84">
        <f t="shared" si="54"/>
        <v>0</v>
      </c>
      <c r="K1679" s="84">
        <f t="shared" si="55"/>
        <v>0</v>
      </c>
      <c r="L1679" s="61" t="e">
        <f>VLOOKUP(K1679,[1]Mapping!$J$3:$Q$351,8,FALSE)</f>
        <v>#N/A</v>
      </c>
      <c r="M1679" t="s">
        <v>83</v>
      </c>
    </row>
    <row r="1680" spans="5:15" hidden="1" x14ac:dyDescent="0.35">
      <c r="E1680" s="81"/>
      <c r="I1680" s="83" t="e">
        <f>VLOOKUP(E1680,[1]Mapping!$A$3:$B$14,2,FALSE)</f>
        <v>#N/A</v>
      </c>
      <c r="J1680" s="84">
        <f t="shared" si="54"/>
        <v>0</v>
      </c>
      <c r="K1680" s="84">
        <f t="shared" si="55"/>
        <v>0</v>
      </c>
      <c r="L1680" s="61" t="e">
        <f>VLOOKUP(K1680,[1]Mapping!$J$3:$Q$351,8,FALSE)</f>
        <v>#N/A</v>
      </c>
      <c r="M1680" t="s">
        <v>83</v>
      </c>
    </row>
    <row r="1681" spans="5:13" hidden="1" x14ac:dyDescent="0.35">
      <c r="E1681" s="81"/>
      <c r="I1681" s="83" t="e">
        <f>VLOOKUP(E1681,[1]Mapping!$A$3:$B$14,2,FALSE)</f>
        <v>#N/A</v>
      </c>
      <c r="J1681" s="84">
        <f t="shared" si="54"/>
        <v>0</v>
      </c>
      <c r="K1681" s="84">
        <f t="shared" si="55"/>
        <v>0</v>
      </c>
      <c r="L1681" s="61" t="e">
        <f>VLOOKUP(K1681,[1]Mapping!$J$3:$Q$351,8,FALSE)</f>
        <v>#N/A</v>
      </c>
      <c r="M1681" t="s">
        <v>83</v>
      </c>
    </row>
    <row r="1682" spans="5:13" hidden="1" x14ac:dyDescent="0.35">
      <c r="E1682" s="81"/>
      <c r="I1682" s="83" t="e">
        <f>VLOOKUP(E1682,[1]Mapping!$A$3:$B$14,2,FALSE)</f>
        <v>#N/A</v>
      </c>
      <c r="J1682" s="84">
        <f t="shared" si="54"/>
        <v>0</v>
      </c>
      <c r="K1682" s="84">
        <f t="shared" si="55"/>
        <v>0</v>
      </c>
      <c r="L1682" s="61" t="e">
        <f>VLOOKUP(K1682,[1]Mapping!$J$3:$Q$351,8,FALSE)</f>
        <v>#N/A</v>
      </c>
      <c r="M1682" t="s">
        <v>83</v>
      </c>
    </row>
    <row r="1683" spans="5:13" hidden="1" x14ac:dyDescent="0.35">
      <c r="E1683" s="81"/>
      <c r="I1683" s="83" t="e">
        <f>VLOOKUP(E1683,[1]Mapping!$A$3:$B$14,2,FALSE)</f>
        <v>#N/A</v>
      </c>
      <c r="J1683" s="84">
        <f t="shared" si="54"/>
        <v>0</v>
      </c>
      <c r="K1683" s="84">
        <f t="shared" si="55"/>
        <v>0</v>
      </c>
      <c r="L1683" s="61" t="e">
        <f>VLOOKUP(K1683,[1]Mapping!$J$3:$Q$351,8,FALSE)</f>
        <v>#N/A</v>
      </c>
      <c r="M1683" t="s">
        <v>83</v>
      </c>
    </row>
    <row r="1684" spans="5:13" hidden="1" x14ac:dyDescent="0.35">
      <c r="E1684" s="81"/>
      <c r="I1684" s="83" t="e">
        <f>VLOOKUP(E1684,[1]Mapping!$A$3:$B$14,2,FALSE)</f>
        <v>#N/A</v>
      </c>
      <c r="J1684" s="84">
        <f t="shared" si="54"/>
        <v>0</v>
      </c>
      <c r="K1684" s="84">
        <f t="shared" si="55"/>
        <v>0</v>
      </c>
      <c r="L1684" s="61" t="e">
        <f>VLOOKUP(K1684,[1]Mapping!$J$3:$Q$351,8,FALSE)</f>
        <v>#N/A</v>
      </c>
      <c r="M1684" t="s">
        <v>83</v>
      </c>
    </row>
    <row r="1685" spans="5:13" hidden="1" x14ac:dyDescent="0.35">
      <c r="E1685" s="81"/>
      <c r="I1685" s="83" t="e">
        <f>VLOOKUP(E1685,[1]Mapping!$A$3:$B$14,2,FALSE)</f>
        <v>#N/A</v>
      </c>
      <c r="J1685" s="84">
        <f t="shared" si="54"/>
        <v>0</v>
      </c>
      <c r="K1685" s="84">
        <f t="shared" si="55"/>
        <v>0</v>
      </c>
      <c r="L1685" s="61" t="e">
        <f>VLOOKUP(K1685,[1]Mapping!$J$3:$Q$351,8,FALSE)</f>
        <v>#N/A</v>
      </c>
      <c r="M1685" t="s">
        <v>83</v>
      </c>
    </row>
    <row r="1686" spans="5:13" hidden="1" x14ac:dyDescent="0.35">
      <c r="E1686" s="81"/>
      <c r="I1686" s="83" t="e">
        <f>VLOOKUP(E1686,[1]Mapping!$A$3:$B$14,2,FALSE)</f>
        <v>#N/A</v>
      </c>
      <c r="J1686" s="84">
        <f t="shared" si="54"/>
        <v>0</v>
      </c>
      <c r="K1686" s="84">
        <f t="shared" si="55"/>
        <v>0</v>
      </c>
      <c r="L1686" s="61" t="e">
        <f>VLOOKUP(K1686,[1]Mapping!$J$3:$Q$351,8,FALSE)</f>
        <v>#N/A</v>
      </c>
      <c r="M1686" t="s">
        <v>83</v>
      </c>
    </row>
    <row r="1687" spans="5:13" hidden="1" x14ac:dyDescent="0.35">
      <c r="E1687" s="81"/>
      <c r="I1687" s="83" t="e">
        <f>VLOOKUP(E1687,[1]Mapping!$A$3:$B$14,2,FALSE)</f>
        <v>#N/A</v>
      </c>
      <c r="J1687" s="84">
        <f t="shared" si="54"/>
        <v>0</v>
      </c>
      <c r="K1687" s="84">
        <f t="shared" si="55"/>
        <v>0</v>
      </c>
      <c r="L1687" s="61" t="e">
        <f>VLOOKUP(K1687,[1]Mapping!$J$3:$Q$351,8,FALSE)</f>
        <v>#N/A</v>
      </c>
      <c r="M1687" t="s">
        <v>83</v>
      </c>
    </row>
    <row r="1688" spans="5:13" hidden="1" x14ac:dyDescent="0.35">
      <c r="E1688" s="81"/>
      <c r="I1688" s="83" t="e">
        <f>VLOOKUP(E1688,[1]Mapping!$A$3:$B$14,2,FALSE)</f>
        <v>#N/A</v>
      </c>
      <c r="J1688" s="84">
        <f t="shared" si="54"/>
        <v>0</v>
      </c>
      <c r="K1688" s="84">
        <f t="shared" si="55"/>
        <v>0</v>
      </c>
      <c r="L1688" s="61" t="e">
        <f>VLOOKUP(K1688,[1]Mapping!$J$3:$Q$351,8,FALSE)</f>
        <v>#N/A</v>
      </c>
      <c r="M1688" t="s">
        <v>83</v>
      </c>
    </row>
    <row r="1689" spans="5:13" hidden="1" x14ac:dyDescent="0.35">
      <c r="E1689" s="81"/>
      <c r="I1689" s="83" t="e">
        <f>VLOOKUP(E1689,[1]Mapping!$A$3:$B$14,2,FALSE)</f>
        <v>#N/A</v>
      </c>
      <c r="J1689" s="84">
        <f t="shared" si="54"/>
        <v>0</v>
      </c>
      <c r="K1689" s="84">
        <f t="shared" si="55"/>
        <v>0</v>
      </c>
      <c r="L1689" s="61" t="e">
        <f>VLOOKUP(K1689,[1]Mapping!$J$3:$Q$351,8,FALSE)</f>
        <v>#N/A</v>
      </c>
      <c r="M1689" t="s">
        <v>83</v>
      </c>
    </row>
    <row r="1690" spans="5:13" hidden="1" x14ac:dyDescent="0.35">
      <c r="E1690" s="81"/>
      <c r="I1690" s="83" t="e">
        <f>VLOOKUP(E1690,[1]Mapping!$A$3:$B$14,2,FALSE)</f>
        <v>#N/A</v>
      </c>
      <c r="J1690" s="84">
        <f t="shared" si="54"/>
        <v>0</v>
      </c>
      <c r="K1690" s="84">
        <f t="shared" si="55"/>
        <v>0</v>
      </c>
      <c r="L1690" s="61" t="e">
        <f>VLOOKUP(K1690,[1]Mapping!$J$3:$Q$351,8,FALSE)</f>
        <v>#N/A</v>
      </c>
      <c r="M1690" t="s">
        <v>83</v>
      </c>
    </row>
    <row r="1691" spans="5:13" hidden="1" x14ac:dyDescent="0.35">
      <c r="E1691" s="81"/>
      <c r="I1691" s="83" t="e">
        <f>VLOOKUP(E1691,[1]Mapping!$A$3:$B$14,2,FALSE)</f>
        <v>#N/A</v>
      </c>
      <c r="J1691" s="84">
        <f t="shared" si="54"/>
        <v>0</v>
      </c>
      <c r="K1691" s="84">
        <f t="shared" si="55"/>
        <v>0</v>
      </c>
      <c r="L1691" s="61" t="e">
        <f>VLOOKUP(K1691,[1]Mapping!$J$3:$Q$351,8,FALSE)</f>
        <v>#N/A</v>
      </c>
      <c r="M1691" t="s">
        <v>83</v>
      </c>
    </row>
    <row r="1692" spans="5:13" hidden="1" x14ac:dyDescent="0.35">
      <c r="E1692" s="81"/>
      <c r="I1692" s="83" t="e">
        <f>VLOOKUP(E1692,[1]Mapping!$A$3:$B$14,2,FALSE)</f>
        <v>#N/A</v>
      </c>
      <c r="J1692" s="84">
        <f t="shared" si="54"/>
        <v>0</v>
      </c>
      <c r="K1692" s="84">
        <f t="shared" si="55"/>
        <v>0</v>
      </c>
      <c r="L1692" s="61" t="e">
        <f>VLOOKUP(K1692,[1]Mapping!$J$3:$Q$351,8,FALSE)</f>
        <v>#N/A</v>
      </c>
      <c r="M1692" t="s">
        <v>83</v>
      </c>
    </row>
    <row r="1693" spans="5:13" hidden="1" x14ac:dyDescent="0.35">
      <c r="E1693" s="81"/>
      <c r="I1693" s="83" t="e">
        <f>VLOOKUP(E1693,[1]Mapping!$A$3:$B$14,2,FALSE)</f>
        <v>#N/A</v>
      </c>
      <c r="J1693" s="84">
        <f t="shared" si="54"/>
        <v>0</v>
      </c>
      <c r="K1693" s="84">
        <f t="shared" si="55"/>
        <v>0</v>
      </c>
      <c r="L1693" s="61" t="e">
        <f>VLOOKUP(K1693,[1]Mapping!$J$3:$Q$351,8,FALSE)</f>
        <v>#N/A</v>
      </c>
      <c r="M1693" t="s">
        <v>83</v>
      </c>
    </row>
    <row r="1694" spans="5:13" hidden="1" x14ac:dyDescent="0.35">
      <c r="E1694" s="81"/>
      <c r="I1694" s="83" t="e">
        <f>VLOOKUP(E1694,[1]Mapping!$A$3:$B$14,2,FALSE)</f>
        <v>#N/A</v>
      </c>
      <c r="J1694" s="84">
        <f t="shared" si="54"/>
        <v>0</v>
      </c>
      <c r="K1694" s="84">
        <f t="shared" si="55"/>
        <v>0</v>
      </c>
      <c r="L1694" s="61" t="e">
        <f>VLOOKUP(K1694,[1]Mapping!$J$3:$Q$351,8,FALSE)</f>
        <v>#N/A</v>
      </c>
      <c r="M1694" t="s">
        <v>83</v>
      </c>
    </row>
    <row r="1695" spans="5:13" hidden="1" x14ac:dyDescent="0.35">
      <c r="E1695" s="81"/>
      <c r="I1695" s="83" t="e">
        <f>VLOOKUP(E1695,[1]Mapping!$A$3:$B$14,2,FALSE)</f>
        <v>#N/A</v>
      </c>
      <c r="J1695" s="84">
        <f t="shared" si="54"/>
        <v>0</v>
      </c>
      <c r="K1695" s="84">
        <f t="shared" si="55"/>
        <v>0</v>
      </c>
      <c r="L1695" s="61" t="e">
        <f>VLOOKUP(K1695,[1]Mapping!$J$3:$Q$351,8,FALSE)</f>
        <v>#N/A</v>
      </c>
      <c r="M1695" t="s">
        <v>83</v>
      </c>
    </row>
    <row r="1696" spans="5:13" hidden="1" x14ac:dyDescent="0.35">
      <c r="E1696" s="81"/>
      <c r="I1696" s="83" t="e">
        <f>VLOOKUP(E1696,[1]Mapping!$A$3:$B$14,2,FALSE)</f>
        <v>#N/A</v>
      </c>
      <c r="J1696" s="84">
        <f t="shared" si="54"/>
        <v>0</v>
      </c>
      <c r="K1696" s="84">
        <f t="shared" si="55"/>
        <v>0</v>
      </c>
      <c r="L1696" s="61" t="e">
        <f>VLOOKUP(K1696,[1]Mapping!$J$3:$Q$351,8,FALSE)</f>
        <v>#N/A</v>
      </c>
      <c r="M1696" t="s">
        <v>83</v>
      </c>
    </row>
    <row r="1697" spans="5:13" hidden="1" x14ac:dyDescent="0.35">
      <c r="E1697" s="81"/>
      <c r="I1697" s="83" t="e">
        <f>VLOOKUP(E1697,[1]Mapping!$A$3:$B$14,2,FALSE)</f>
        <v>#N/A</v>
      </c>
      <c r="J1697" s="84">
        <f t="shared" si="54"/>
        <v>0</v>
      </c>
      <c r="K1697" s="84">
        <f t="shared" si="55"/>
        <v>0</v>
      </c>
      <c r="L1697" s="61" t="e">
        <f>VLOOKUP(K1697,[1]Mapping!$J$3:$Q$351,8,FALSE)</f>
        <v>#N/A</v>
      </c>
      <c r="M1697" t="s">
        <v>83</v>
      </c>
    </row>
    <row r="1698" spans="5:13" hidden="1" x14ac:dyDescent="0.35">
      <c r="E1698" s="81"/>
      <c r="I1698" s="83" t="e">
        <f>VLOOKUP(E1698,[1]Mapping!$A$3:$B$14,2,FALSE)</f>
        <v>#N/A</v>
      </c>
      <c r="J1698" s="84">
        <f t="shared" si="54"/>
        <v>0</v>
      </c>
      <c r="K1698" s="84">
        <f t="shared" si="55"/>
        <v>0</v>
      </c>
      <c r="L1698" s="61" t="e">
        <f>VLOOKUP(K1698,[1]Mapping!$J$3:$Q$351,8,FALSE)</f>
        <v>#N/A</v>
      </c>
      <c r="M1698" t="s">
        <v>83</v>
      </c>
    </row>
    <row r="1699" spans="5:13" hidden="1" x14ac:dyDescent="0.35">
      <c r="E1699" s="81"/>
      <c r="I1699" s="83" t="e">
        <f>VLOOKUP(E1699,[1]Mapping!$A$3:$B$14,2,FALSE)</f>
        <v>#N/A</v>
      </c>
      <c r="J1699" s="84">
        <f t="shared" si="54"/>
        <v>0</v>
      </c>
      <c r="K1699" s="84">
        <f t="shared" si="55"/>
        <v>0</v>
      </c>
      <c r="L1699" s="61" t="e">
        <f>VLOOKUP(K1699,[1]Mapping!$J$3:$Q$351,8,FALSE)</f>
        <v>#N/A</v>
      </c>
      <c r="M1699" t="s">
        <v>83</v>
      </c>
    </row>
    <row r="1700" spans="5:13" hidden="1" x14ac:dyDescent="0.35">
      <c r="E1700" s="81"/>
      <c r="I1700" s="83" t="e">
        <f>VLOOKUP(E1700,[1]Mapping!$A$3:$B$14,2,FALSE)</f>
        <v>#N/A</v>
      </c>
      <c r="J1700" s="84">
        <f t="shared" si="54"/>
        <v>0</v>
      </c>
      <c r="K1700" s="84">
        <f t="shared" si="55"/>
        <v>0</v>
      </c>
      <c r="L1700" s="61" t="e">
        <f>VLOOKUP(K1700,[1]Mapping!$J$3:$Q$351,8,FALSE)</f>
        <v>#N/A</v>
      </c>
      <c r="M1700" t="s">
        <v>83</v>
      </c>
    </row>
    <row r="1701" spans="5:13" hidden="1" x14ac:dyDescent="0.35">
      <c r="E1701" s="81"/>
      <c r="I1701" s="83" t="e">
        <f>VLOOKUP(E1701,[1]Mapping!$A$3:$B$14,2,FALSE)</f>
        <v>#N/A</v>
      </c>
      <c r="J1701" s="84">
        <f t="shared" si="54"/>
        <v>0</v>
      </c>
      <c r="K1701" s="84">
        <f t="shared" si="55"/>
        <v>0</v>
      </c>
      <c r="L1701" s="61" t="e">
        <f>VLOOKUP(K1701,[1]Mapping!$J$3:$Q$351,8,FALSE)</f>
        <v>#N/A</v>
      </c>
      <c r="M1701" t="s">
        <v>83</v>
      </c>
    </row>
    <row r="1702" spans="5:13" hidden="1" x14ac:dyDescent="0.35">
      <c r="E1702" s="81"/>
      <c r="I1702" s="83" t="e">
        <f>VLOOKUP(E1702,[1]Mapping!$A$3:$B$14,2,FALSE)</f>
        <v>#N/A</v>
      </c>
      <c r="J1702" s="84">
        <f t="shared" si="54"/>
        <v>0</v>
      </c>
      <c r="K1702" s="84">
        <f t="shared" si="55"/>
        <v>0</v>
      </c>
      <c r="L1702" s="61" t="e">
        <f>VLOOKUP(K1702,[1]Mapping!$J$3:$Q$351,8,FALSE)</f>
        <v>#N/A</v>
      </c>
      <c r="M1702" t="s">
        <v>83</v>
      </c>
    </row>
    <row r="1703" spans="5:13" hidden="1" x14ac:dyDescent="0.35">
      <c r="E1703" s="81"/>
      <c r="I1703" s="83" t="e">
        <f>VLOOKUP(E1703,[1]Mapping!$A$3:$B$14,2,FALSE)</f>
        <v>#N/A</v>
      </c>
      <c r="J1703" s="84">
        <f t="shared" si="54"/>
        <v>0</v>
      </c>
      <c r="K1703" s="84">
        <f t="shared" si="55"/>
        <v>0</v>
      </c>
      <c r="L1703" s="61" t="e">
        <f>VLOOKUP(K1703,[1]Mapping!$J$3:$Q$351,8,FALSE)</f>
        <v>#N/A</v>
      </c>
      <c r="M1703" t="s">
        <v>83</v>
      </c>
    </row>
    <row r="1704" spans="5:13" hidden="1" x14ac:dyDescent="0.35">
      <c r="E1704" s="81"/>
      <c r="I1704" s="83" t="e">
        <f>VLOOKUP(E1704,[1]Mapping!$A$3:$B$14,2,FALSE)</f>
        <v>#N/A</v>
      </c>
      <c r="J1704" s="84">
        <f t="shared" si="54"/>
        <v>0</v>
      </c>
      <c r="K1704" s="84">
        <f t="shared" si="55"/>
        <v>0</v>
      </c>
      <c r="L1704" s="61" t="e">
        <f>VLOOKUP(K1704,[1]Mapping!$J$3:$Q$351,8,FALSE)</f>
        <v>#N/A</v>
      </c>
      <c r="M1704" t="s">
        <v>83</v>
      </c>
    </row>
    <row r="1705" spans="5:13" hidden="1" x14ac:dyDescent="0.35">
      <c r="E1705" s="81"/>
      <c r="I1705" s="83" t="e">
        <f>VLOOKUP(E1705,[1]Mapping!$A$3:$B$14,2,FALSE)</f>
        <v>#N/A</v>
      </c>
      <c r="J1705" s="84">
        <f t="shared" si="54"/>
        <v>0</v>
      </c>
      <c r="K1705" s="84">
        <f t="shared" si="55"/>
        <v>0</v>
      </c>
      <c r="L1705" s="61" t="e">
        <f>VLOOKUP(K1705,[1]Mapping!$J$3:$Q$351,8,FALSE)</f>
        <v>#N/A</v>
      </c>
      <c r="M1705" t="s">
        <v>83</v>
      </c>
    </row>
    <row r="1706" spans="5:13" hidden="1" x14ac:dyDescent="0.35">
      <c r="E1706" s="81"/>
      <c r="I1706" s="83" t="e">
        <f>VLOOKUP(E1706,[1]Mapping!$A$3:$B$14,2,FALSE)</f>
        <v>#N/A</v>
      </c>
      <c r="J1706" s="84">
        <f t="shared" si="54"/>
        <v>0</v>
      </c>
      <c r="K1706" s="84">
        <f t="shared" si="55"/>
        <v>0</v>
      </c>
      <c r="L1706" s="61" t="e">
        <f>VLOOKUP(K1706,[1]Mapping!$J$3:$Q$351,8,FALSE)</f>
        <v>#N/A</v>
      </c>
      <c r="M1706" t="s">
        <v>83</v>
      </c>
    </row>
    <row r="1707" spans="5:13" hidden="1" x14ac:dyDescent="0.35">
      <c r="E1707" s="81"/>
      <c r="I1707" s="83" t="e">
        <f>VLOOKUP(E1707,[1]Mapping!$A$3:$B$14,2,FALSE)</f>
        <v>#N/A</v>
      </c>
      <c r="J1707" s="84">
        <f t="shared" si="54"/>
        <v>0</v>
      </c>
      <c r="K1707" s="84">
        <f t="shared" si="55"/>
        <v>0</v>
      </c>
      <c r="L1707" s="61" t="e">
        <f>VLOOKUP(K1707,[1]Mapping!$J$3:$Q$351,8,FALSE)</f>
        <v>#N/A</v>
      </c>
      <c r="M1707" t="s">
        <v>83</v>
      </c>
    </row>
    <row r="1708" spans="5:13" hidden="1" x14ac:dyDescent="0.35">
      <c r="E1708" s="81"/>
      <c r="I1708" s="83" t="e">
        <f>VLOOKUP(E1708,[1]Mapping!$A$3:$B$14,2,FALSE)</f>
        <v>#N/A</v>
      </c>
      <c r="J1708" s="84">
        <f t="shared" si="54"/>
        <v>0</v>
      </c>
      <c r="K1708" s="84">
        <f t="shared" si="55"/>
        <v>0</v>
      </c>
      <c r="L1708" s="61" t="e">
        <f>VLOOKUP(K1708,[1]Mapping!$J$3:$Q$351,8,FALSE)</f>
        <v>#N/A</v>
      </c>
      <c r="M1708" t="s">
        <v>83</v>
      </c>
    </row>
    <row r="1709" spans="5:13" hidden="1" x14ac:dyDescent="0.35">
      <c r="E1709" s="81"/>
      <c r="I1709" s="83" t="e">
        <f>VLOOKUP(E1709,[1]Mapping!$A$3:$B$14,2,FALSE)</f>
        <v>#N/A</v>
      </c>
      <c r="J1709" s="84">
        <f t="shared" si="54"/>
        <v>0</v>
      </c>
      <c r="K1709" s="84">
        <f t="shared" si="55"/>
        <v>0</v>
      </c>
      <c r="L1709" s="61" t="e">
        <f>VLOOKUP(K1709,[1]Mapping!$J$3:$Q$351,8,FALSE)</f>
        <v>#N/A</v>
      </c>
      <c r="M1709" t="s">
        <v>83</v>
      </c>
    </row>
    <row r="1710" spans="5:13" hidden="1" x14ac:dyDescent="0.35">
      <c r="E1710" s="81"/>
      <c r="I1710" s="83" t="e">
        <f>VLOOKUP(E1710,[1]Mapping!$A$3:$B$14,2,FALSE)</f>
        <v>#N/A</v>
      </c>
      <c r="J1710" s="84">
        <f t="shared" si="54"/>
        <v>0</v>
      </c>
      <c r="K1710" s="84">
        <f t="shared" si="55"/>
        <v>0</v>
      </c>
      <c r="L1710" s="61" t="e">
        <f>VLOOKUP(K1710,[1]Mapping!$J$3:$Q$351,8,FALSE)</f>
        <v>#N/A</v>
      </c>
      <c r="M1710" t="s">
        <v>83</v>
      </c>
    </row>
    <row r="1711" spans="5:13" hidden="1" x14ac:dyDescent="0.35">
      <c r="E1711" s="81"/>
      <c r="I1711" s="83" t="e">
        <f>VLOOKUP(E1711,[1]Mapping!$A$3:$B$14,2,FALSE)</f>
        <v>#N/A</v>
      </c>
      <c r="J1711" s="84">
        <f t="shared" si="54"/>
        <v>0</v>
      </c>
      <c r="K1711" s="84">
        <f t="shared" si="55"/>
        <v>0</v>
      </c>
      <c r="L1711" s="61" t="e">
        <f>VLOOKUP(K1711,[1]Mapping!$J$3:$Q$351,8,FALSE)</f>
        <v>#N/A</v>
      </c>
      <c r="M1711" t="s">
        <v>83</v>
      </c>
    </row>
    <row r="1712" spans="5:13" hidden="1" x14ac:dyDescent="0.35">
      <c r="E1712" s="81"/>
      <c r="I1712" s="83" t="e">
        <f>VLOOKUP(E1712,[1]Mapping!$A$3:$B$14,2,FALSE)</f>
        <v>#N/A</v>
      </c>
      <c r="J1712" s="84">
        <f t="shared" si="54"/>
        <v>0</v>
      </c>
      <c r="K1712" s="84">
        <f t="shared" si="55"/>
        <v>0</v>
      </c>
      <c r="L1712" s="61" t="e">
        <f>VLOOKUP(K1712,[1]Mapping!$J$3:$Q$351,8,FALSE)</f>
        <v>#N/A</v>
      </c>
      <c r="M1712" t="s">
        <v>83</v>
      </c>
    </row>
    <row r="1713" spans="5:13" hidden="1" x14ac:dyDescent="0.35">
      <c r="E1713" s="81"/>
      <c r="I1713" s="83" t="e">
        <f>VLOOKUP(E1713,[1]Mapping!$A$3:$B$14,2,FALSE)</f>
        <v>#N/A</v>
      </c>
      <c r="J1713" s="84">
        <f t="shared" si="54"/>
        <v>0</v>
      </c>
      <c r="K1713" s="84">
        <f t="shared" si="55"/>
        <v>0</v>
      </c>
      <c r="L1713" s="61" t="e">
        <f>VLOOKUP(K1713,[1]Mapping!$J$3:$Q$351,8,FALSE)</f>
        <v>#N/A</v>
      </c>
      <c r="M1713" t="s">
        <v>83</v>
      </c>
    </row>
    <row r="1714" spans="5:13" hidden="1" x14ac:dyDescent="0.35">
      <c r="E1714" s="81"/>
      <c r="I1714" s="83" t="e">
        <f>VLOOKUP(E1714,[1]Mapping!$A$3:$B$14,2,FALSE)</f>
        <v>#N/A</v>
      </c>
      <c r="J1714" s="84">
        <f t="shared" si="54"/>
        <v>0</v>
      </c>
      <c r="K1714" s="84">
        <f t="shared" si="55"/>
        <v>0</v>
      </c>
      <c r="L1714" s="61" t="e">
        <f>VLOOKUP(K1714,[1]Mapping!$J$3:$Q$351,8,FALSE)</f>
        <v>#N/A</v>
      </c>
      <c r="M1714" t="s">
        <v>83</v>
      </c>
    </row>
    <row r="1715" spans="5:13" hidden="1" x14ac:dyDescent="0.35">
      <c r="E1715" s="81"/>
      <c r="I1715" s="83" t="e">
        <f>VLOOKUP(E1715,[1]Mapping!$A$3:$B$14,2,FALSE)</f>
        <v>#N/A</v>
      </c>
      <c r="J1715" s="84">
        <f t="shared" si="54"/>
        <v>0</v>
      </c>
      <c r="K1715" s="84">
        <f t="shared" si="55"/>
        <v>0</v>
      </c>
      <c r="L1715" s="61" t="e">
        <f>VLOOKUP(K1715,[1]Mapping!$J$3:$Q$351,8,FALSE)</f>
        <v>#N/A</v>
      </c>
      <c r="M1715" t="s">
        <v>83</v>
      </c>
    </row>
    <row r="1716" spans="5:13" hidden="1" x14ac:dyDescent="0.35">
      <c r="E1716" s="81"/>
      <c r="I1716" s="83" t="e">
        <f>VLOOKUP(E1716,[1]Mapping!$A$3:$B$14,2,FALSE)</f>
        <v>#N/A</v>
      </c>
      <c r="J1716" s="84">
        <f t="shared" si="54"/>
        <v>0</v>
      </c>
      <c r="K1716" s="84">
        <f t="shared" si="55"/>
        <v>0</v>
      </c>
      <c r="L1716" s="61" t="e">
        <f>VLOOKUP(K1716,[1]Mapping!$J$3:$Q$351,8,FALSE)</f>
        <v>#N/A</v>
      </c>
      <c r="M1716" t="s">
        <v>83</v>
      </c>
    </row>
    <row r="1717" spans="5:13" hidden="1" x14ac:dyDescent="0.35">
      <c r="E1717" s="81"/>
      <c r="I1717" s="83" t="e">
        <f>VLOOKUP(E1717,[1]Mapping!$A$3:$B$14,2,FALSE)</f>
        <v>#N/A</v>
      </c>
      <c r="J1717" s="84">
        <f t="shared" si="54"/>
        <v>0</v>
      </c>
      <c r="K1717" s="84">
        <f t="shared" si="55"/>
        <v>0</v>
      </c>
      <c r="L1717" s="61" t="e">
        <f>VLOOKUP(K1717,[1]Mapping!$J$3:$Q$351,8,FALSE)</f>
        <v>#N/A</v>
      </c>
      <c r="M1717" t="s">
        <v>83</v>
      </c>
    </row>
    <row r="1718" spans="5:13" hidden="1" x14ac:dyDescent="0.35">
      <c r="E1718" s="81"/>
      <c r="I1718" s="83" t="e">
        <f>VLOOKUP(E1718,[1]Mapping!$A$3:$B$14,2,FALSE)</f>
        <v>#N/A</v>
      </c>
      <c r="J1718" s="84">
        <f t="shared" si="54"/>
        <v>0</v>
      </c>
      <c r="K1718" s="84">
        <f t="shared" si="55"/>
        <v>0</v>
      </c>
      <c r="L1718" s="61" t="e">
        <f>VLOOKUP(K1718,[1]Mapping!$J$3:$Q$351,8,FALSE)</f>
        <v>#N/A</v>
      </c>
      <c r="M1718" t="s">
        <v>83</v>
      </c>
    </row>
    <row r="1719" spans="5:13" hidden="1" x14ac:dyDescent="0.35">
      <c r="E1719" s="81"/>
      <c r="I1719" s="83" t="e">
        <f>VLOOKUP(E1719,[1]Mapping!$A$3:$B$14,2,FALSE)</f>
        <v>#N/A</v>
      </c>
      <c r="J1719" s="84">
        <f t="shared" si="54"/>
        <v>0</v>
      </c>
      <c r="K1719" s="84">
        <f t="shared" si="55"/>
        <v>0</v>
      </c>
      <c r="L1719" s="61" t="e">
        <f>VLOOKUP(K1719,[1]Mapping!$J$3:$Q$351,8,FALSE)</f>
        <v>#N/A</v>
      </c>
      <c r="M1719" t="s">
        <v>83</v>
      </c>
    </row>
    <row r="1720" spans="5:13" hidden="1" x14ac:dyDescent="0.35">
      <c r="E1720" s="81"/>
      <c r="I1720" s="83" t="e">
        <f>VLOOKUP(E1720,[1]Mapping!$A$3:$B$14,2,FALSE)</f>
        <v>#N/A</v>
      </c>
      <c r="J1720" s="84">
        <f t="shared" si="54"/>
        <v>0</v>
      </c>
      <c r="K1720" s="84">
        <f t="shared" si="55"/>
        <v>0</v>
      </c>
      <c r="L1720" s="61" t="e">
        <f>VLOOKUP(K1720,[1]Mapping!$J$3:$Q$351,8,FALSE)</f>
        <v>#N/A</v>
      </c>
      <c r="M1720" t="s">
        <v>83</v>
      </c>
    </row>
    <row r="1721" spans="5:13" hidden="1" x14ac:dyDescent="0.35">
      <c r="E1721" s="81"/>
      <c r="I1721" s="83" t="e">
        <f>VLOOKUP(E1721,[1]Mapping!$A$3:$B$14,2,FALSE)</f>
        <v>#N/A</v>
      </c>
      <c r="J1721" s="84">
        <f t="shared" si="54"/>
        <v>0</v>
      </c>
      <c r="K1721" s="84">
        <f t="shared" si="55"/>
        <v>0</v>
      </c>
      <c r="L1721" s="61" t="e">
        <f>VLOOKUP(K1721,[1]Mapping!$J$3:$Q$351,8,FALSE)</f>
        <v>#N/A</v>
      </c>
      <c r="M1721" t="s">
        <v>83</v>
      </c>
    </row>
    <row r="1722" spans="5:13" hidden="1" x14ac:dyDescent="0.35">
      <c r="E1722" s="81"/>
      <c r="I1722" s="83" t="e">
        <f>VLOOKUP(E1722,[1]Mapping!$A$3:$B$14,2,FALSE)</f>
        <v>#N/A</v>
      </c>
      <c r="J1722" s="84">
        <f t="shared" si="54"/>
        <v>0</v>
      </c>
      <c r="K1722" s="84">
        <f t="shared" si="55"/>
        <v>0</v>
      </c>
      <c r="L1722" s="61" t="e">
        <f>VLOOKUP(K1722,[1]Mapping!$J$3:$Q$351,8,FALSE)</f>
        <v>#N/A</v>
      </c>
      <c r="M1722" t="s">
        <v>83</v>
      </c>
    </row>
    <row r="1723" spans="5:13" hidden="1" x14ac:dyDescent="0.35">
      <c r="E1723" s="81"/>
      <c r="I1723" s="83" t="e">
        <f>VLOOKUP(E1723,[1]Mapping!$A$3:$B$14,2,FALSE)</f>
        <v>#N/A</v>
      </c>
      <c r="J1723" s="84">
        <f t="shared" si="54"/>
        <v>0</v>
      </c>
      <c r="K1723" s="84">
        <f t="shared" si="55"/>
        <v>0</v>
      </c>
      <c r="L1723" s="61" t="e">
        <f>VLOOKUP(K1723,[1]Mapping!$J$3:$Q$351,8,FALSE)</f>
        <v>#N/A</v>
      </c>
      <c r="M1723" t="s">
        <v>83</v>
      </c>
    </row>
    <row r="1724" spans="5:13" hidden="1" x14ac:dyDescent="0.35">
      <c r="E1724" s="81"/>
      <c r="I1724" s="83" t="e">
        <f>VLOOKUP(E1724,[1]Mapping!$A$3:$B$14,2,FALSE)</f>
        <v>#N/A</v>
      </c>
      <c r="J1724" s="84">
        <f t="shared" si="54"/>
        <v>0</v>
      </c>
      <c r="K1724" s="84">
        <f t="shared" si="55"/>
        <v>0</v>
      </c>
      <c r="L1724" s="61" t="e">
        <f>VLOOKUP(K1724,[1]Mapping!$J$3:$Q$351,8,FALSE)</f>
        <v>#N/A</v>
      </c>
      <c r="M1724" t="s">
        <v>83</v>
      </c>
    </row>
    <row r="1725" spans="5:13" hidden="1" x14ac:dyDescent="0.35">
      <c r="E1725" s="81"/>
      <c r="I1725" s="83" t="e">
        <f>VLOOKUP(E1725,[1]Mapping!$A$3:$B$14,2,FALSE)</f>
        <v>#N/A</v>
      </c>
      <c r="J1725" s="84">
        <f t="shared" si="54"/>
        <v>0</v>
      </c>
      <c r="K1725" s="84">
        <f t="shared" si="55"/>
        <v>0</v>
      </c>
      <c r="L1725" s="61" t="e">
        <f>VLOOKUP(K1725,[1]Mapping!$J$3:$Q$351,8,FALSE)</f>
        <v>#N/A</v>
      </c>
      <c r="M1725" t="s">
        <v>83</v>
      </c>
    </row>
    <row r="1726" spans="5:13" hidden="1" x14ac:dyDescent="0.35">
      <c r="E1726" s="81"/>
      <c r="I1726" s="83" t="e">
        <f>VLOOKUP(E1726,[1]Mapping!$A$3:$B$14,2,FALSE)</f>
        <v>#N/A</v>
      </c>
      <c r="J1726" s="84">
        <f t="shared" si="54"/>
        <v>0</v>
      </c>
      <c r="K1726" s="84">
        <f t="shared" si="55"/>
        <v>0</v>
      </c>
      <c r="L1726" s="61" t="e">
        <f>VLOOKUP(K1726,[1]Mapping!$J$3:$Q$351,8,FALSE)</f>
        <v>#N/A</v>
      </c>
      <c r="M1726" t="s">
        <v>83</v>
      </c>
    </row>
    <row r="1727" spans="5:13" hidden="1" x14ac:dyDescent="0.35">
      <c r="E1727" s="81"/>
      <c r="I1727" s="83" t="e">
        <f>VLOOKUP(E1727,[1]Mapping!$A$3:$B$14,2,FALSE)</f>
        <v>#N/A</v>
      </c>
      <c r="J1727" s="84">
        <f t="shared" si="54"/>
        <v>0</v>
      </c>
      <c r="K1727" s="84">
        <f t="shared" si="55"/>
        <v>0</v>
      </c>
      <c r="L1727" s="61" t="e">
        <f>VLOOKUP(K1727,[1]Mapping!$J$3:$Q$351,8,FALSE)</f>
        <v>#N/A</v>
      </c>
      <c r="M1727" t="s">
        <v>83</v>
      </c>
    </row>
    <row r="1728" spans="5:13" hidden="1" x14ac:dyDescent="0.35">
      <c r="E1728" s="81"/>
      <c r="I1728" s="83" t="e">
        <f>VLOOKUP(E1728,[1]Mapping!$A$3:$B$14,2,FALSE)</f>
        <v>#N/A</v>
      </c>
      <c r="J1728" s="84">
        <f t="shared" si="54"/>
        <v>0</v>
      </c>
      <c r="K1728" s="84">
        <f t="shared" si="55"/>
        <v>0</v>
      </c>
      <c r="L1728" s="61" t="e">
        <f>VLOOKUP(K1728,[1]Mapping!$J$3:$Q$351,8,FALSE)</f>
        <v>#N/A</v>
      </c>
      <c r="M1728" t="s">
        <v>83</v>
      </c>
    </row>
    <row r="1729" spans="5:13" hidden="1" x14ac:dyDescent="0.35">
      <c r="E1729" s="81"/>
      <c r="I1729" s="83" t="e">
        <f>VLOOKUP(E1729,[1]Mapping!$A$3:$B$14,2,FALSE)</f>
        <v>#N/A</v>
      </c>
      <c r="J1729" s="84">
        <f t="shared" si="54"/>
        <v>0</v>
      </c>
      <c r="K1729" s="84">
        <f t="shared" si="55"/>
        <v>0</v>
      </c>
      <c r="L1729" s="61" t="e">
        <f>VLOOKUP(K1729,[1]Mapping!$J$3:$Q$351,8,FALSE)</f>
        <v>#N/A</v>
      </c>
      <c r="M1729" t="s">
        <v>83</v>
      </c>
    </row>
    <row r="1730" spans="5:13" hidden="1" x14ac:dyDescent="0.35">
      <c r="E1730" s="81"/>
      <c r="I1730" s="83" t="e">
        <f>VLOOKUP(E1730,[1]Mapping!$A$3:$B$14,2,FALSE)</f>
        <v>#N/A</v>
      </c>
      <c r="J1730" s="84">
        <f t="shared" si="54"/>
        <v>0</v>
      </c>
      <c r="K1730" s="84">
        <f t="shared" si="55"/>
        <v>0</v>
      </c>
      <c r="L1730" s="61" t="e">
        <f>VLOOKUP(K1730,[1]Mapping!$J$3:$Q$351,8,FALSE)</f>
        <v>#N/A</v>
      </c>
      <c r="M1730" t="s">
        <v>83</v>
      </c>
    </row>
    <row r="1731" spans="5:13" hidden="1" x14ac:dyDescent="0.35">
      <c r="E1731" s="81"/>
      <c r="I1731" s="83" t="e">
        <f>VLOOKUP(E1731,[1]Mapping!$A$3:$B$14,2,FALSE)</f>
        <v>#N/A</v>
      </c>
      <c r="J1731" s="84">
        <f t="shared" si="54"/>
        <v>0</v>
      </c>
      <c r="K1731" s="84">
        <f t="shared" si="55"/>
        <v>0</v>
      </c>
      <c r="L1731" s="61" t="e">
        <f>VLOOKUP(K1731,[1]Mapping!$J$3:$Q$351,8,FALSE)</f>
        <v>#N/A</v>
      </c>
      <c r="M1731" t="s">
        <v>83</v>
      </c>
    </row>
    <row r="1732" spans="5:13" hidden="1" x14ac:dyDescent="0.35">
      <c r="E1732" s="81"/>
      <c r="I1732" s="83" t="e">
        <f>VLOOKUP(E1732,[1]Mapping!$A$3:$B$14,2,FALSE)</f>
        <v>#N/A</v>
      </c>
      <c r="J1732" s="84">
        <f t="shared" ref="J1732:J1795" si="56">VALUE(A1732)</f>
        <v>0</v>
      </c>
      <c r="K1732" s="84">
        <f t="shared" ref="K1732:K1795" si="57">VALUE(C1732)</f>
        <v>0</v>
      </c>
      <c r="L1732" s="61" t="e">
        <f>VLOOKUP(K1732,[1]Mapping!$J$3:$Q$351,8,FALSE)</f>
        <v>#N/A</v>
      </c>
      <c r="M1732" t="s">
        <v>83</v>
      </c>
    </row>
    <row r="1733" spans="5:13" hidden="1" x14ac:dyDescent="0.35">
      <c r="E1733" s="81"/>
      <c r="I1733" s="83" t="e">
        <f>VLOOKUP(E1733,[1]Mapping!$A$3:$B$14,2,FALSE)</f>
        <v>#N/A</v>
      </c>
      <c r="J1733" s="84">
        <f t="shared" si="56"/>
        <v>0</v>
      </c>
      <c r="K1733" s="84">
        <f t="shared" si="57"/>
        <v>0</v>
      </c>
      <c r="L1733" s="61" t="e">
        <f>VLOOKUP(K1733,[1]Mapping!$J$3:$Q$351,8,FALSE)</f>
        <v>#N/A</v>
      </c>
      <c r="M1733" t="s">
        <v>83</v>
      </c>
    </row>
    <row r="1734" spans="5:13" hidden="1" x14ac:dyDescent="0.35">
      <c r="E1734" s="81"/>
      <c r="I1734" s="83" t="e">
        <f>VLOOKUP(E1734,[1]Mapping!$A$3:$B$14,2,FALSE)</f>
        <v>#N/A</v>
      </c>
      <c r="J1734" s="84">
        <f t="shared" si="56"/>
        <v>0</v>
      </c>
      <c r="K1734" s="84">
        <f t="shared" si="57"/>
        <v>0</v>
      </c>
      <c r="L1734" s="61" t="e">
        <f>VLOOKUP(K1734,[1]Mapping!$J$3:$Q$351,8,FALSE)</f>
        <v>#N/A</v>
      </c>
      <c r="M1734" t="s">
        <v>83</v>
      </c>
    </row>
    <row r="1735" spans="5:13" hidden="1" x14ac:dyDescent="0.35">
      <c r="E1735" s="81"/>
      <c r="I1735" s="83" t="e">
        <f>VLOOKUP(E1735,[1]Mapping!$A$3:$B$14,2,FALSE)</f>
        <v>#N/A</v>
      </c>
      <c r="J1735" s="84">
        <f t="shared" si="56"/>
        <v>0</v>
      </c>
      <c r="K1735" s="84">
        <f t="shared" si="57"/>
        <v>0</v>
      </c>
      <c r="L1735" s="61" t="e">
        <f>VLOOKUP(K1735,[1]Mapping!$J$3:$Q$351,8,FALSE)</f>
        <v>#N/A</v>
      </c>
      <c r="M1735" t="s">
        <v>83</v>
      </c>
    </row>
    <row r="1736" spans="5:13" hidden="1" x14ac:dyDescent="0.35">
      <c r="E1736" s="81"/>
      <c r="I1736" s="83" t="e">
        <f>VLOOKUP(E1736,[1]Mapping!$A$3:$B$14,2,FALSE)</f>
        <v>#N/A</v>
      </c>
      <c r="J1736" s="84">
        <f t="shared" si="56"/>
        <v>0</v>
      </c>
      <c r="K1736" s="84">
        <f t="shared" si="57"/>
        <v>0</v>
      </c>
      <c r="L1736" s="61" t="e">
        <f>VLOOKUP(K1736,[1]Mapping!$J$3:$Q$351,8,FALSE)</f>
        <v>#N/A</v>
      </c>
      <c r="M1736" t="s">
        <v>83</v>
      </c>
    </row>
    <row r="1737" spans="5:13" hidden="1" x14ac:dyDescent="0.35">
      <c r="E1737" s="81"/>
      <c r="I1737" s="83" t="e">
        <f>VLOOKUP(E1737,[1]Mapping!$A$3:$B$14,2,FALSE)</f>
        <v>#N/A</v>
      </c>
      <c r="J1737" s="84">
        <f t="shared" si="56"/>
        <v>0</v>
      </c>
      <c r="K1737" s="84">
        <f t="shared" si="57"/>
        <v>0</v>
      </c>
      <c r="L1737" s="61" t="e">
        <f>VLOOKUP(K1737,[1]Mapping!$J$3:$Q$351,8,FALSE)</f>
        <v>#N/A</v>
      </c>
      <c r="M1737" t="s">
        <v>83</v>
      </c>
    </row>
    <row r="1738" spans="5:13" hidden="1" x14ac:dyDescent="0.35">
      <c r="E1738" s="81"/>
      <c r="I1738" s="83" t="e">
        <f>VLOOKUP(E1738,[1]Mapping!$A$3:$B$14,2,FALSE)</f>
        <v>#N/A</v>
      </c>
      <c r="J1738" s="84">
        <f t="shared" si="56"/>
        <v>0</v>
      </c>
      <c r="K1738" s="84">
        <f t="shared" si="57"/>
        <v>0</v>
      </c>
      <c r="L1738" s="61" t="e">
        <f>VLOOKUP(K1738,[1]Mapping!$J$3:$Q$351,8,FALSE)</f>
        <v>#N/A</v>
      </c>
      <c r="M1738" t="s">
        <v>83</v>
      </c>
    </row>
    <row r="1739" spans="5:13" hidden="1" x14ac:dyDescent="0.35">
      <c r="E1739" s="81"/>
      <c r="I1739" s="83" t="e">
        <f>VLOOKUP(E1739,[1]Mapping!$A$3:$B$14,2,FALSE)</f>
        <v>#N/A</v>
      </c>
      <c r="J1739" s="84">
        <f t="shared" si="56"/>
        <v>0</v>
      </c>
      <c r="K1739" s="84">
        <f t="shared" si="57"/>
        <v>0</v>
      </c>
      <c r="L1739" s="61" t="e">
        <f>VLOOKUP(K1739,[1]Mapping!$J$3:$Q$351,8,FALSE)</f>
        <v>#N/A</v>
      </c>
      <c r="M1739" t="s">
        <v>83</v>
      </c>
    </row>
    <row r="1740" spans="5:13" hidden="1" x14ac:dyDescent="0.35">
      <c r="E1740" s="81"/>
      <c r="I1740" s="83" t="e">
        <f>VLOOKUP(E1740,[1]Mapping!$A$3:$B$14,2,FALSE)</f>
        <v>#N/A</v>
      </c>
      <c r="J1740" s="84">
        <f t="shared" si="56"/>
        <v>0</v>
      </c>
      <c r="K1740" s="84">
        <f t="shared" si="57"/>
        <v>0</v>
      </c>
      <c r="L1740" s="61" t="e">
        <f>VLOOKUP(K1740,[1]Mapping!$J$3:$Q$351,8,FALSE)</f>
        <v>#N/A</v>
      </c>
      <c r="M1740" t="s">
        <v>83</v>
      </c>
    </row>
    <row r="1741" spans="5:13" hidden="1" x14ac:dyDescent="0.35">
      <c r="E1741" s="81"/>
      <c r="I1741" s="83" t="e">
        <f>VLOOKUP(E1741,[1]Mapping!$A$3:$B$14,2,FALSE)</f>
        <v>#N/A</v>
      </c>
      <c r="J1741" s="84">
        <f t="shared" si="56"/>
        <v>0</v>
      </c>
      <c r="K1741" s="84">
        <f t="shared" si="57"/>
        <v>0</v>
      </c>
      <c r="L1741" s="61" t="e">
        <f>VLOOKUP(K1741,[1]Mapping!$J$3:$Q$351,8,FALSE)</f>
        <v>#N/A</v>
      </c>
      <c r="M1741" t="s">
        <v>83</v>
      </c>
    </row>
    <row r="1742" spans="5:13" hidden="1" x14ac:dyDescent="0.35">
      <c r="E1742" s="81"/>
      <c r="I1742" s="83" t="e">
        <f>VLOOKUP(E1742,[1]Mapping!$A$3:$B$14,2,FALSE)</f>
        <v>#N/A</v>
      </c>
      <c r="J1742" s="84">
        <f t="shared" si="56"/>
        <v>0</v>
      </c>
      <c r="K1742" s="84">
        <f t="shared" si="57"/>
        <v>0</v>
      </c>
      <c r="L1742" s="61" t="e">
        <f>VLOOKUP(K1742,[1]Mapping!$J$3:$Q$351,8,FALSE)</f>
        <v>#N/A</v>
      </c>
      <c r="M1742" t="s">
        <v>83</v>
      </c>
    </row>
    <row r="1743" spans="5:13" hidden="1" x14ac:dyDescent="0.35">
      <c r="E1743" s="81"/>
      <c r="I1743" s="83" t="e">
        <f>VLOOKUP(E1743,[1]Mapping!$A$3:$B$14,2,FALSE)</f>
        <v>#N/A</v>
      </c>
      <c r="J1743" s="84">
        <f t="shared" si="56"/>
        <v>0</v>
      </c>
      <c r="K1743" s="84">
        <f t="shared" si="57"/>
        <v>0</v>
      </c>
      <c r="L1743" s="61" t="e">
        <f>VLOOKUP(K1743,[1]Mapping!$J$3:$Q$351,8,FALSE)</f>
        <v>#N/A</v>
      </c>
      <c r="M1743" t="s">
        <v>83</v>
      </c>
    </row>
    <row r="1744" spans="5:13" hidden="1" x14ac:dyDescent="0.35">
      <c r="E1744" s="81"/>
      <c r="I1744" s="83" t="e">
        <f>VLOOKUP(E1744,[1]Mapping!$A$3:$B$14,2,FALSE)</f>
        <v>#N/A</v>
      </c>
      <c r="J1744" s="84">
        <f t="shared" si="56"/>
        <v>0</v>
      </c>
      <c r="K1744" s="84">
        <f t="shared" si="57"/>
        <v>0</v>
      </c>
      <c r="L1744" s="61" t="e">
        <f>VLOOKUP(K1744,[1]Mapping!$J$3:$Q$351,8,FALSE)</f>
        <v>#N/A</v>
      </c>
      <c r="M1744" t="s">
        <v>83</v>
      </c>
    </row>
    <row r="1745" spans="5:13" hidden="1" x14ac:dyDescent="0.35">
      <c r="E1745" s="81"/>
      <c r="I1745" s="83" t="e">
        <f>VLOOKUP(E1745,[1]Mapping!$A$3:$B$14,2,FALSE)</f>
        <v>#N/A</v>
      </c>
      <c r="J1745" s="84">
        <f t="shared" si="56"/>
        <v>0</v>
      </c>
      <c r="K1745" s="84">
        <f t="shared" si="57"/>
        <v>0</v>
      </c>
      <c r="L1745" s="61" t="e">
        <f>VLOOKUP(K1745,[1]Mapping!$J$3:$Q$351,8,FALSE)</f>
        <v>#N/A</v>
      </c>
      <c r="M1745" t="s">
        <v>83</v>
      </c>
    </row>
    <row r="1746" spans="5:13" hidden="1" x14ac:dyDescent="0.35">
      <c r="E1746" s="81"/>
      <c r="I1746" s="83" t="e">
        <f>VLOOKUP(E1746,[1]Mapping!$A$3:$B$14,2,FALSE)</f>
        <v>#N/A</v>
      </c>
      <c r="J1746" s="84">
        <f t="shared" si="56"/>
        <v>0</v>
      </c>
      <c r="K1746" s="84">
        <f t="shared" si="57"/>
        <v>0</v>
      </c>
      <c r="L1746" s="61" t="e">
        <f>VLOOKUP(K1746,[1]Mapping!$J$3:$Q$351,8,FALSE)</f>
        <v>#N/A</v>
      </c>
      <c r="M1746" t="s">
        <v>83</v>
      </c>
    </row>
    <row r="1747" spans="5:13" hidden="1" x14ac:dyDescent="0.35">
      <c r="E1747" s="81"/>
      <c r="I1747" s="83" t="e">
        <f>VLOOKUP(E1747,[1]Mapping!$A$3:$B$14,2,FALSE)</f>
        <v>#N/A</v>
      </c>
      <c r="J1747" s="84">
        <f t="shared" si="56"/>
        <v>0</v>
      </c>
      <c r="K1747" s="84">
        <f t="shared" si="57"/>
        <v>0</v>
      </c>
      <c r="L1747" s="61" t="e">
        <f>VLOOKUP(K1747,[1]Mapping!$J$3:$Q$351,8,FALSE)</f>
        <v>#N/A</v>
      </c>
      <c r="M1747" t="s">
        <v>83</v>
      </c>
    </row>
    <row r="1748" spans="5:13" hidden="1" x14ac:dyDescent="0.35">
      <c r="E1748" s="81"/>
      <c r="I1748" s="83" t="e">
        <f>VLOOKUP(E1748,[1]Mapping!$A$3:$B$14,2,FALSE)</f>
        <v>#N/A</v>
      </c>
      <c r="J1748" s="84">
        <f t="shared" si="56"/>
        <v>0</v>
      </c>
      <c r="K1748" s="84">
        <f t="shared" si="57"/>
        <v>0</v>
      </c>
      <c r="L1748" s="61" t="e">
        <f>VLOOKUP(K1748,[1]Mapping!$J$3:$Q$351,8,FALSE)</f>
        <v>#N/A</v>
      </c>
      <c r="M1748" t="s">
        <v>83</v>
      </c>
    </row>
    <row r="1749" spans="5:13" hidden="1" x14ac:dyDescent="0.35">
      <c r="E1749" s="81"/>
      <c r="I1749" s="83" t="e">
        <f>VLOOKUP(E1749,[1]Mapping!$A$3:$B$14,2,FALSE)</f>
        <v>#N/A</v>
      </c>
      <c r="J1749" s="84">
        <f t="shared" si="56"/>
        <v>0</v>
      </c>
      <c r="K1749" s="84">
        <f t="shared" si="57"/>
        <v>0</v>
      </c>
      <c r="L1749" s="61" t="e">
        <f>VLOOKUP(K1749,[1]Mapping!$J$3:$Q$351,8,FALSE)</f>
        <v>#N/A</v>
      </c>
      <c r="M1749" t="s">
        <v>83</v>
      </c>
    </row>
    <row r="1750" spans="5:13" hidden="1" x14ac:dyDescent="0.35">
      <c r="E1750" s="81"/>
      <c r="I1750" s="83" t="e">
        <f>VLOOKUP(E1750,[1]Mapping!$A$3:$B$14,2,FALSE)</f>
        <v>#N/A</v>
      </c>
      <c r="J1750" s="84">
        <f t="shared" si="56"/>
        <v>0</v>
      </c>
      <c r="K1750" s="84">
        <f t="shared" si="57"/>
        <v>0</v>
      </c>
      <c r="L1750" s="61" t="e">
        <f>VLOOKUP(K1750,[1]Mapping!$J$3:$Q$351,8,FALSE)</f>
        <v>#N/A</v>
      </c>
      <c r="M1750" t="s">
        <v>83</v>
      </c>
    </row>
    <row r="1751" spans="5:13" hidden="1" x14ac:dyDescent="0.35">
      <c r="E1751" s="81"/>
      <c r="I1751" s="83" t="e">
        <f>VLOOKUP(E1751,[1]Mapping!$A$3:$B$14,2,FALSE)</f>
        <v>#N/A</v>
      </c>
      <c r="J1751" s="84">
        <f t="shared" si="56"/>
        <v>0</v>
      </c>
      <c r="K1751" s="84">
        <f t="shared" si="57"/>
        <v>0</v>
      </c>
      <c r="L1751" s="61" t="e">
        <f>VLOOKUP(K1751,[1]Mapping!$J$3:$Q$351,8,FALSE)</f>
        <v>#N/A</v>
      </c>
      <c r="M1751" t="s">
        <v>83</v>
      </c>
    </row>
    <row r="1752" spans="5:13" hidden="1" x14ac:dyDescent="0.35">
      <c r="E1752" s="81"/>
      <c r="I1752" s="83" t="e">
        <f>VLOOKUP(E1752,[1]Mapping!$A$3:$B$14,2,FALSE)</f>
        <v>#N/A</v>
      </c>
      <c r="J1752" s="84">
        <f t="shared" si="56"/>
        <v>0</v>
      </c>
      <c r="K1752" s="84">
        <f t="shared" si="57"/>
        <v>0</v>
      </c>
      <c r="L1752" s="61" t="e">
        <f>VLOOKUP(K1752,[1]Mapping!$J$3:$Q$351,8,FALSE)</f>
        <v>#N/A</v>
      </c>
      <c r="M1752" t="s">
        <v>83</v>
      </c>
    </row>
    <row r="1753" spans="5:13" hidden="1" x14ac:dyDescent="0.35">
      <c r="E1753" s="81"/>
      <c r="I1753" s="83" t="e">
        <f>VLOOKUP(E1753,[1]Mapping!$A$3:$B$14,2,FALSE)</f>
        <v>#N/A</v>
      </c>
      <c r="J1753" s="84">
        <f t="shared" si="56"/>
        <v>0</v>
      </c>
      <c r="K1753" s="84">
        <f t="shared" si="57"/>
        <v>0</v>
      </c>
      <c r="L1753" s="61" t="e">
        <f>VLOOKUP(K1753,[1]Mapping!$J$3:$Q$351,8,FALSE)</f>
        <v>#N/A</v>
      </c>
      <c r="M1753" t="s">
        <v>83</v>
      </c>
    </row>
    <row r="1754" spans="5:13" hidden="1" x14ac:dyDescent="0.35">
      <c r="E1754" s="81"/>
      <c r="I1754" s="83" t="e">
        <f>VLOOKUP(E1754,[1]Mapping!$A$3:$B$14,2,FALSE)</f>
        <v>#N/A</v>
      </c>
      <c r="J1754" s="84">
        <f t="shared" si="56"/>
        <v>0</v>
      </c>
      <c r="K1754" s="84">
        <f t="shared" si="57"/>
        <v>0</v>
      </c>
      <c r="L1754" s="61" t="e">
        <f>VLOOKUP(K1754,[1]Mapping!$J$3:$Q$351,8,FALSE)</f>
        <v>#N/A</v>
      </c>
      <c r="M1754" t="s">
        <v>83</v>
      </c>
    </row>
    <row r="1755" spans="5:13" hidden="1" x14ac:dyDescent="0.35">
      <c r="E1755" s="81"/>
      <c r="I1755" s="83" t="e">
        <f>VLOOKUP(E1755,[1]Mapping!$A$3:$B$14,2,FALSE)</f>
        <v>#N/A</v>
      </c>
      <c r="J1755" s="84">
        <f t="shared" si="56"/>
        <v>0</v>
      </c>
      <c r="K1755" s="84">
        <f t="shared" si="57"/>
        <v>0</v>
      </c>
      <c r="L1755" s="61" t="e">
        <f>VLOOKUP(K1755,[1]Mapping!$J$3:$Q$351,8,FALSE)</f>
        <v>#N/A</v>
      </c>
      <c r="M1755" t="s">
        <v>83</v>
      </c>
    </row>
    <row r="1756" spans="5:13" hidden="1" x14ac:dyDescent="0.35">
      <c r="E1756" s="81"/>
      <c r="I1756" s="83" t="e">
        <f>VLOOKUP(E1756,[1]Mapping!$A$3:$B$14,2,FALSE)</f>
        <v>#N/A</v>
      </c>
      <c r="J1756" s="84">
        <f t="shared" si="56"/>
        <v>0</v>
      </c>
      <c r="K1756" s="84">
        <f t="shared" si="57"/>
        <v>0</v>
      </c>
      <c r="L1756" s="61" t="e">
        <f>VLOOKUP(K1756,[1]Mapping!$J$3:$Q$351,8,FALSE)</f>
        <v>#N/A</v>
      </c>
      <c r="M1756" t="s">
        <v>83</v>
      </c>
    </row>
    <row r="1757" spans="5:13" hidden="1" x14ac:dyDescent="0.35">
      <c r="E1757" s="81"/>
      <c r="I1757" s="83" t="e">
        <f>VLOOKUP(E1757,[1]Mapping!$A$3:$B$14,2,FALSE)</f>
        <v>#N/A</v>
      </c>
      <c r="J1757" s="84">
        <f t="shared" si="56"/>
        <v>0</v>
      </c>
      <c r="K1757" s="84">
        <f t="shared" si="57"/>
        <v>0</v>
      </c>
      <c r="L1757" s="61" t="e">
        <f>VLOOKUP(K1757,[1]Mapping!$J$3:$Q$351,8,FALSE)</f>
        <v>#N/A</v>
      </c>
      <c r="M1757" t="s">
        <v>83</v>
      </c>
    </row>
    <row r="1758" spans="5:13" hidden="1" x14ac:dyDescent="0.35">
      <c r="E1758" s="81"/>
      <c r="I1758" s="83" t="e">
        <f>VLOOKUP(E1758,[1]Mapping!$A$3:$B$14,2,FALSE)</f>
        <v>#N/A</v>
      </c>
      <c r="J1758" s="84">
        <f t="shared" si="56"/>
        <v>0</v>
      </c>
      <c r="K1758" s="84">
        <f t="shared" si="57"/>
        <v>0</v>
      </c>
      <c r="L1758" s="61" t="e">
        <f>VLOOKUP(K1758,[1]Mapping!$J$3:$Q$351,8,FALSE)</f>
        <v>#N/A</v>
      </c>
      <c r="M1758" t="s">
        <v>83</v>
      </c>
    </row>
    <row r="1759" spans="5:13" hidden="1" x14ac:dyDescent="0.35">
      <c r="E1759" s="81"/>
      <c r="I1759" s="83" t="e">
        <f>VLOOKUP(E1759,[1]Mapping!$A$3:$B$14,2,FALSE)</f>
        <v>#N/A</v>
      </c>
      <c r="J1759" s="84">
        <f t="shared" si="56"/>
        <v>0</v>
      </c>
      <c r="K1759" s="84">
        <f t="shared" si="57"/>
        <v>0</v>
      </c>
      <c r="L1759" s="61" t="e">
        <f>VLOOKUP(K1759,[1]Mapping!$J$3:$Q$351,8,FALSE)</f>
        <v>#N/A</v>
      </c>
      <c r="M1759" t="s">
        <v>83</v>
      </c>
    </row>
    <row r="1760" spans="5:13" hidden="1" x14ac:dyDescent="0.35">
      <c r="E1760" s="81"/>
      <c r="I1760" s="83" t="e">
        <f>VLOOKUP(E1760,[1]Mapping!$A$3:$B$14,2,FALSE)</f>
        <v>#N/A</v>
      </c>
      <c r="J1760" s="84">
        <f t="shared" si="56"/>
        <v>0</v>
      </c>
      <c r="K1760" s="84">
        <f t="shared" si="57"/>
        <v>0</v>
      </c>
      <c r="L1760" s="61" t="e">
        <f>VLOOKUP(K1760,[1]Mapping!$J$3:$Q$351,8,FALSE)</f>
        <v>#N/A</v>
      </c>
      <c r="M1760" t="s">
        <v>83</v>
      </c>
    </row>
    <row r="1761" spans="5:13" hidden="1" x14ac:dyDescent="0.35">
      <c r="E1761" s="81"/>
      <c r="I1761" s="83" t="e">
        <f>VLOOKUP(E1761,[1]Mapping!$A$3:$B$14,2,FALSE)</f>
        <v>#N/A</v>
      </c>
      <c r="J1761" s="84">
        <f t="shared" si="56"/>
        <v>0</v>
      </c>
      <c r="K1761" s="84">
        <f t="shared" si="57"/>
        <v>0</v>
      </c>
      <c r="L1761" s="61" t="e">
        <f>VLOOKUP(K1761,[1]Mapping!$J$3:$Q$351,8,FALSE)</f>
        <v>#N/A</v>
      </c>
      <c r="M1761" t="s">
        <v>83</v>
      </c>
    </row>
    <row r="1762" spans="5:13" hidden="1" x14ac:dyDescent="0.35">
      <c r="E1762" s="81"/>
      <c r="I1762" s="83" t="e">
        <f>VLOOKUP(E1762,[1]Mapping!$A$3:$B$14,2,FALSE)</f>
        <v>#N/A</v>
      </c>
      <c r="J1762" s="84">
        <f t="shared" si="56"/>
        <v>0</v>
      </c>
      <c r="K1762" s="84">
        <f t="shared" si="57"/>
        <v>0</v>
      </c>
      <c r="L1762" s="61" t="e">
        <f>VLOOKUP(K1762,[1]Mapping!$J$3:$Q$351,8,FALSE)</f>
        <v>#N/A</v>
      </c>
      <c r="M1762" t="s">
        <v>83</v>
      </c>
    </row>
    <row r="1763" spans="5:13" hidden="1" x14ac:dyDescent="0.35">
      <c r="E1763" s="81"/>
      <c r="I1763" s="83" t="e">
        <f>VLOOKUP(E1763,[1]Mapping!$A$3:$B$14,2,FALSE)</f>
        <v>#N/A</v>
      </c>
      <c r="J1763" s="84">
        <f t="shared" si="56"/>
        <v>0</v>
      </c>
      <c r="K1763" s="84">
        <f t="shared" si="57"/>
        <v>0</v>
      </c>
      <c r="L1763" s="61" t="e">
        <f>VLOOKUP(K1763,[1]Mapping!$J$3:$Q$351,8,FALSE)</f>
        <v>#N/A</v>
      </c>
      <c r="M1763" t="s">
        <v>83</v>
      </c>
    </row>
    <row r="1764" spans="5:13" hidden="1" x14ac:dyDescent="0.35">
      <c r="E1764" s="81"/>
      <c r="I1764" s="83" t="e">
        <f>VLOOKUP(E1764,[1]Mapping!$A$3:$B$14,2,FALSE)</f>
        <v>#N/A</v>
      </c>
      <c r="J1764" s="84">
        <f t="shared" si="56"/>
        <v>0</v>
      </c>
      <c r="K1764" s="84">
        <f t="shared" si="57"/>
        <v>0</v>
      </c>
      <c r="L1764" s="61" t="e">
        <f>VLOOKUP(K1764,[1]Mapping!$J$3:$Q$351,8,FALSE)</f>
        <v>#N/A</v>
      </c>
      <c r="M1764" t="s">
        <v>83</v>
      </c>
    </row>
    <row r="1765" spans="5:13" hidden="1" x14ac:dyDescent="0.35">
      <c r="E1765" s="81"/>
      <c r="I1765" s="83" t="e">
        <f>VLOOKUP(E1765,[1]Mapping!$A$3:$B$14,2,FALSE)</f>
        <v>#N/A</v>
      </c>
      <c r="J1765" s="84">
        <f t="shared" si="56"/>
        <v>0</v>
      </c>
      <c r="K1765" s="84">
        <f t="shared" si="57"/>
        <v>0</v>
      </c>
      <c r="L1765" s="61" t="e">
        <f>VLOOKUP(K1765,[1]Mapping!$J$3:$Q$351,8,FALSE)</f>
        <v>#N/A</v>
      </c>
      <c r="M1765" t="s">
        <v>83</v>
      </c>
    </row>
    <row r="1766" spans="5:13" hidden="1" x14ac:dyDescent="0.35">
      <c r="E1766" s="81"/>
      <c r="I1766" s="83" t="e">
        <f>VLOOKUP(E1766,[1]Mapping!$A$3:$B$14,2,FALSE)</f>
        <v>#N/A</v>
      </c>
      <c r="J1766" s="84">
        <f t="shared" si="56"/>
        <v>0</v>
      </c>
      <c r="K1766" s="84">
        <f t="shared" si="57"/>
        <v>0</v>
      </c>
      <c r="L1766" s="61" t="e">
        <f>VLOOKUP(K1766,[1]Mapping!$J$3:$Q$351,8,FALSE)</f>
        <v>#N/A</v>
      </c>
      <c r="M1766" t="s">
        <v>83</v>
      </c>
    </row>
    <row r="1767" spans="5:13" hidden="1" x14ac:dyDescent="0.35">
      <c r="E1767" s="81"/>
      <c r="I1767" s="83" t="e">
        <f>VLOOKUP(E1767,[1]Mapping!$A$3:$B$14,2,FALSE)</f>
        <v>#N/A</v>
      </c>
      <c r="J1767" s="84">
        <f t="shared" si="56"/>
        <v>0</v>
      </c>
      <c r="K1767" s="84">
        <f t="shared" si="57"/>
        <v>0</v>
      </c>
      <c r="L1767" s="61" t="e">
        <f>VLOOKUP(K1767,[1]Mapping!$J$3:$Q$351,8,FALSE)</f>
        <v>#N/A</v>
      </c>
      <c r="M1767" t="s">
        <v>83</v>
      </c>
    </row>
    <row r="1768" spans="5:13" hidden="1" x14ac:dyDescent="0.35">
      <c r="E1768" s="81"/>
      <c r="I1768" s="83" t="e">
        <f>VLOOKUP(E1768,[1]Mapping!$A$3:$B$14,2,FALSE)</f>
        <v>#N/A</v>
      </c>
      <c r="J1768" s="84">
        <f t="shared" si="56"/>
        <v>0</v>
      </c>
      <c r="K1768" s="84">
        <f t="shared" si="57"/>
        <v>0</v>
      </c>
      <c r="L1768" s="61" t="e">
        <f>VLOOKUP(K1768,[1]Mapping!$J$3:$Q$351,8,FALSE)</f>
        <v>#N/A</v>
      </c>
      <c r="M1768" t="s">
        <v>83</v>
      </c>
    </row>
    <row r="1769" spans="5:13" hidden="1" x14ac:dyDescent="0.35">
      <c r="E1769" s="81"/>
      <c r="I1769" s="83" t="e">
        <f>VLOOKUP(E1769,[1]Mapping!$A$3:$B$14,2,FALSE)</f>
        <v>#N/A</v>
      </c>
      <c r="J1769" s="84">
        <f t="shared" si="56"/>
        <v>0</v>
      </c>
      <c r="K1769" s="84">
        <f t="shared" si="57"/>
        <v>0</v>
      </c>
      <c r="L1769" s="61" t="e">
        <f>VLOOKUP(K1769,[1]Mapping!$J$3:$Q$351,8,FALSE)</f>
        <v>#N/A</v>
      </c>
      <c r="M1769" t="s">
        <v>83</v>
      </c>
    </row>
    <row r="1770" spans="5:13" hidden="1" x14ac:dyDescent="0.35">
      <c r="E1770" s="81"/>
      <c r="I1770" s="83" t="e">
        <f>VLOOKUP(E1770,[1]Mapping!$A$3:$B$14,2,FALSE)</f>
        <v>#N/A</v>
      </c>
      <c r="J1770" s="84">
        <f t="shared" si="56"/>
        <v>0</v>
      </c>
      <c r="K1770" s="84">
        <f t="shared" si="57"/>
        <v>0</v>
      </c>
      <c r="L1770" s="61" t="e">
        <f>VLOOKUP(K1770,[1]Mapping!$J$3:$Q$351,8,FALSE)</f>
        <v>#N/A</v>
      </c>
      <c r="M1770" t="s">
        <v>83</v>
      </c>
    </row>
    <row r="1771" spans="5:13" hidden="1" x14ac:dyDescent="0.35">
      <c r="E1771" s="81"/>
      <c r="I1771" s="83" t="e">
        <f>VLOOKUP(E1771,[1]Mapping!$A$3:$B$14,2,FALSE)</f>
        <v>#N/A</v>
      </c>
      <c r="J1771" s="84">
        <f t="shared" si="56"/>
        <v>0</v>
      </c>
      <c r="K1771" s="84">
        <f t="shared" si="57"/>
        <v>0</v>
      </c>
      <c r="L1771" s="61" t="e">
        <f>VLOOKUP(K1771,[1]Mapping!$J$3:$Q$351,8,FALSE)</f>
        <v>#N/A</v>
      </c>
      <c r="M1771" t="s">
        <v>83</v>
      </c>
    </row>
    <row r="1772" spans="5:13" hidden="1" x14ac:dyDescent="0.35">
      <c r="E1772" s="81"/>
      <c r="I1772" s="83" t="e">
        <f>VLOOKUP(E1772,[1]Mapping!$A$3:$B$14,2,FALSE)</f>
        <v>#N/A</v>
      </c>
      <c r="J1772" s="84">
        <f t="shared" si="56"/>
        <v>0</v>
      </c>
      <c r="K1772" s="84">
        <f t="shared" si="57"/>
        <v>0</v>
      </c>
      <c r="L1772" s="61" t="e">
        <f>VLOOKUP(K1772,[1]Mapping!$J$3:$Q$351,8,FALSE)</f>
        <v>#N/A</v>
      </c>
      <c r="M1772" t="s">
        <v>83</v>
      </c>
    </row>
    <row r="1773" spans="5:13" hidden="1" x14ac:dyDescent="0.35">
      <c r="E1773" s="81"/>
      <c r="I1773" s="83" t="e">
        <f>VLOOKUP(E1773,[1]Mapping!$A$3:$B$14,2,FALSE)</f>
        <v>#N/A</v>
      </c>
      <c r="J1773" s="84">
        <f t="shared" si="56"/>
        <v>0</v>
      </c>
      <c r="K1773" s="84">
        <f t="shared" si="57"/>
        <v>0</v>
      </c>
      <c r="L1773" s="61" t="e">
        <f>VLOOKUP(K1773,[1]Mapping!$J$3:$Q$351,8,FALSE)</f>
        <v>#N/A</v>
      </c>
      <c r="M1773" t="s">
        <v>83</v>
      </c>
    </row>
    <row r="1774" spans="5:13" hidden="1" x14ac:dyDescent="0.35">
      <c r="E1774" s="81"/>
      <c r="I1774" s="83" t="e">
        <f>VLOOKUP(E1774,[1]Mapping!$A$3:$B$14,2,FALSE)</f>
        <v>#N/A</v>
      </c>
      <c r="J1774" s="84">
        <f t="shared" si="56"/>
        <v>0</v>
      </c>
      <c r="K1774" s="84">
        <f t="shared" si="57"/>
        <v>0</v>
      </c>
      <c r="L1774" s="61" t="e">
        <f>VLOOKUP(K1774,[1]Mapping!$J$3:$Q$351,8,FALSE)</f>
        <v>#N/A</v>
      </c>
      <c r="M1774" t="s">
        <v>83</v>
      </c>
    </row>
    <row r="1775" spans="5:13" hidden="1" x14ac:dyDescent="0.35">
      <c r="E1775" s="81"/>
      <c r="I1775" s="83" t="e">
        <f>VLOOKUP(E1775,[1]Mapping!$A$3:$B$14,2,FALSE)</f>
        <v>#N/A</v>
      </c>
      <c r="J1775" s="84">
        <f t="shared" si="56"/>
        <v>0</v>
      </c>
      <c r="K1775" s="84">
        <f t="shared" si="57"/>
        <v>0</v>
      </c>
      <c r="L1775" s="61" t="e">
        <f>VLOOKUP(K1775,[1]Mapping!$J$3:$Q$351,8,FALSE)</f>
        <v>#N/A</v>
      </c>
      <c r="M1775" t="s">
        <v>83</v>
      </c>
    </row>
    <row r="1776" spans="5:13" hidden="1" x14ac:dyDescent="0.35">
      <c r="E1776" s="81"/>
      <c r="I1776" s="83" t="e">
        <f>VLOOKUP(E1776,[1]Mapping!$A$3:$B$14,2,FALSE)</f>
        <v>#N/A</v>
      </c>
      <c r="J1776" s="84">
        <f t="shared" si="56"/>
        <v>0</v>
      </c>
      <c r="K1776" s="84">
        <f t="shared" si="57"/>
        <v>0</v>
      </c>
      <c r="L1776" s="61" t="e">
        <f>VLOOKUP(K1776,[1]Mapping!$J$3:$Q$351,8,FALSE)</f>
        <v>#N/A</v>
      </c>
      <c r="M1776" t="s">
        <v>83</v>
      </c>
    </row>
    <row r="1777" spans="5:13" hidden="1" x14ac:dyDescent="0.35">
      <c r="E1777" s="81"/>
      <c r="I1777" s="83" t="e">
        <f>VLOOKUP(E1777,[1]Mapping!$A$3:$B$14,2,FALSE)</f>
        <v>#N/A</v>
      </c>
      <c r="J1777" s="84">
        <f t="shared" si="56"/>
        <v>0</v>
      </c>
      <c r="K1777" s="84">
        <f t="shared" si="57"/>
        <v>0</v>
      </c>
      <c r="L1777" s="61" t="e">
        <f>VLOOKUP(K1777,[1]Mapping!$J$3:$Q$351,8,FALSE)</f>
        <v>#N/A</v>
      </c>
      <c r="M1777" t="s">
        <v>83</v>
      </c>
    </row>
    <row r="1778" spans="5:13" hidden="1" x14ac:dyDescent="0.35">
      <c r="E1778" s="81"/>
      <c r="I1778" s="83" t="e">
        <f>VLOOKUP(E1778,[1]Mapping!$A$3:$B$14,2,FALSE)</f>
        <v>#N/A</v>
      </c>
      <c r="J1778" s="84">
        <f t="shared" si="56"/>
        <v>0</v>
      </c>
      <c r="K1778" s="84">
        <f t="shared" si="57"/>
        <v>0</v>
      </c>
      <c r="L1778" s="61" t="e">
        <f>VLOOKUP(K1778,[1]Mapping!$J$3:$Q$351,8,FALSE)</f>
        <v>#N/A</v>
      </c>
      <c r="M1778" t="s">
        <v>83</v>
      </c>
    </row>
    <row r="1779" spans="5:13" hidden="1" x14ac:dyDescent="0.35">
      <c r="E1779" s="81"/>
      <c r="I1779" s="83" t="e">
        <f>VLOOKUP(E1779,[1]Mapping!$A$3:$B$14,2,FALSE)</f>
        <v>#N/A</v>
      </c>
      <c r="J1779" s="84">
        <f t="shared" si="56"/>
        <v>0</v>
      </c>
      <c r="K1779" s="84">
        <f t="shared" si="57"/>
        <v>0</v>
      </c>
      <c r="L1779" s="61" t="e">
        <f>VLOOKUP(K1779,[1]Mapping!$J$3:$Q$351,8,FALSE)</f>
        <v>#N/A</v>
      </c>
      <c r="M1779" t="s">
        <v>83</v>
      </c>
    </row>
    <row r="1780" spans="5:13" hidden="1" x14ac:dyDescent="0.35">
      <c r="E1780" s="81"/>
      <c r="I1780" s="83" t="e">
        <f>VLOOKUP(E1780,[1]Mapping!$A$3:$B$14,2,FALSE)</f>
        <v>#N/A</v>
      </c>
      <c r="J1780" s="84">
        <f t="shared" si="56"/>
        <v>0</v>
      </c>
      <c r="K1780" s="84">
        <f t="shared" si="57"/>
        <v>0</v>
      </c>
      <c r="L1780" s="61" t="e">
        <f>VLOOKUP(K1780,[1]Mapping!$J$3:$Q$351,8,FALSE)</f>
        <v>#N/A</v>
      </c>
      <c r="M1780" t="s">
        <v>83</v>
      </c>
    </row>
    <row r="1781" spans="5:13" hidden="1" x14ac:dyDescent="0.35">
      <c r="E1781" s="81"/>
      <c r="I1781" s="83" t="e">
        <f>VLOOKUP(E1781,[1]Mapping!$A$3:$B$14,2,FALSE)</f>
        <v>#N/A</v>
      </c>
      <c r="J1781" s="84">
        <f t="shared" si="56"/>
        <v>0</v>
      </c>
      <c r="K1781" s="84">
        <f t="shared" si="57"/>
        <v>0</v>
      </c>
      <c r="L1781" s="61" t="e">
        <f>VLOOKUP(K1781,[1]Mapping!$J$3:$Q$351,8,FALSE)</f>
        <v>#N/A</v>
      </c>
      <c r="M1781" t="s">
        <v>83</v>
      </c>
    </row>
    <row r="1782" spans="5:13" hidden="1" x14ac:dyDescent="0.35">
      <c r="E1782" s="81"/>
      <c r="I1782" s="83" t="e">
        <f>VLOOKUP(E1782,[1]Mapping!$A$3:$B$14,2,FALSE)</f>
        <v>#N/A</v>
      </c>
      <c r="J1782" s="84">
        <f t="shared" si="56"/>
        <v>0</v>
      </c>
      <c r="K1782" s="84">
        <f t="shared" si="57"/>
        <v>0</v>
      </c>
      <c r="L1782" s="61" t="e">
        <f>VLOOKUP(K1782,[1]Mapping!$J$3:$Q$351,8,FALSE)</f>
        <v>#N/A</v>
      </c>
      <c r="M1782" t="s">
        <v>83</v>
      </c>
    </row>
    <row r="1783" spans="5:13" hidden="1" x14ac:dyDescent="0.35">
      <c r="E1783" s="81"/>
      <c r="I1783" s="83" t="e">
        <f>VLOOKUP(E1783,[1]Mapping!$A$3:$B$14,2,FALSE)</f>
        <v>#N/A</v>
      </c>
      <c r="J1783" s="84">
        <f t="shared" si="56"/>
        <v>0</v>
      </c>
      <c r="K1783" s="84">
        <f t="shared" si="57"/>
        <v>0</v>
      </c>
      <c r="L1783" s="61" t="e">
        <f>VLOOKUP(K1783,[1]Mapping!$J$3:$Q$351,8,FALSE)</f>
        <v>#N/A</v>
      </c>
      <c r="M1783" t="s">
        <v>83</v>
      </c>
    </row>
    <row r="1784" spans="5:13" hidden="1" x14ac:dyDescent="0.35">
      <c r="E1784" s="81"/>
      <c r="I1784" s="83" t="e">
        <f>VLOOKUP(E1784,[1]Mapping!$A$3:$B$14,2,FALSE)</f>
        <v>#N/A</v>
      </c>
      <c r="J1784" s="84">
        <f t="shared" si="56"/>
        <v>0</v>
      </c>
      <c r="K1784" s="84">
        <f t="shared" si="57"/>
        <v>0</v>
      </c>
      <c r="L1784" s="61" t="e">
        <f>VLOOKUP(K1784,[1]Mapping!$J$3:$Q$351,8,FALSE)</f>
        <v>#N/A</v>
      </c>
      <c r="M1784" t="s">
        <v>83</v>
      </c>
    </row>
    <row r="1785" spans="5:13" hidden="1" x14ac:dyDescent="0.35">
      <c r="E1785" s="81"/>
      <c r="I1785" s="83" t="e">
        <f>VLOOKUP(E1785,[1]Mapping!$A$3:$B$14,2,FALSE)</f>
        <v>#N/A</v>
      </c>
      <c r="J1785" s="84">
        <f t="shared" si="56"/>
        <v>0</v>
      </c>
      <c r="K1785" s="84">
        <f t="shared" si="57"/>
        <v>0</v>
      </c>
      <c r="L1785" s="61" t="e">
        <f>VLOOKUP(K1785,[1]Mapping!$J$3:$Q$351,8,FALSE)</f>
        <v>#N/A</v>
      </c>
      <c r="M1785" t="s">
        <v>83</v>
      </c>
    </row>
    <row r="1786" spans="5:13" hidden="1" x14ac:dyDescent="0.35">
      <c r="E1786" s="81"/>
      <c r="I1786" s="83" t="e">
        <f>VLOOKUP(E1786,[1]Mapping!$A$3:$B$14,2,FALSE)</f>
        <v>#N/A</v>
      </c>
      <c r="J1786" s="84">
        <f t="shared" si="56"/>
        <v>0</v>
      </c>
      <c r="K1786" s="84">
        <f t="shared" si="57"/>
        <v>0</v>
      </c>
      <c r="L1786" s="61" t="e">
        <f>VLOOKUP(K1786,[1]Mapping!$J$3:$Q$351,8,FALSE)</f>
        <v>#N/A</v>
      </c>
      <c r="M1786" t="s">
        <v>83</v>
      </c>
    </row>
    <row r="1787" spans="5:13" hidden="1" x14ac:dyDescent="0.35">
      <c r="E1787" s="81"/>
      <c r="I1787" s="83" t="e">
        <f>VLOOKUP(E1787,[1]Mapping!$A$3:$B$14,2,FALSE)</f>
        <v>#N/A</v>
      </c>
      <c r="J1787" s="84">
        <f t="shared" si="56"/>
        <v>0</v>
      </c>
      <c r="K1787" s="84">
        <f t="shared" si="57"/>
        <v>0</v>
      </c>
      <c r="L1787" s="61" t="e">
        <f>VLOOKUP(K1787,[1]Mapping!$J$3:$Q$351,8,FALSE)</f>
        <v>#N/A</v>
      </c>
      <c r="M1787" t="s">
        <v>83</v>
      </c>
    </row>
    <row r="1788" spans="5:13" hidden="1" x14ac:dyDescent="0.35">
      <c r="E1788" s="81"/>
      <c r="I1788" s="83" t="e">
        <f>VLOOKUP(E1788,[1]Mapping!$A$3:$B$14,2,FALSE)</f>
        <v>#N/A</v>
      </c>
      <c r="J1788" s="84">
        <f t="shared" si="56"/>
        <v>0</v>
      </c>
      <c r="K1788" s="84">
        <f t="shared" si="57"/>
        <v>0</v>
      </c>
      <c r="L1788" s="61" t="e">
        <f>VLOOKUP(K1788,[1]Mapping!$J$3:$Q$351,8,FALSE)</f>
        <v>#N/A</v>
      </c>
      <c r="M1788" t="s">
        <v>83</v>
      </c>
    </row>
    <row r="1789" spans="5:13" hidden="1" x14ac:dyDescent="0.35">
      <c r="E1789" s="81"/>
      <c r="I1789" s="83" t="e">
        <f>VLOOKUP(E1789,[1]Mapping!$A$3:$B$14,2,FALSE)</f>
        <v>#N/A</v>
      </c>
      <c r="J1789" s="84">
        <f t="shared" si="56"/>
        <v>0</v>
      </c>
      <c r="K1789" s="84">
        <f t="shared" si="57"/>
        <v>0</v>
      </c>
      <c r="L1789" s="61" t="e">
        <f>VLOOKUP(K1789,[1]Mapping!$J$3:$Q$351,8,FALSE)</f>
        <v>#N/A</v>
      </c>
      <c r="M1789" t="s">
        <v>83</v>
      </c>
    </row>
    <row r="1790" spans="5:13" hidden="1" x14ac:dyDescent="0.35">
      <c r="E1790" s="81"/>
      <c r="I1790" s="83" t="e">
        <f>VLOOKUP(E1790,[1]Mapping!$A$3:$B$14,2,FALSE)</f>
        <v>#N/A</v>
      </c>
      <c r="J1790" s="84">
        <f t="shared" si="56"/>
        <v>0</v>
      </c>
      <c r="K1790" s="84">
        <f t="shared" si="57"/>
        <v>0</v>
      </c>
      <c r="L1790" s="61" t="e">
        <f>VLOOKUP(K1790,[1]Mapping!$J$3:$Q$351,8,FALSE)</f>
        <v>#N/A</v>
      </c>
      <c r="M1790" t="s">
        <v>83</v>
      </c>
    </row>
    <row r="1791" spans="5:13" hidden="1" x14ac:dyDescent="0.35">
      <c r="E1791" s="81"/>
      <c r="I1791" s="83" t="e">
        <f>VLOOKUP(E1791,[1]Mapping!$A$3:$B$14,2,FALSE)</f>
        <v>#N/A</v>
      </c>
      <c r="J1791" s="84">
        <f t="shared" si="56"/>
        <v>0</v>
      </c>
      <c r="K1791" s="84">
        <f t="shared" si="57"/>
        <v>0</v>
      </c>
      <c r="L1791" s="61" t="e">
        <f>VLOOKUP(K1791,[1]Mapping!$J$3:$Q$351,8,FALSE)</f>
        <v>#N/A</v>
      </c>
      <c r="M1791" t="s">
        <v>83</v>
      </c>
    </row>
    <row r="1792" spans="5:13" hidden="1" x14ac:dyDescent="0.35">
      <c r="E1792" s="81"/>
      <c r="I1792" s="83" t="e">
        <f>VLOOKUP(E1792,[1]Mapping!$A$3:$B$14,2,FALSE)</f>
        <v>#N/A</v>
      </c>
      <c r="J1792" s="84">
        <f t="shared" si="56"/>
        <v>0</v>
      </c>
      <c r="K1792" s="84">
        <f t="shared" si="57"/>
        <v>0</v>
      </c>
      <c r="L1792" s="61" t="e">
        <f>VLOOKUP(K1792,[1]Mapping!$J$3:$Q$351,8,FALSE)</f>
        <v>#N/A</v>
      </c>
      <c r="M1792" t="s">
        <v>83</v>
      </c>
    </row>
    <row r="1793" spans="5:13" hidden="1" x14ac:dyDescent="0.35">
      <c r="E1793" s="81"/>
      <c r="I1793" s="83" t="e">
        <f>VLOOKUP(E1793,[1]Mapping!$A$3:$B$14,2,FALSE)</f>
        <v>#N/A</v>
      </c>
      <c r="J1793" s="84">
        <f t="shared" si="56"/>
        <v>0</v>
      </c>
      <c r="K1793" s="84">
        <f t="shared" si="57"/>
        <v>0</v>
      </c>
      <c r="L1793" s="61" t="e">
        <f>VLOOKUP(K1793,[1]Mapping!$J$3:$Q$351,8,FALSE)</f>
        <v>#N/A</v>
      </c>
      <c r="M1793" t="s">
        <v>83</v>
      </c>
    </row>
    <row r="1794" spans="5:13" hidden="1" x14ac:dyDescent="0.35">
      <c r="E1794" s="81"/>
      <c r="I1794" s="83" t="e">
        <f>VLOOKUP(E1794,[1]Mapping!$A$3:$B$14,2,FALSE)</f>
        <v>#N/A</v>
      </c>
      <c r="J1794" s="84">
        <f t="shared" si="56"/>
        <v>0</v>
      </c>
      <c r="K1794" s="84">
        <f t="shared" si="57"/>
        <v>0</v>
      </c>
      <c r="L1794" s="61" t="e">
        <f>VLOOKUP(K1794,[1]Mapping!$J$3:$Q$351,8,FALSE)</f>
        <v>#N/A</v>
      </c>
      <c r="M1794" t="s">
        <v>83</v>
      </c>
    </row>
    <row r="1795" spans="5:13" hidden="1" x14ac:dyDescent="0.35">
      <c r="E1795" s="81"/>
      <c r="I1795" s="83" t="e">
        <f>VLOOKUP(E1795,[1]Mapping!$A$3:$B$14,2,FALSE)</f>
        <v>#N/A</v>
      </c>
      <c r="J1795" s="84">
        <f t="shared" si="56"/>
        <v>0</v>
      </c>
      <c r="K1795" s="84">
        <f t="shared" si="57"/>
        <v>0</v>
      </c>
      <c r="L1795" s="61" t="e">
        <f>VLOOKUP(K1795,[1]Mapping!$J$3:$Q$351,8,FALSE)</f>
        <v>#N/A</v>
      </c>
      <c r="M1795" t="s">
        <v>83</v>
      </c>
    </row>
    <row r="1796" spans="5:13" hidden="1" x14ac:dyDescent="0.35">
      <c r="E1796" s="81"/>
      <c r="I1796" s="83" t="e">
        <f>VLOOKUP(E1796,[1]Mapping!$A$3:$B$14,2,FALSE)</f>
        <v>#N/A</v>
      </c>
      <c r="J1796" s="84">
        <f t="shared" ref="J1796:J1859" si="58">VALUE(A1796)</f>
        <v>0</v>
      </c>
      <c r="K1796" s="84">
        <f t="shared" ref="K1796:K1859" si="59">VALUE(C1796)</f>
        <v>0</v>
      </c>
      <c r="L1796" s="61" t="e">
        <f>VLOOKUP(K1796,[1]Mapping!$J$3:$Q$351,8,FALSE)</f>
        <v>#N/A</v>
      </c>
      <c r="M1796" t="s">
        <v>83</v>
      </c>
    </row>
    <row r="1797" spans="5:13" hidden="1" x14ac:dyDescent="0.35">
      <c r="E1797" s="81"/>
      <c r="I1797" s="83" t="e">
        <f>VLOOKUP(E1797,[1]Mapping!$A$3:$B$14,2,FALSE)</f>
        <v>#N/A</v>
      </c>
      <c r="J1797" s="84">
        <f t="shared" si="58"/>
        <v>0</v>
      </c>
      <c r="K1797" s="84">
        <f t="shared" si="59"/>
        <v>0</v>
      </c>
      <c r="L1797" s="61" t="e">
        <f>VLOOKUP(K1797,[1]Mapping!$J$3:$Q$351,8,FALSE)</f>
        <v>#N/A</v>
      </c>
      <c r="M1797" t="s">
        <v>83</v>
      </c>
    </row>
    <row r="1798" spans="5:13" hidden="1" x14ac:dyDescent="0.35">
      <c r="E1798" s="81"/>
      <c r="I1798" s="83" t="e">
        <f>VLOOKUP(E1798,[1]Mapping!$A$3:$B$14,2,FALSE)</f>
        <v>#N/A</v>
      </c>
      <c r="J1798" s="84">
        <f t="shared" si="58"/>
        <v>0</v>
      </c>
      <c r="K1798" s="84">
        <f t="shared" si="59"/>
        <v>0</v>
      </c>
      <c r="L1798" s="61" t="e">
        <f>VLOOKUP(K1798,[1]Mapping!$J$3:$Q$351,8,FALSE)</f>
        <v>#N/A</v>
      </c>
      <c r="M1798" t="s">
        <v>83</v>
      </c>
    </row>
    <row r="1799" spans="5:13" hidden="1" x14ac:dyDescent="0.35">
      <c r="E1799" s="81"/>
      <c r="I1799" s="83" t="e">
        <f>VLOOKUP(E1799,[1]Mapping!$A$3:$B$14,2,FALSE)</f>
        <v>#N/A</v>
      </c>
      <c r="J1799" s="84">
        <f t="shared" si="58"/>
        <v>0</v>
      </c>
      <c r="K1799" s="84">
        <f t="shared" si="59"/>
        <v>0</v>
      </c>
      <c r="L1799" s="61" t="e">
        <f>VLOOKUP(K1799,[1]Mapping!$J$3:$Q$351,8,FALSE)</f>
        <v>#N/A</v>
      </c>
      <c r="M1799" t="s">
        <v>83</v>
      </c>
    </row>
    <row r="1800" spans="5:13" hidden="1" x14ac:dyDescent="0.35">
      <c r="E1800" s="81"/>
      <c r="I1800" s="83" t="e">
        <f>VLOOKUP(E1800,[1]Mapping!$A$3:$B$14,2,FALSE)</f>
        <v>#N/A</v>
      </c>
      <c r="J1800" s="84">
        <f t="shared" si="58"/>
        <v>0</v>
      </c>
      <c r="K1800" s="84">
        <f t="shared" si="59"/>
        <v>0</v>
      </c>
      <c r="L1800" s="61" t="e">
        <f>VLOOKUP(K1800,[1]Mapping!$J$3:$Q$351,8,FALSE)</f>
        <v>#N/A</v>
      </c>
      <c r="M1800" t="s">
        <v>83</v>
      </c>
    </row>
    <row r="1801" spans="5:13" hidden="1" x14ac:dyDescent="0.35">
      <c r="E1801" s="81"/>
      <c r="I1801" s="83" t="e">
        <f>VLOOKUP(E1801,[1]Mapping!$A$3:$B$14,2,FALSE)</f>
        <v>#N/A</v>
      </c>
      <c r="J1801" s="84">
        <f t="shared" si="58"/>
        <v>0</v>
      </c>
      <c r="K1801" s="84">
        <f t="shared" si="59"/>
        <v>0</v>
      </c>
      <c r="L1801" s="61" t="e">
        <f>VLOOKUP(K1801,[1]Mapping!$J$3:$Q$351,8,FALSE)</f>
        <v>#N/A</v>
      </c>
      <c r="M1801" t="s">
        <v>83</v>
      </c>
    </row>
    <row r="1802" spans="5:13" hidden="1" x14ac:dyDescent="0.35">
      <c r="E1802" s="81"/>
      <c r="I1802" s="83" t="e">
        <f>VLOOKUP(E1802,[1]Mapping!$A$3:$B$14,2,FALSE)</f>
        <v>#N/A</v>
      </c>
      <c r="J1802" s="84">
        <f t="shared" si="58"/>
        <v>0</v>
      </c>
      <c r="K1802" s="84">
        <f t="shared" si="59"/>
        <v>0</v>
      </c>
      <c r="L1802" s="61" t="e">
        <f>VLOOKUP(K1802,[1]Mapping!$J$3:$Q$351,8,FALSE)</f>
        <v>#N/A</v>
      </c>
      <c r="M1802" t="s">
        <v>83</v>
      </c>
    </row>
    <row r="1803" spans="5:13" hidden="1" x14ac:dyDescent="0.35">
      <c r="E1803" s="81"/>
      <c r="I1803" s="83" t="e">
        <f>VLOOKUP(E1803,[1]Mapping!$A$3:$B$14,2,FALSE)</f>
        <v>#N/A</v>
      </c>
      <c r="J1803" s="84">
        <f t="shared" si="58"/>
        <v>0</v>
      </c>
      <c r="K1803" s="84">
        <f t="shared" si="59"/>
        <v>0</v>
      </c>
      <c r="L1803" s="61" t="e">
        <f>VLOOKUP(K1803,[1]Mapping!$J$3:$Q$351,8,FALSE)</f>
        <v>#N/A</v>
      </c>
      <c r="M1803" t="s">
        <v>83</v>
      </c>
    </row>
    <row r="1804" spans="5:13" hidden="1" x14ac:dyDescent="0.35">
      <c r="E1804" s="81"/>
      <c r="I1804" s="83" t="e">
        <f>VLOOKUP(E1804,[1]Mapping!$A$3:$B$14,2,FALSE)</f>
        <v>#N/A</v>
      </c>
      <c r="J1804" s="84">
        <f t="shared" si="58"/>
        <v>0</v>
      </c>
      <c r="K1804" s="84">
        <f t="shared" si="59"/>
        <v>0</v>
      </c>
      <c r="L1804" s="61" t="e">
        <f>VLOOKUP(K1804,[1]Mapping!$J$3:$Q$351,8,FALSE)</f>
        <v>#N/A</v>
      </c>
      <c r="M1804" t="s">
        <v>83</v>
      </c>
    </row>
    <row r="1805" spans="5:13" hidden="1" x14ac:dyDescent="0.35">
      <c r="E1805" s="81"/>
      <c r="I1805" s="83" t="e">
        <f>VLOOKUP(E1805,[1]Mapping!$A$3:$B$14,2,FALSE)</f>
        <v>#N/A</v>
      </c>
      <c r="J1805" s="84">
        <f t="shared" si="58"/>
        <v>0</v>
      </c>
      <c r="K1805" s="84">
        <f t="shared" si="59"/>
        <v>0</v>
      </c>
      <c r="L1805" s="61" t="e">
        <f>VLOOKUP(K1805,[1]Mapping!$J$3:$Q$351,8,FALSE)</f>
        <v>#N/A</v>
      </c>
      <c r="M1805" t="s">
        <v>83</v>
      </c>
    </row>
    <row r="1806" spans="5:13" hidden="1" x14ac:dyDescent="0.35">
      <c r="E1806" s="81"/>
      <c r="I1806" s="83" t="e">
        <f>VLOOKUP(E1806,[1]Mapping!$A$3:$B$14,2,FALSE)</f>
        <v>#N/A</v>
      </c>
      <c r="J1806" s="84">
        <f t="shared" si="58"/>
        <v>0</v>
      </c>
      <c r="K1806" s="84">
        <f t="shared" si="59"/>
        <v>0</v>
      </c>
      <c r="L1806" s="61" t="e">
        <f>VLOOKUP(K1806,[1]Mapping!$J$3:$Q$351,8,FALSE)</f>
        <v>#N/A</v>
      </c>
      <c r="M1806" t="s">
        <v>83</v>
      </c>
    </row>
    <row r="1807" spans="5:13" hidden="1" x14ac:dyDescent="0.35">
      <c r="E1807" s="81"/>
      <c r="I1807" s="83" t="e">
        <f>VLOOKUP(E1807,[1]Mapping!$A$3:$B$14,2,FALSE)</f>
        <v>#N/A</v>
      </c>
      <c r="J1807" s="84">
        <f t="shared" si="58"/>
        <v>0</v>
      </c>
      <c r="K1807" s="84">
        <f t="shared" si="59"/>
        <v>0</v>
      </c>
      <c r="L1807" s="61" t="e">
        <f>VLOOKUP(K1807,[1]Mapping!$J$3:$Q$351,8,FALSE)</f>
        <v>#N/A</v>
      </c>
      <c r="M1807" t="s">
        <v>83</v>
      </c>
    </row>
    <row r="1808" spans="5:13" hidden="1" x14ac:dyDescent="0.35">
      <c r="E1808" s="81"/>
      <c r="I1808" s="83" t="e">
        <f>VLOOKUP(E1808,[1]Mapping!$A$3:$B$14,2,FALSE)</f>
        <v>#N/A</v>
      </c>
      <c r="J1808" s="84">
        <f t="shared" si="58"/>
        <v>0</v>
      </c>
      <c r="K1808" s="84">
        <f t="shared" si="59"/>
        <v>0</v>
      </c>
      <c r="L1808" s="61" t="e">
        <f>VLOOKUP(K1808,[1]Mapping!$J$3:$Q$351,8,FALSE)</f>
        <v>#N/A</v>
      </c>
      <c r="M1808" t="s">
        <v>83</v>
      </c>
    </row>
    <row r="1809" spans="5:13" hidden="1" x14ac:dyDescent="0.35">
      <c r="E1809" s="81"/>
      <c r="I1809" s="83" t="e">
        <f>VLOOKUP(E1809,[1]Mapping!$A$3:$B$14,2,FALSE)</f>
        <v>#N/A</v>
      </c>
      <c r="J1809" s="84">
        <f t="shared" si="58"/>
        <v>0</v>
      </c>
      <c r="K1809" s="84">
        <f t="shared" si="59"/>
        <v>0</v>
      </c>
      <c r="L1809" s="61" t="e">
        <f>VLOOKUP(K1809,[1]Mapping!$J$3:$Q$351,8,FALSE)</f>
        <v>#N/A</v>
      </c>
      <c r="M1809" t="s">
        <v>83</v>
      </c>
    </row>
    <row r="1810" spans="5:13" hidden="1" x14ac:dyDescent="0.35">
      <c r="E1810" s="81"/>
      <c r="I1810" s="83" t="e">
        <f>VLOOKUP(E1810,[1]Mapping!$A$3:$B$14,2,FALSE)</f>
        <v>#N/A</v>
      </c>
      <c r="J1810" s="84">
        <f t="shared" si="58"/>
        <v>0</v>
      </c>
      <c r="K1810" s="84">
        <f t="shared" si="59"/>
        <v>0</v>
      </c>
      <c r="L1810" s="61" t="e">
        <f>VLOOKUP(K1810,[1]Mapping!$J$3:$Q$351,8,FALSE)</f>
        <v>#N/A</v>
      </c>
      <c r="M1810" t="s">
        <v>83</v>
      </c>
    </row>
    <row r="1811" spans="5:13" hidden="1" x14ac:dyDescent="0.35">
      <c r="E1811" s="81"/>
      <c r="I1811" s="83" t="e">
        <f>VLOOKUP(E1811,[1]Mapping!$A$3:$B$14,2,FALSE)</f>
        <v>#N/A</v>
      </c>
      <c r="J1811" s="84">
        <f t="shared" si="58"/>
        <v>0</v>
      </c>
      <c r="K1811" s="84">
        <f t="shared" si="59"/>
        <v>0</v>
      </c>
      <c r="L1811" s="61" t="e">
        <f>VLOOKUP(K1811,[1]Mapping!$J$3:$Q$351,8,FALSE)</f>
        <v>#N/A</v>
      </c>
      <c r="M1811" t="s">
        <v>83</v>
      </c>
    </row>
    <row r="1812" spans="5:13" hidden="1" x14ac:dyDescent="0.35">
      <c r="E1812" s="81"/>
      <c r="I1812" s="83" t="e">
        <f>VLOOKUP(E1812,[1]Mapping!$A$3:$B$14,2,FALSE)</f>
        <v>#N/A</v>
      </c>
      <c r="J1812" s="84">
        <f t="shared" si="58"/>
        <v>0</v>
      </c>
      <c r="K1812" s="84">
        <f t="shared" si="59"/>
        <v>0</v>
      </c>
      <c r="L1812" s="61" t="e">
        <f>VLOOKUP(K1812,[1]Mapping!$J$3:$Q$351,8,FALSE)</f>
        <v>#N/A</v>
      </c>
      <c r="M1812" t="s">
        <v>83</v>
      </c>
    </row>
    <row r="1813" spans="5:13" hidden="1" x14ac:dyDescent="0.35">
      <c r="E1813" s="81"/>
      <c r="I1813" s="83" t="e">
        <f>VLOOKUP(E1813,[1]Mapping!$A$3:$B$14,2,FALSE)</f>
        <v>#N/A</v>
      </c>
      <c r="J1813" s="84">
        <f t="shared" si="58"/>
        <v>0</v>
      </c>
      <c r="K1813" s="84">
        <f t="shared" si="59"/>
        <v>0</v>
      </c>
      <c r="L1813" s="61" t="e">
        <f>VLOOKUP(K1813,[1]Mapping!$J$3:$Q$351,8,FALSE)</f>
        <v>#N/A</v>
      </c>
      <c r="M1813" t="s">
        <v>83</v>
      </c>
    </row>
    <row r="1814" spans="5:13" hidden="1" x14ac:dyDescent="0.35">
      <c r="E1814" s="81"/>
      <c r="I1814" s="83" t="e">
        <f>VLOOKUP(E1814,[1]Mapping!$A$3:$B$14,2,FALSE)</f>
        <v>#N/A</v>
      </c>
      <c r="J1814" s="84">
        <f t="shared" si="58"/>
        <v>0</v>
      </c>
      <c r="K1814" s="84">
        <f t="shared" si="59"/>
        <v>0</v>
      </c>
      <c r="L1814" s="61" t="e">
        <f>VLOOKUP(K1814,[1]Mapping!$J$3:$Q$351,8,FALSE)</f>
        <v>#N/A</v>
      </c>
      <c r="M1814" t="s">
        <v>83</v>
      </c>
    </row>
    <row r="1815" spans="5:13" hidden="1" x14ac:dyDescent="0.35">
      <c r="E1815" s="81"/>
      <c r="I1815" s="83" t="e">
        <f>VLOOKUP(E1815,[1]Mapping!$A$3:$B$14,2,FALSE)</f>
        <v>#N/A</v>
      </c>
      <c r="J1815" s="84">
        <f t="shared" si="58"/>
        <v>0</v>
      </c>
      <c r="K1815" s="84">
        <f t="shared" si="59"/>
        <v>0</v>
      </c>
      <c r="L1815" s="61" t="e">
        <f>VLOOKUP(K1815,[1]Mapping!$J$3:$Q$351,8,FALSE)</f>
        <v>#N/A</v>
      </c>
      <c r="M1815" t="s">
        <v>83</v>
      </c>
    </row>
    <row r="1816" spans="5:13" hidden="1" x14ac:dyDescent="0.35">
      <c r="E1816" s="81"/>
      <c r="I1816" s="83" t="e">
        <f>VLOOKUP(E1816,[1]Mapping!$A$3:$B$14,2,FALSE)</f>
        <v>#N/A</v>
      </c>
      <c r="J1816" s="84">
        <f t="shared" si="58"/>
        <v>0</v>
      </c>
      <c r="K1816" s="84">
        <f t="shared" si="59"/>
        <v>0</v>
      </c>
      <c r="L1816" s="61" t="e">
        <f>VLOOKUP(K1816,[1]Mapping!$J$3:$Q$351,8,FALSE)</f>
        <v>#N/A</v>
      </c>
      <c r="M1816" t="s">
        <v>83</v>
      </c>
    </row>
    <row r="1817" spans="5:13" hidden="1" x14ac:dyDescent="0.35">
      <c r="E1817" s="81"/>
      <c r="I1817" s="83" t="e">
        <f>VLOOKUP(E1817,[1]Mapping!$A$3:$B$14,2,FALSE)</f>
        <v>#N/A</v>
      </c>
      <c r="J1817" s="84">
        <f t="shared" si="58"/>
        <v>0</v>
      </c>
      <c r="K1817" s="84">
        <f t="shared" si="59"/>
        <v>0</v>
      </c>
      <c r="L1817" s="61" t="e">
        <f>VLOOKUP(K1817,[1]Mapping!$J$3:$Q$351,8,FALSE)</f>
        <v>#N/A</v>
      </c>
      <c r="M1817" t="s">
        <v>83</v>
      </c>
    </row>
    <row r="1818" spans="5:13" hidden="1" x14ac:dyDescent="0.35">
      <c r="E1818" s="81"/>
      <c r="I1818" s="83" t="e">
        <f>VLOOKUP(E1818,[1]Mapping!$A$3:$B$14,2,FALSE)</f>
        <v>#N/A</v>
      </c>
      <c r="J1818" s="84">
        <f t="shared" si="58"/>
        <v>0</v>
      </c>
      <c r="K1818" s="84">
        <f t="shared" si="59"/>
        <v>0</v>
      </c>
      <c r="L1818" s="61" t="e">
        <f>VLOOKUP(K1818,[1]Mapping!$J$3:$Q$351,8,FALSE)</f>
        <v>#N/A</v>
      </c>
      <c r="M1818" t="s">
        <v>83</v>
      </c>
    </row>
    <row r="1819" spans="5:13" hidden="1" x14ac:dyDescent="0.35">
      <c r="E1819" s="81"/>
      <c r="I1819" s="83" t="e">
        <f>VLOOKUP(E1819,[1]Mapping!$A$3:$B$14,2,FALSE)</f>
        <v>#N/A</v>
      </c>
      <c r="J1819" s="84">
        <f t="shared" si="58"/>
        <v>0</v>
      </c>
      <c r="K1819" s="84">
        <f t="shared" si="59"/>
        <v>0</v>
      </c>
      <c r="L1819" s="61" t="e">
        <f>VLOOKUP(K1819,[1]Mapping!$J$3:$Q$351,8,FALSE)</f>
        <v>#N/A</v>
      </c>
      <c r="M1819" t="s">
        <v>83</v>
      </c>
    </row>
    <row r="1820" spans="5:13" hidden="1" x14ac:dyDescent="0.35">
      <c r="E1820" s="81"/>
      <c r="I1820" s="83" t="e">
        <f>VLOOKUP(E1820,[1]Mapping!$A$3:$B$14,2,FALSE)</f>
        <v>#N/A</v>
      </c>
      <c r="J1820" s="84">
        <f t="shared" si="58"/>
        <v>0</v>
      </c>
      <c r="K1820" s="84">
        <f t="shared" si="59"/>
        <v>0</v>
      </c>
      <c r="L1820" s="61" t="e">
        <f>VLOOKUP(K1820,[1]Mapping!$J$3:$Q$351,8,FALSE)</f>
        <v>#N/A</v>
      </c>
      <c r="M1820" t="s">
        <v>83</v>
      </c>
    </row>
    <row r="1821" spans="5:13" hidden="1" x14ac:dyDescent="0.35">
      <c r="E1821" s="81"/>
      <c r="I1821" s="83" t="e">
        <f>VLOOKUP(E1821,[1]Mapping!$A$3:$B$14,2,FALSE)</f>
        <v>#N/A</v>
      </c>
      <c r="J1821" s="84">
        <f t="shared" si="58"/>
        <v>0</v>
      </c>
      <c r="K1821" s="84">
        <f t="shared" si="59"/>
        <v>0</v>
      </c>
      <c r="L1821" s="61" t="e">
        <f>VLOOKUP(K1821,[1]Mapping!$J$3:$Q$351,8,FALSE)</f>
        <v>#N/A</v>
      </c>
      <c r="M1821" t="s">
        <v>83</v>
      </c>
    </row>
    <row r="1822" spans="5:13" hidden="1" x14ac:dyDescent="0.35">
      <c r="E1822" s="81"/>
      <c r="I1822" s="83" t="e">
        <f>VLOOKUP(E1822,[1]Mapping!$A$3:$B$14,2,FALSE)</f>
        <v>#N/A</v>
      </c>
      <c r="J1822" s="84">
        <f t="shared" si="58"/>
        <v>0</v>
      </c>
      <c r="K1822" s="84">
        <f t="shared" si="59"/>
        <v>0</v>
      </c>
      <c r="L1822" s="61" t="e">
        <f>VLOOKUP(K1822,[1]Mapping!$J$3:$Q$351,8,FALSE)</f>
        <v>#N/A</v>
      </c>
      <c r="M1822" t="s">
        <v>83</v>
      </c>
    </row>
    <row r="1823" spans="5:13" hidden="1" x14ac:dyDescent="0.35">
      <c r="E1823" s="81"/>
      <c r="I1823" s="83" t="e">
        <f>VLOOKUP(E1823,[1]Mapping!$A$3:$B$14,2,FALSE)</f>
        <v>#N/A</v>
      </c>
      <c r="J1823" s="84">
        <f t="shared" si="58"/>
        <v>0</v>
      </c>
      <c r="K1823" s="84">
        <f t="shared" si="59"/>
        <v>0</v>
      </c>
      <c r="L1823" s="61" t="e">
        <f>VLOOKUP(K1823,[1]Mapping!$J$3:$Q$351,8,FALSE)</f>
        <v>#N/A</v>
      </c>
      <c r="M1823" t="s">
        <v>83</v>
      </c>
    </row>
    <row r="1824" spans="5:13" hidden="1" x14ac:dyDescent="0.35">
      <c r="E1824" s="81"/>
      <c r="I1824" s="83" t="e">
        <f>VLOOKUP(E1824,[1]Mapping!$A$3:$B$14,2,FALSE)</f>
        <v>#N/A</v>
      </c>
      <c r="J1824" s="84">
        <f t="shared" si="58"/>
        <v>0</v>
      </c>
      <c r="K1824" s="84">
        <f t="shared" si="59"/>
        <v>0</v>
      </c>
      <c r="L1824" s="61" t="e">
        <f>VLOOKUP(K1824,[1]Mapping!$J$3:$Q$351,8,FALSE)</f>
        <v>#N/A</v>
      </c>
      <c r="M1824" t="s">
        <v>83</v>
      </c>
    </row>
    <row r="1825" spans="5:13" hidden="1" x14ac:dyDescent="0.35">
      <c r="E1825" s="81"/>
      <c r="I1825" s="83" t="e">
        <f>VLOOKUP(E1825,[1]Mapping!$A$3:$B$14,2,FALSE)</f>
        <v>#N/A</v>
      </c>
      <c r="J1825" s="84">
        <f t="shared" si="58"/>
        <v>0</v>
      </c>
      <c r="K1825" s="84">
        <f t="shared" si="59"/>
        <v>0</v>
      </c>
      <c r="L1825" s="61" t="e">
        <f>VLOOKUP(K1825,[1]Mapping!$J$3:$Q$351,8,FALSE)</f>
        <v>#N/A</v>
      </c>
      <c r="M1825" t="s">
        <v>83</v>
      </c>
    </row>
    <row r="1826" spans="5:13" hidden="1" x14ac:dyDescent="0.35">
      <c r="E1826" s="81"/>
      <c r="I1826" s="83" t="e">
        <f>VLOOKUP(E1826,[1]Mapping!$A$3:$B$14,2,FALSE)</f>
        <v>#N/A</v>
      </c>
      <c r="J1826" s="84">
        <f t="shared" si="58"/>
        <v>0</v>
      </c>
      <c r="K1826" s="84">
        <f t="shared" si="59"/>
        <v>0</v>
      </c>
      <c r="L1826" s="61" t="e">
        <f>VLOOKUP(K1826,[1]Mapping!$J$3:$Q$351,8,FALSE)</f>
        <v>#N/A</v>
      </c>
      <c r="M1826" t="s">
        <v>83</v>
      </c>
    </row>
    <row r="1827" spans="5:13" hidden="1" x14ac:dyDescent="0.35">
      <c r="E1827" s="81"/>
      <c r="I1827" s="83" t="e">
        <f>VLOOKUP(E1827,[1]Mapping!$A$3:$B$14,2,FALSE)</f>
        <v>#N/A</v>
      </c>
      <c r="J1827" s="84">
        <f t="shared" si="58"/>
        <v>0</v>
      </c>
      <c r="K1827" s="84">
        <f t="shared" si="59"/>
        <v>0</v>
      </c>
      <c r="L1827" s="61" t="e">
        <f>VLOOKUP(K1827,[1]Mapping!$J$3:$Q$351,8,FALSE)</f>
        <v>#N/A</v>
      </c>
      <c r="M1827" t="s">
        <v>83</v>
      </c>
    </row>
    <row r="1828" spans="5:13" hidden="1" x14ac:dyDescent="0.35">
      <c r="E1828" s="81"/>
      <c r="I1828" s="83" t="e">
        <f>VLOOKUP(E1828,[1]Mapping!$A$3:$B$14,2,FALSE)</f>
        <v>#N/A</v>
      </c>
      <c r="J1828" s="84">
        <f t="shared" si="58"/>
        <v>0</v>
      </c>
      <c r="K1828" s="84">
        <f t="shared" si="59"/>
        <v>0</v>
      </c>
      <c r="L1828" s="61" t="e">
        <f>VLOOKUP(K1828,[1]Mapping!$J$3:$Q$351,8,FALSE)</f>
        <v>#N/A</v>
      </c>
      <c r="M1828" t="s">
        <v>83</v>
      </c>
    </row>
    <row r="1829" spans="5:13" hidden="1" x14ac:dyDescent="0.35">
      <c r="E1829" s="81"/>
      <c r="I1829" s="83" t="e">
        <f>VLOOKUP(E1829,[1]Mapping!$A$3:$B$14,2,FALSE)</f>
        <v>#N/A</v>
      </c>
      <c r="J1829" s="84">
        <f t="shared" si="58"/>
        <v>0</v>
      </c>
      <c r="K1829" s="84">
        <f t="shared" si="59"/>
        <v>0</v>
      </c>
      <c r="L1829" s="61" t="e">
        <f>VLOOKUP(K1829,[1]Mapping!$J$3:$Q$351,8,FALSE)</f>
        <v>#N/A</v>
      </c>
      <c r="M1829" t="s">
        <v>83</v>
      </c>
    </row>
    <row r="1830" spans="5:13" hidden="1" x14ac:dyDescent="0.35">
      <c r="E1830" s="81"/>
      <c r="I1830" s="83" t="e">
        <f>VLOOKUP(E1830,[1]Mapping!$A$3:$B$14,2,FALSE)</f>
        <v>#N/A</v>
      </c>
      <c r="J1830" s="84">
        <f t="shared" si="58"/>
        <v>0</v>
      </c>
      <c r="K1830" s="84">
        <f t="shared" si="59"/>
        <v>0</v>
      </c>
      <c r="L1830" s="61" t="e">
        <f>VLOOKUP(K1830,[1]Mapping!$J$3:$Q$351,8,FALSE)</f>
        <v>#N/A</v>
      </c>
      <c r="M1830" t="s">
        <v>83</v>
      </c>
    </row>
    <row r="1831" spans="5:13" hidden="1" x14ac:dyDescent="0.35">
      <c r="E1831" s="81"/>
      <c r="I1831" s="83" t="e">
        <f>VLOOKUP(E1831,[1]Mapping!$A$3:$B$14,2,FALSE)</f>
        <v>#N/A</v>
      </c>
      <c r="J1831" s="84">
        <f t="shared" si="58"/>
        <v>0</v>
      </c>
      <c r="K1831" s="84">
        <f t="shared" si="59"/>
        <v>0</v>
      </c>
      <c r="L1831" s="61" t="e">
        <f>VLOOKUP(K1831,[1]Mapping!$J$3:$Q$351,8,FALSE)</f>
        <v>#N/A</v>
      </c>
      <c r="M1831" t="s">
        <v>83</v>
      </c>
    </row>
    <row r="1832" spans="5:13" hidden="1" x14ac:dyDescent="0.35">
      <c r="E1832" s="81"/>
      <c r="I1832" s="83" t="e">
        <f>VLOOKUP(E1832,[1]Mapping!$A$3:$B$14,2,FALSE)</f>
        <v>#N/A</v>
      </c>
      <c r="J1832" s="84">
        <f t="shared" si="58"/>
        <v>0</v>
      </c>
      <c r="K1832" s="84">
        <f t="shared" si="59"/>
        <v>0</v>
      </c>
      <c r="L1832" s="61" t="e">
        <f>VLOOKUP(K1832,[1]Mapping!$J$3:$Q$351,8,FALSE)</f>
        <v>#N/A</v>
      </c>
      <c r="M1832" t="s">
        <v>83</v>
      </c>
    </row>
    <row r="1833" spans="5:13" hidden="1" x14ac:dyDescent="0.35">
      <c r="E1833" s="81"/>
      <c r="I1833" s="83" t="e">
        <f>VLOOKUP(E1833,[1]Mapping!$A$3:$B$14,2,FALSE)</f>
        <v>#N/A</v>
      </c>
      <c r="J1833" s="84">
        <f t="shared" si="58"/>
        <v>0</v>
      </c>
      <c r="K1833" s="84">
        <f t="shared" si="59"/>
        <v>0</v>
      </c>
      <c r="L1833" s="61" t="e">
        <f>VLOOKUP(K1833,[1]Mapping!$J$3:$Q$351,8,FALSE)</f>
        <v>#N/A</v>
      </c>
      <c r="M1833" t="s">
        <v>83</v>
      </c>
    </row>
    <row r="1834" spans="5:13" hidden="1" x14ac:dyDescent="0.35">
      <c r="E1834" s="81"/>
      <c r="I1834" s="83" t="e">
        <f>VLOOKUP(E1834,[1]Mapping!$A$3:$B$14,2,FALSE)</f>
        <v>#N/A</v>
      </c>
      <c r="J1834" s="84">
        <f t="shared" si="58"/>
        <v>0</v>
      </c>
      <c r="K1834" s="84">
        <f t="shared" si="59"/>
        <v>0</v>
      </c>
      <c r="L1834" s="61" t="e">
        <f>VLOOKUP(K1834,[1]Mapping!$J$3:$Q$351,8,FALSE)</f>
        <v>#N/A</v>
      </c>
      <c r="M1834" t="s">
        <v>83</v>
      </c>
    </row>
    <row r="1835" spans="5:13" hidden="1" x14ac:dyDescent="0.35">
      <c r="E1835" s="81"/>
      <c r="I1835" s="83" t="e">
        <f>VLOOKUP(E1835,[1]Mapping!$A$3:$B$14,2,FALSE)</f>
        <v>#N/A</v>
      </c>
      <c r="J1835" s="84">
        <f t="shared" si="58"/>
        <v>0</v>
      </c>
      <c r="K1835" s="84">
        <f t="shared" si="59"/>
        <v>0</v>
      </c>
      <c r="L1835" s="61" t="e">
        <f>VLOOKUP(K1835,[1]Mapping!$J$3:$Q$351,8,FALSE)</f>
        <v>#N/A</v>
      </c>
      <c r="M1835" t="s">
        <v>83</v>
      </c>
    </row>
    <row r="1836" spans="5:13" hidden="1" x14ac:dyDescent="0.35">
      <c r="E1836" s="81"/>
      <c r="I1836" s="83" t="e">
        <f>VLOOKUP(E1836,[1]Mapping!$A$3:$B$14,2,FALSE)</f>
        <v>#N/A</v>
      </c>
      <c r="J1836" s="84">
        <f t="shared" si="58"/>
        <v>0</v>
      </c>
      <c r="K1836" s="84">
        <f t="shared" si="59"/>
        <v>0</v>
      </c>
      <c r="L1836" s="61" t="e">
        <f>VLOOKUP(K1836,[1]Mapping!$J$3:$Q$351,8,FALSE)</f>
        <v>#N/A</v>
      </c>
      <c r="M1836" t="s">
        <v>83</v>
      </c>
    </row>
    <row r="1837" spans="5:13" hidden="1" x14ac:dyDescent="0.35">
      <c r="E1837" s="81"/>
      <c r="I1837" s="83" t="e">
        <f>VLOOKUP(E1837,[1]Mapping!$A$3:$B$14,2,FALSE)</f>
        <v>#N/A</v>
      </c>
      <c r="J1837" s="84">
        <f t="shared" si="58"/>
        <v>0</v>
      </c>
      <c r="K1837" s="84">
        <f t="shared" si="59"/>
        <v>0</v>
      </c>
      <c r="L1837" s="61" t="e">
        <f>VLOOKUP(K1837,[1]Mapping!$J$3:$Q$351,8,FALSE)</f>
        <v>#N/A</v>
      </c>
      <c r="M1837" t="s">
        <v>83</v>
      </c>
    </row>
    <row r="1838" spans="5:13" hidden="1" x14ac:dyDescent="0.35">
      <c r="E1838" s="81"/>
      <c r="I1838" s="83" t="e">
        <f>VLOOKUP(E1838,[1]Mapping!$A$3:$B$14,2,FALSE)</f>
        <v>#N/A</v>
      </c>
      <c r="J1838" s="84">
        <f t="shared" si="58"/>
        <v>0</v>
      </c>
      <c r="K1838" s="84">
        <f t="shared" si="59"/>
        <v>0</v>
      </c>
      <c r="L1838" s="61" t="e">
        <f>VLOOKUP(K1838,[1]Mapping!$J$3:$Q$351,8,FALSE)</f>
        <v>#N/A</v>
      </c>
      <c r="M1838" t="s">
        <v>83</v>
      </c>
    </row>
    <row r="1839" spans="5:13" hidden="1" x14ac:dyDescent="0.35">
      <c r="E1839" s="81"/>
      <c r="I1839" s="83" t="e">
        <f>VLOOKUP(E1839,[1]Mapping!$A$3:$B$14,2,FALSE)</f>
        <v>#N/A</v>
      </c>
      <c r="J1839" s="84">
        <f t="shared" si="58"/>
        <v>0</v>
      </c>
      <c r="K1839" s="84">
        <f t="shared" si="59"/>
        <v>0</v>
      </c>
      <c r="L1839" s="61" t="e">
        <f>VLOOKUP(K1839,[1]Mapping!$J$3:$Q$351,8,FALSE)</f>
        <v>#N/A</v>
      </c>
      <c r="M1839" t="s">
        <v>83</v>
      </c>
    </row>
    <row r="1840" spans="5:13" hidden="1" x14ac:dyDescent="0.35">
      <c r="E1840" s="81"/>
      <c r="I1840" s="83" t="e">
        <f>VLOOKUP(E1840,[1]Mapping!$A$3:$B$14,2,FALSE)</f>
        <v>#N/A</v>
      </c>
      <c r="J1840" s="84">
        <f t="shared" si="58"/>
        <v>0</v>
      </c>
      <c r="K1840" s="84">
        <f t="shared" si="59"/>
        <v>0</v>
      </c>
      <c r="L1840" s="61" t="e">
        <f>VLOOKUP(K1840,[1]Mapping!$J$3:$Q$351,8,FALSE)</f>
        <v>#N/A</v>
      </c>
      <c r="M1840" t="s">
        <v>83</v>
      </c>
    </row>
    <row r="1841" spans="5:13" hidden="1" x14ac:dyDescent="0.35">
      <c r="E1841" s="81"/>
      <c r="I1841" s="83" t="e">
        <f>VLOOKUP(E1841,[1]Mapping!$A$3:$B$14,2,FALSE)</f>
        <v>#N/A</v>
      </c>
      <c r="J1841" s="84">
        <f t="shared" si="58"/>
        <v>0</v>
      </c>
      <c r="K1841" s="84">
        <f t="shared" si="59"/>
        <v>0</v>
      </c>
      <c r="L1841" s="61" t="e">
        <f>VLOOKUP(K1841,[1]Mapping!$J$3:$Q$351,8,FALSE)</f>
        <v>#N/A</v>
      </c>
      <c r="M1841" t="s">
        <v>83</v>
      </c>
    </row>
    <row r="1842" spans="5:13" hidden="1" x14ac:dyDescent="0.35">
      <c r="E1842" s="81"/>
      <c r="I1842" s="83" t="e">
        <f>VLOOKUP(E1842,[1]Mapping!$A$3:$B$14,2,FALSE)</f>
        <v>#N/A</v>
      </c>
      <c r="J1842" s="84">
        <f t="shared" si="58"/>
        <v>0</v>
      </c>
      <c r="K1842" s="84">
        <f t="shared" si="59"/>
        <v>0</v>
      </c>
      <c r="L1842" s="61" t="e">
        <f>VLOOKUP(K1842,[1]Mapping!$J$3:$Q$351,8,FALSE)</f>
        <v>#N/A</v>
      </c>
      <c r="M1842" t="s">
        <v>83</v>
      </c>
    </row>
    <row r="1843" spans="5:13" hidden="1" x14ac:dyDescent="0.35">
      <c r="E1843" s="81"/>
      <c r="I1843" s="83" t="e">
        <f>VLOOKUP(E1843,[1]Mapping!$A$3:$B$14,2,FALSE)</f>
        <v>#N/A</v>
      </c>
      <c r="J1843" s="84">
        <f t="shared" si="58"/>
        <v>0</v>
      </c>
      <c r="K1843" s="84">
        <f t="shared" si="59"/>
        <v>0</v>
      </c>
      <c r="L1843" s="61" t="e">
        <f>VLOOKUP(K1843,[1]Mapping!$J$3:$Q$351,8,FALSE)</f>
        <v>#N/A</v>
      </c>
      <c r="M1843" t="s">
        <v>83</v>
      </c>
    </row>
    <row r="1844" spans="5:13" hidden="1" x14ac:dyDescent="0.35">
      <c r="E1844" s="81"/>
      <c r="I1844" s="83" t="e">
        <f>VLOOKUP(E1844,[1]Mapping!$A$3:$B$14,2,FALSE)</f>
        <v>#N/A</v>
      </c>
      <c r="J1844" s="84">
        <f t="shared" si="58"/>
        <v>0</v>
      </c>
      <c r="K1844" s="84">
        <f t="shared" si="59"/>
        <v>0</v>
      </c>
      <c r="L1844" s="61" t="e">
        <f>VLOOKUP(K1844,[1]Mapping!$J$3:$Q$351,8,FALSE)</f>
        <v>#N/A</v>
      </c>
      <c r="M1844" t="s">
        <v>83</v>
      </c>
    </row>
    <row r="1845" spans="5:13" hidden="1" x14ac:dyDescent="0.35">
      <c r="E1845" s="81"/>
      <c r="I1845" s="83" t="e">
        <f>VLOOKUP(E1845,[1]Mapping!$A$3:$B$14,2,FALSE)</f>
        <v>#N/A</v>
      </c>
      <c r="J1845" s="84">
        <f t="shared" si="58"/>
        <v>0</v>
      </c>
      <c r="K1845" s="84">
        <f t="shared" si="59"/>
        <v>0</v>
      </c>
      <c r="L1845" s="61" t="e">
        <f>VLOOKUP(K1845,[1]Mapping!$J$3:$Q$351,8,FALSE)</f>
        <v>#N/A</v>
      </c>
      <c r="M1845" t="s">
        <v>83</v>
      </c>
    </row>
    <row r="1846" spans="5:13" hidden="1" x14ac:dyDescent="0.35">
      <c r="E1846" s="81"/>
      <c r="I1846" s="83" t="e">
        <f>VLOOKUP(E1846,[1]Mapping!$A$3:$B$14,2,FALSE)</f>
        <v>#N/A</v>
      </c>
      <c r="J1846" s="84">
        <f t="shared" si="58"/>
        <v>0</v>
      </c>
      <c r="K1846" s="84">
        <f t="shared" si="59"/>
        <v>0</v>
      </c>
      <c r="L1846" s="61" t="e">
        <f>VLOOKUP(K1846,[1]Mapping!$J$3:$Q$351,8,FALSE)</f>
        <v>#N/A</v>
      </c>
      <c r="M1846" t="s">
        <v>83</v>
      </c>
    </row>
    <row r="1847" spans="5:13" hidden="1" x14ac:dyDescent="0.35">
      <c r="E1847" s="81"/>
      <c r="I1847" s="83" t="e">
        <f>VLOOKUP(E1847,[1]Mapping!$A$3:$B$14,2,FALSE)</f>
        <v>#N/A</v>
      </c>
      <c r="J1847" s="84">
        <f t="shared" si="58"/>
        <v>0</v>
      </c>
      <c r="K1847" s="84">
        <f t="shared" si="59"/>
        <v>0</v>
      </c>
      <c r="L1847" s="61" t="e">
        <f>VLOOKUP(K1847,[1]Mapping!$J$3:$Q$351,8,FALSE)</f>
        <v>#N/A</v>
      </c>
      <c r="M1847" t="s">
        <v>83</v>
      </c>
    </row>
    <row r="1848" spans="5:13" hidden="1" x14ac:dyDescent="0.35">
      <c r="E1848" s="81"/>
      <c r="I1848" s="83" t="e">
        <f>VLOOKUP(E1848,[1]Mapping!$A$3:$B$14,2,FALSE)</f>
        <v>#N/A</v>
      </c>
      <c r="J1848" s="84">
        <f t="shared" si="58"/>
        <v>0</v>
      </c>
      <c r="K1848" s="84">
        <f t="shared" si="59"/>
        <v>0</v>
      </c>
      <c r="L1848" s="61" t="e">
        <f>VLOOKUP(K1848,[1]Mapping!$J$3:$Q$351,8,FALSE)</f>
        <v>#N/A</v>
      </c>
      <c r="M1848" t="s">
        <v>83</v>
      </c>
    </row>
    <row r="1849" spans="5:13" hidden="1" x14ac:dyDescent="0.35">
      <c r="E1849" s="81"/>
      <c r="I1849" s="83" t="e">
        <f>VLOOKUP(E1849,[1]Mapping!$A$3:$B$14,2,FALSE)</f>
        <v>#N/A</v>
      </c>
      <c r="J1849" s="84">
        <f t="shared" si="58"/>
        <v>0</v>
      </c>
      <c r="K1849" s="84">
        <f t="shared" si="59"/>
        <v>0</v>
      </c>
      <c r="L1849" s="61" t="e">
        <f>VLOOKUP(K1849,[1]Mapping!$J$3:$Q$351,8,FALSE)</f>
        <v>#N/A</v>
      </c>
      <c r="M1849" t="s">
        <v>83</v>
      </c>
    </row>
    <row r="1850" spans="5:13" hidden="1" x14ac:dyDescent="0.35">
      <c r="E1850" s="81"/>
      <c r="I1850" s="83" t="e">
        <f>VLOOKUP(E1850,[1]Mapping!$A$3:$B$14,2,FALSE)</f>
        <v>#N/A</v>
      </c>
      <c r="J1850" s="84">
        <f t="shared" si="58"/>
        <v>0</v>
      </c>
      <c r="K1850" s="84">
        <f t="shared" si="59"/>
        <v>0</v>
      </c>
      <c r="L1850" s="61" t="e">
        <f>VLOOKUP(K1850,[1]Mapping!$J$3:$Q$351,8,FALSE)</f>
        <v>#N/A</v>
      </c>
      <c r="M1850" t="s">
        <v>83</v>
      </c>
    </row>
    <row r="1851" spans="5:13" hidden="1" x14ac:dyDescent="0.35">
      <c r="E1851" s="81"/>
      <c r="I1851" s="83" t="e">
        <f>VLOOKUP(E1851,[1]Mapping!$A$3:$B$14,2,FALSE)</f>
        <v>#N/A</v>
      </c>
      <c r="J1851" s="84">
        <f t="shared" si="58"/>
        <v>0</v>
      </c>
      <c r="K1851" s="84">
        <f t="shared" si="59"/>
        <v>0</v>
      </c>
      <c r="L1851" s="61" t="e">
        <f>VLOOKUP(K1851,[1]Mapping!$J$3:$Q$351,8,FALSE)</f>
        <v>#N/A</v>
      </c>
      <c r="M1851" t="s">
        <v>83</v>
      </c>
    </row>
    <row r="1852" spans="5:13" hidden="1" x14ac:dyDescent="0.35">
      <c r="E1852" s="81"/>
      <c r="I1852" s="83" t="e">
        <f>VLOOKUP(E1852,[1]Mapping!$A$3:$B$14,2,FALSE)</f>
        <v>#N/A</v>
      </c>
      <c r="J1852" s="84">
        <f t="shared" si="58"/>
        <v>0</v>
      </c>
      <c r="K1852" s="84">
        <f t="shared" si="59"/>
        <v>0</v>
      </c>
      <c r="L1852" s="61" t="e">
        <f>VLOOKUP(K1852,[1]Mapping!$J$3:$Q$351,8,FALSE)</f>
        <v>#N/A</v>
      </c>
      <c r="M1852" t="s">
        <v>83</v>
      </c>
    </row>
    <row r="1853" spans="5:13" hidden="1" x14ac:dyDescent="0.35">
      <c r="E1853" s="81"/>
      <c r="I1853" s="83" t="e">
        <f>VLOOKUP(E1853,[1]Mapping!$A$3:$B$14,2,FALSE)</f>
        <v>#N/A</v>
      </c>
      <c r="J1853" s="84">
        <f t="shared" si="58"/>
        <v>0</v>
      </c>
      <c r="K1853" s="84">
        <f t="shared" si="59"/>
        <v>0</v>
      </c>
      <c r="L1853" s="61" t="e">
        <f>VLOOKUP(K1853,[1]Mapping!$J$3:$Q$351,8,FALSE)</f>
        <v>#N/A</v>
      </c>
      <c r="M1853" t="s">
        <v>83</v>
      </c>
    </row>
    <row r="1854" spans="5:13" hidden="1" x14ac:dyDescent="0.35">
      <c r="E1854" s="81"/>
      <c r="I1854" s="83" t="e">
        <f>VLOOKUP(E1854,[1]Mapping!$A$3:$B$14,2,FALSE)</f>
        <v>#N/A</v>
      </c>
      <c r="J1854" s="84">
        <f t="shared" si="58"/>
        <v>0</v>
      </c>
      <c r="K1854" s="84">
        <f t="shared" si="59"/>
        <v>0</v>
      </c>
      <c r="L1854" s="61" t="e">
        <f>VLOOKUP(K1854,[1]Mapping!$J$3:$Q$351,8,FALSE)</f>
        <v>#N/A</v>
      </c>
      <c r="M1854" t="s">
        <v>83</v>
      </c>
    </row>
    <row r="1855" spans="5:13" hidden="1" x14ac:dyDescent="0.35">
      <c r="E1855" s="81"/>
      <c r="I1855" s="83" t="e">
        <f>VLOOKUP(E1855,[1]Mapping!$A$3:$B$14,2,FALSE)</f>
        <v>#N/A</v>
      </c>
      <c r="J1855" s="84">
        <f t="shared" si="58"/>
        <v>0</v>
      </c>
      <c r="K1855" s="84">
        <f t="shared" si="59"/>
        <v>0</v>
      </c>
      <c r="L1855" s="61" t="e">
        <f>VLOOKUP(K1855,[1]Mapping!$J$3:$Q$351,8,FALSE)</f>
        <v>#N/A</v>
      </c>
      <c r="M1855" t="s">
        <v>83</v>
      </c>
    </row>
    <row r="1856" spans="5:13" hidden="1" x14ac:dyDescent="0.35">
      <c r="E1856" s="81"/>
      <c r="I1856" s="83" t="e">
        <f>VLOOKUP(E1856,[1]Mapping!$A$3:$B$14,2,FALSE)</f>
        <v>#N/A</v>
      </c>
      <c r="J1856" s="84">
        <f t="shared" si="58"/>
        <v>0</v>
      </c>
      <c r="K1856" s="84">
        <f t="shared" si="59"/>
        <v>0</v>
      </c>
      <c r="L1856" s="61" t="e">
        <f>VLOOKUP(K1856,[1]Mapping!$J$3:$Q$351,8,FALSE)</f>
        <v>#N/A</v>
      </c>
      <c r="M1856" t="s">
        <v>83</v>
      </c>
    </row>
    <row r="1857" spans="5:13" hidden="1" x14ac:dyDescent="0.35">
      <c r="E1857" s="81"/>
      <c r="I1857" s="83" t="e">
        <f>VLOOKUP(E1857,[1]Mapping!$A$3:$B$14,2,FALSE)</f>
        <v>#N/A</v>
      </c>
      <c r="J1857" s="84">
        <f t="shared" si="58"/>
        <v>0</v>
      </c>
      <c r="K1857" s="84">
        <f t="shared" si="59"/>
        <v>0</v>
      </c>
      <c r="L1857" s="61" t="e">
        <f>VLOOKUP(K1857,[1]Mapping!$J$3:$Q$351,8,FALSE)</f>
        <v>#N/A</v>
      </c>
      <c r="M1857" t="s">
        <v>83</v>
      </c>
    </row>
    <row r="1858" spans="5:13" hidden="1" x14ac:dyDescent="0.35">
      <c r="E1858" s="81"/>
      <c r="I1858" s="83" t="e">
        <f>VLOOKUP(E1858,[1]Mapping!$A$3:$B$14,2,FALSE)</f>
        <v>#N/A</v>
      </c>
      <c r="J1858" s="84">
        <f t="shared" si="58"/>
        <v>0</v>
      </c>
      <c r="K1858" s="84">
        <f t="shared" si="59"/>
        <v>0</v>
      </c>
      <c r="L1858" s="61" t="e">
        <f>VLOOKUP(K1858,[1]Mapping!$J$3:$Q$351,8,FALSE)</f>
        <v>#N/A</v>
      </c>
      <c r="M1858" t="s">
        <v>83</v>
      </c>
    </row>
    <row r="1859" spans="5:13" hidden="1" x14ac:dyDescent="0.35">
      <c r="E1859" s="81"/>
      <c r="I1859" s="83" t="e">
        <f>VLOOKUP(E1859,[1]Mapping!$A$3:$B$14,2,FALSE)</f>
        <v>#N/A</v>
      </c>
      <c r="J1859" s="84">
        <f t="shared" si="58"/>
        <v>0</v>
      </c>
      <c r="K1859" s="84">
        <f t="shared" si="59"/>
        <v>0</v>
      </c>
      <c r="L1859" s="61" t="e">
        <f>VLOOKUP(K1859,[1]Mapping!$J$3:$Q$351,8,FALSE)</f>
        <v>#N/A</v>
      </c>
      <c r="M1859" t="s">
        <v>83</v>
      </c>
    </row>
    <row r="1860" spans="5:13" hidden="1" x14ac:dyDescent="0.35">
      <c r="E1860" s="81"/>
      <c r="I1860" s="83" t="e">
        <f>VLOOKUP(E1860,[1]Mapping!$A$3:$B$14,2,FALSE)</f>
        <v>#N/A</v>
      </c>
      <c r="J1860" s="84">
        <f t="shared" ref="J1860:J1923" si="60">VALUE(A1860)</f>
        <v>0</v>
      </c>
      <c r="K1860" s="84">
        <f t="shared" ref="K1860:K1923" si="61">VALUE(C1860)</f>
        <v>0</v>
      </c>
      <c r="L1860" s="61" t="e">
        <f>VLOOKUP(K1860,[1]Mapping!$J$3:$Q$351,8,FALSE)</f>
        <v>#N/A</v>
      </c>
      <c r="M1860" t="s">
        <v>83</v>
      </c>
    </row>
    <row r="1861" spans="5:13" hidden="1" x14ac:dyDescent="0.35">
      <c r="E1861" s="81"/>
      <c r="I1861" s="83" t="e">
        <f>VLOOKUP(E1861,[1]Mapping!$A$3:$B$14,2,FALSE)</f>
        <v>#N/A</v>
      </c>
      <c r="J1861" s="84">
        <f t="shared" si="60"/>
        <v>0</v>
      </c>
      <c r="K1861" s="84">
        <f t="shared" si="61"/>
        <v>0</v>
      </c>
      <c r="L1861" s="61" t="e">
        <f>VLOOKUP(K1861,[1]Mapping!$J$3:$Q$351,8,FALSE)</f>
        <v>#N/A</v>
      </c>
      <c r="M1861" t="s">
        <v>83</v>
      </c>
    </row>
    <row r="1862" spans="5:13" hidden="1" x14ac:dyDescent="0.35">
      <c r="E1862" s="81"/>
      <c r="I1862" s="83" t="e">
        <f>VLOOKUP(E1862,[1]Mapping!$A$3:$B$14,2,FALSE)</f>
        <v>#N/A</v>
      </c>
      <c r="J1862" s="84">
        <f t="shared" si="60"/>
        <v>0</v>
      </c>
      <c r="K1862" s="84">
        <f t="shared" si="61"/>
        <v>0</v>
      </c>
      <c r="L1862" s="61" t="e">
        <f>VLOOKUP(K1862,[1]Mapping!$J$3:$Q$351,8,FALSE)</f>
        <v>#N/A</v>
      </c>
      <c r="M1862" t="s">
        <v>83</v>
      </c>
    </row>
    <row r="1863" spans="5:13" hidden="1" x14ac:dyDescent="0.35">
      <c r="E1863" s="81"/>
      <c r="I1863" s="83" t="e">
        <f>VLOOKUP(E1863,[1]Mapping!$A$3:$B$14,2,FALSE)</f>
        <v>#N/A</v>
      </c>
      <c r="J1863" s="84">
        <f t="shared" si="60"/>
        <v>0</v>
      </c>
      <c r="K1863" s="84">
        <f t="shared" si="61"/>
        <v>0</v>
      </c>
      <c r="L1863" s="61" t="e">
        <f>VLOOKUP(K1863,[1]Mapping!$J$3:$Q$351,8,FALSE)</f>
        <v>#N/A</v>
      </c>
      <c r="M1863" t="s">
        <v>83</v>
      </c>
    </row>
    <row r="1864" spans="5:13" hidden="1" x14ac:dyDescent="0.35">
      <c r="E1864" s="81"/>
      <c r="I1864" s="83" t="e">
        <f>VLOOKUP(E1864,[1]Mapping!$A$3:$B$14,2,FALSE)</f>
        <v>#N/A</v>
      </c>
      <c r="J1864" s="84">
        <f t="shared" si="60"/>
        <v>0</v>
      </c>
      <c r="K1864" s="84">
        <f t="shared" si="61"/>
        <v>0</v>
      </c>
      <c r="L1864" s="61" t="e">
        <f>VLOOKUP(K1864,[1]Mapping!$J$3:$Q$351,8,FALSE)</f>
        <v>#N/A</v>
      </c>
      <c r="M1864" t="s">
        <v>83</v>
      </c>
    </row>
    <row r="1865" spans="5:13" hidden="1" x14ac:dyDescent="0.35">
      <c r="E1865" s="81"/>
      <c r="I1865" s="83" t="e">
        <f>VLOOKUP(E1865,[1]Mapping!$A$3:$B$14,2,FALSE)</f>
        <v>#N/A</v>
      </c>
      <c r="J1865" s="84">
        <f t="shared" si="60"/>
        <v>0</v>
      </c>
      <c r="K1865" s="84">
        <f t="shared" si="61"/>
        <v>0</v>
      </c>
      <c r="L1865" s="61" t="e">
        <f>VLOOKUP(K1865,[1]Mapping!$J$3:$Q$351,8,FALSE)</f>
        <v>#N/A</v>
      </c>
      <c r="M1865" t="s">
        <v>83</v>
      </c>
    </row>
    <row r="1866" spans="5:13" hidden="1" x14ac:dyDescent="0.35">
      <c r="E1866" s="81"/>
      <c r="I1866" s="83" t="e">
        <f>VLOOKUP(E1866,[1]Mapping!$A$3:$B$14,2,FALSE)</f>
        <v>#N/A</v>
      </c>
      <c r="J1866" s="84">
        <f t="shared" si="60"/>
        <v>0</v>
      </c>
      <c r="K1866" s="84">
        <f t="shared" si="61"/>
        <v>0</v>
      </c>
      <c r="L1866" s="61" t="e">
        <f>VLOOKUP(K1866,[1]Mapping!$J$3:$Q$351,8,FALSE)</f>
        <v>#N/A</v>
      </c>
      <c r="M1866" t="s">
        <v>83</v>
      </c>
    </row>
    <row r="1867" spans="5:13" hidden="1" x14ac:dyDescent="0.35">
      <c r="E1867" s="81"/>
      <c r="I1867" s="83" t="e">
        <f>VLOOKUP(E1867,[1]Mapping!$A$3:$B$14,2,FALSE)</f>
        <v>#N/A</v>
      </c>
      <c r="J1867" s="84">
        <f t="shared" si="60"/>
        <v>0</v>
      </c>
      <c r="K1867" s="84">
        <f t="shared" si="61"/>
        <v>0</v>
      </c>
      <c r="L1867" s="61" t="e">
        <f>VLOOKUP(K1867,[1]Mapping!$J$3:$Q$351,8,FALSE)</f>
        <v>#N/A</v>
      </c>
      <c r="M1867" t="s">
        <v>83</v>
      </c>
    </row>
    <row r="1868" spans="5:13" hidden="1" x14ac:dyDescent="0.35">
      <c r="E1868" s="81"/>
      <c r="I1868" s="83" t="e">
        <f>VLOOKUP(E1868,[1]Mapping!$A$3:$B$14,2,FALSE)</f>
        <v>#N/A</v>
      </c>
      <c r="J1868" s="84">
        <f t="shared" si="60"/>
        <v>0</v>
      </c>
      <c r="K1868" s="84">
        <f t="shared" si="61"/>
        <v>0</v>
      </c>
      <c r="L1868" s="61" t="e">
        <f>VLOOKUP(K1868,[1]Mapping!$J$3:$Q$351,8,FALSE)</f>
        <v>#N/A</v>
      </c>
      <c r="M1868" t="s">
        <v>83</v>
      </c>
    </row>
    <row r="1869" spans="5:13" hidden="1" x14ac:dyDescent="0.35">
      <c r="E1869" s="81"/>
      <c r="I1869" s="83" t="e">
        <f>VLOOKUP(E1869,[1]Mapping!$A$3:$B$14,2,FALSE)</f>
        <v>#N/A</v>
      </c>
      <c r="J1869" s="84">
        <f t="shared" si="60"/>
        <v>0</v>
      </c>
      <c r="K1869" s="84">
        <f t="shared" si="61"/>
        <v>0</v>
      </c>
      <c r="L1869" s="61" t="e">
        <f>VLOOKUP(K1869,[1]Mapping!$J$3:$Q$351,8,FALSE)</f>
        <v>#N/A</v>
      </c>
      <c r="M1869" t="s">
        <v>83</v>
      </c>
    </row>
    <row r="1870" spans="5:13" hidden="1" x14ac:dyDescent="0.35">
      <c r="E1870" s="81"/>
      <c r="I1870" s="83" t="e">
        <f>VLOOKUP(E1870,[1]Mapping!$A$3:$B$14,2,FALSE)</f>
        <v>#N/A</v>
      </c>
      <c r="J1870" s="84">
        <f t="shared" si="60"/>
        <v>0</v>
      </c>
      <c r="K1870" s="84">
        <f t="shared" si="61"/>
        <v>0</v>
      </c>
      <c r="L1870" s="61" t="e">
        <f>VLOOKUP(K1870,[1]Mapping!$J$3:$Q$351,8,FALSE)</f>
        <v>#N/A</v>
      </c>
      <c r="M1870" t="s">
        <v>83</v>
      </c>
    </row>
    <row r="1871" spans="5:13" hidden="1" x14ac:dyDescent="0.35">
      <c r="E1871" s="81"/>
      <c r="I1871" s="83" t="e">
        <f>VLOOKUP(E1871,[1]Mapping!$A$3:$B$14,2,FALSE)</f>
        <v>#N/A</v>
      </c>
      <c r="J1871" s="84">
        <f t="shared" si="60"/>
        <v>0</v>
      </c>
      <c r="K1871" s="84">
        <f t="shared" si="61"/>
        <v>0</v>
      </c>
      <c r="L1871" s="61" t="e">
        <f>VLOOKUP(K1871,[1]Mapping!$J$3:$Q$351,8,FALSE)</f>
        <v>#N/A</v>
      </c>
      <c r="M1871" t="s">
        <v>83</v>
      </c>
    </row>
    <row r="1872" spans="5:13" hidden="1" x14ac:dyDescent="0.35">
      <c r="E1872" s="81"/>
      <c r="I1872" s="83" t="e">
        <f>VLOOKUP(E1872,[1]Mapping!$A$3:$B$14,2,FALSE)</f>
        <v>#N/A</v>
      </c>
      <c r="J1872" s="84">
        <f t="shared" si="60"/>
        <v>0</v>
      </c>
      <c r="K1872" s="84">
        <f t="shared" si="61"/>
        <v>0</v>
      </c>
      <c r="L1872" s="61" t="e">
        <f>VLOOKUP(K1872,[1]Mapping!$J$3:$Q$351,8,FALSE)</f>
        <v>#N/A</v>
      </c>
      <c r="M1872" t="s">
        <v>83</v>
      </c>
    </row>
    <row r="1873" spans="5:13" hidden="1" x14ac:dyDescent="0.35">
      <c r="E1873" s="81"/>
      <c r="I1873" s="83" t="e">
        <f>VLOOKUP(E1873,[1]Mapping!$A$3:$B$14,2,FALSE)</f>
        <v>#N/A</v>
      </c>
      <c r="J1873" s="84">
        <f t="shared" si="60"/>
        <v>0</v>
      </c>
      <c r="K1873" s="84">
        <f t="shared" si="61"/>
        <v>0</v>
      </c>
      <c r="L1873" s="61" t="e">
        <f>VLOOKUP(K1873,[1]Mapping!$J$3:$Q$351,8,FALSE)</f>
        <v>#N/A</v>
      </c>
      <c r="M1873" t="s">
        <v>83</v>
      </c>
    </row>
    <row r="1874" spans="5:13" hidden="1" x14ac:dyDescent="0.35">
      <c r="E1874" s="81"/>
      <c r="I1874" s="83" t="e">
        <f>VLOOKUP(E1874,[1]Mapping!$A$3:$B$14,2,FALSE)</f>
        <v>#N/A</v>
      </c>
      <c r="J1874" s="84">
        <f t="shared" si="60"/>
        <v>0</v>
      </c>
      <c r="K1874" s="84">
        <f t="shared" si="61"/>
        <v>0</v>
      </c>
      <c r="L1874" s="61" t="e">
        <f>VLOOKUP(K1874,[1]Mapping!$J$3:$Q$351,8,FALSE)</f>
        <v>#N/A</v>
      </c>
      <c r="M1874" t="s">
        <v>83</v>
      </c>
    </row>
    <row r="1875" spans="5:13" hidden="1" x14ac:dyDescent="0.35">
      <c r="E1875" s="81"/>
      <c r="I1875" s="83" t="e">
        <f>VLOOKUP(E1875,[1]Mapping!$A$3:$B$14,2,FALSE)</f>
        <v>#N/A</v>
      </c>
      <c r="J1875" s="84">
        <f t="shared" si="60"/>
        <v>0</v>
      </c>
      <c r="K1875" s="84">
        <f t="shared" si="61"/>
        <v>0</v>
      </c>
      <c r="L1875" s="61" t="e">
        <f>VLOOKUP(K1875,[1]Mapping!$J$3:$Q$351,8,FALSE)</f>
        <v>#N/A</v>
      </c>
      <c r="M1875" t="s">
        <v>83</v>
      </c>
    </row>
    <row r="1876" spans="5:13" hidden="1" x14ac:dyDescent="0.35">
      <c r="E1876" s="81"/>
      <c r="I1876" s="83" t="e">
        <f>VLOOKUP(E1876,[1]Mapping!$A$3:$B$14,2,FALSE)</f>
        <v>#N/A</v>
      </c>
      <c r="J1876" s="84">
        <f t="shared" si="60"/>
        <v>0</v>
      </c>
      <c r="K1876" s="84">
        <f t="shared" si="61"/>
        <v>0</v>
      </c>
      <c r="L1876" s="61" t="e">
        <f>VLOOKUP(K1876,[1]Mapping!$J$3:$Q$351,8,FALSE)</f>
        <v>#N/A</v>
      </c>
      <c r="M1876" t="s">
        <v>83</v>
      </c>
    </row>
    <row r="1877" spans="5:13" hidden="1" x14ac:dyDescent="0.35">
      <c r="E1877" s="81"/>
      <c r="I1877" s="83" t="e">
        <f>VLOOKUP(E1877,[1]Mapping!$A$3:$B$14,2,FALSE)</f>
        <v>#N/A</v>
      </c>
      <c r="J1877" s="84">
        <f t="shared" si="60"/>
        <v>0</v>
      </c>
      <c r="K1877" s="84">
        <f t="shared" si="61"/>
        <v>0</v>
      </c>
      <c r="L1877" s="61" t="e">
        <f>VLOOKUP(K1877,[1]Mapping!$J$3:$Q$351,8,FALSE)</f>
        <v>#N/A</v>
      </c>
      <c r="M1877" t="s">
        <v>83</v>
      </c>
    </row>
    <row r="1878" spans="5:13" hidden="1" x14ac:dyDescent="0.35">
      <c r="E1878" s="81"/>
      <c r="I1878" s="83" t="e">
        <f>VLOOKUP(E1878,[1]Mapping!$A$3:$B$14,2,FALSE)</f>
        <v>#N/A</v>
      </c>
      <c r="J1878" s="84">
        <f t="shared" si="60"/>
        <v>0</v>
      </c>
      <c r="K1878" s="84">
        <f t="shared" si="61"/>
        <v>0</v>
      </c>
      <c r="L1878" s="61" t="e">
        <f>VLOOKUP(K1878,[1]Mapping!$J$3:$Q$351,8,FALSE)</f>
        <v>#N/A</v>
      </c>
      <c r="M1878" t="s">
        <v>83</v>
      </c>
    </row>
    <row r="1879" spans="5:13" hidden="1" x14ac:dyDescent="0.35">
      <c r="E1879" s="81"/>
      <c r="I1879" s="83" t="e">
        <f>VLOOKUP(E1879,[1]Mapping!$A$3:$B$14,2,FALSE)</f>
        <v>#N/A</v>
      </c>
      <c r="J1879" s="84">
        <f t="shared" si="60"/>
        <v>0</v>
      </c>
      <c r="K1879" s="84">
        <f t="shared" si="61"/>
        <v>0</v>
      </c>
      <c r="L1879" s="61" t="e">
        <f>VLOOKUP(K1879,[1]Mapping!$J$3:$Q$351,8,FALSE)</f>
        <v>#N/A</v>
      </c>
      <c r="M1879" t="s">
        <v>83</v>
      </c>
    </row>
    <row r="1880" spans="5:13" hidden="1" x14ac:dyDescent="0.35">
      <c r="E1880" s="81"/>
      <c r="I1880" s="83" t="e">
        <f>VLOOKUP(E1880,[1]Mapping!$A$3:$B$14,2,FALSE)</f>
        <v>#N/A</v>
      </c>
      <c r="J1880" s="84">
        <f t="shared" si="60"/>
        <v>0</v>
      </c>
      <c r="K1880" s="84">
        <f t="shared" si="61"/>
        <v>0</v>
      </c>
      <c r="L1880" s="61" t="e">
        <f>VLOOKUP(K1880,[1]Mapping!$J$3:$Q$351,8,FALSE)</f>
        <v>#N/A</v>
      </c>
      <c r="M1880" t="s">
        <v>83</v>
      </c>
    </row>
    <row r="1881" spans="5:13" hidden="1" x14ac:dyDescent="0.35">
      <c r="E1881" s="81"/>
      <c r="I1881" s="83" t="e">
        <f>VLOOKUP(E1881,[1]Mapping!$A$3:$B$14,2,FALSE)</f>
        <v>#N/A</v>
      </c>
      <c r="J1881" s="84">
        <f t="shared" si="60"/>
        <v>0</v>
      </c>
      <c r="K1881" s="84">
        <f t="shared" si="61"/>
        <v>0</v>
      </c>
      <c r="L1881" s="61" t="e">
        <f>VLOOKUP(K1881,[1]Mapping!$J$3:$Q$351,8,FALSE)</f>
        <v>#N/A</v>
      </c>
      <c r="M1881" t="s">
        <v>83</v>
      </c>
    </row>
    <row r="1882" spans="5:13" hidden="1" x14ac:dyDescent="0.35">
      <c r="E1882" s="81"/>
      <c r="I1882" s="83" t="e">
        <f>VLOOKUP(E1882,[1]Mapping!$A$3:$B$14,2,FALSE)</f>
        <v>#N/A</v>
      </c>
      <c r="J1882" s="84">
        <f t="shared" si="60"/>
        <v>0</v>
      </c>
      <c r="K1882" s="84">
        <f t="shared" si="61"/>
        <v>0</v>
      </c>
      <c r="L1882" s="61" t="e">
        <f>VLOOKUP(K1882,[1]Mapping!$J$3:$Q$351,8,FALSE)</f>
        <v>#N/A</v>
      </c>
      <c r="M1882" t="s">
        <v>83</v>
      </c>
    </row>
    <row r="1883" spans="5:13" hidden="1" x14ac:dyDescent="0.35">
      <c r="E1883" s="81"/>
      <c r="I1883" s="83" t="e">
        <f>VLOOKUP(E1883,[1]Mapping!$A$3:$B$14,2,FALSE)</f>
        <v>#N/A</v>
      </c>
      <c r="J1883" s="84">
        <f t="shared" si="60"/>
        <v>0</v>
      </c>
      <c r="K1883" s="84">
        <f t="shared" si="61"/>
        <v>0</v>
      </c>
      <c r="L1883" s="61" t="e">
        <f>VLOOKUP(K1883,[1]Mapping!$J$3:$Q$351,8,FALSE)</f>
        <v>#N/A</v>
      </c>
      <c r="M1883" t="s">
        <v>83</v>
      </c>
    </row>
    <row r="1884" spans="5:13" hidden="1" x14ac:dyDescent="0.35">
      <c r="E1884" s="81"/>
      <c r="I1884" s="83" t="e">
        <f>VLOOKUP(E1884,[1]Mapping!$A$3:$B$14,2,FALSE)</f>
        <v>#N/A</v>
      </c>
      <c r="J1884" s="84">
        <f t="shared" si="60"/>
        <v>0</v>
      </c>
      <c r="K1884" s="84">
        <f t="shared" si="61"/>
        <v>0</v>
      </c>
      <c r="L1884" s="61" t="e">
        <f>VLOOKUP(K1884,[1]Mapping!$J$3:$Q$351,8,FALSE)</f>
        <v>#N/A</v>
      </c>
      <c r="M1884" t="s">
        <v>83</v>
      </c>
    </row>
    <row r="1885" spans="5:13" hidden="1" x14ac:dyDescent="0.35">
      <c r="E1885" s="81"/>
      <c r="I1885" s="83" t="e">
        <f>VLOOKUP(E1885,[1]Mapping!$A$3:$B$14,2,FALSE)</f>
        <v>#N/A</v>
      </c>
      <c r="J1885" s="84">
        <f t="shared" si="60"/>
        <v>0</v>
      </c>
      <c r="K1885" s="84">
        <f t="shared" si="61"/>
        <v>0</v>
      </c>
      <c r="L1885" s="61" t="e">
        <f>VLOOKUP(K1885,[1]Mapping!$J$3:$Q$351,8,FALSE)</f>
        <v>#N/A</v>
      </c>
      <c r="M1885" t="s">
        <v>83</v>
      </c>
    </row>
    <row r="1886" spans="5:13" hidden="1" x14ac:dyDescent="0.35">
      <c r="E1886" s="81"/>
      <c r="I1886" s="83" t="e">
        <f>VLOOKUP(E1886,[1]Mapping!$A$3:$B$14,2,FALSE)</f>
        <v>#N/A</v>
      </c>
      <c r="J1886" s="84">
        <f t="shared" si="60"/>
        <v>0</v>
      </c>
      <c r="K1886" s="84">
        <f t="shared" si="61"/>
        <v>0</v>
      </c>
      <c r="L1886" s="61" t="e">
        <f>VLOOKUP(K1886,[1]Mapping!$J$3:$Q$351,8,FALSE)</f>
        <v>#N/A</v>
      </c>
      <c r="M1886" t="s">
        <v>83</v>
      </c>
    </row>
    <row r="1887" spans="5:13" hidden="1" x14ac:dyDescent="0.35">
      <c r="E1887" s="81"/>
      <c r="I1887" s="83" t="e">
        <f>VLOOKUP(E1887,[1]Mapping!$A$3:$B$14,2,FALSE)</f>
        <v>#N/A</v>
      </c>
      <c r="J1887" s="84">
        <f t="shared" si="60"/>
        <v>0</v>
      </c>
      <c r="K1887" s="84">
        <f t="shared" si="61"/>
        <v>0</v>
      </c>
      <c r="L1887" s="61" t="e">
        <f>VLOOKUP(K1887,[1]Mapping!$J$3:$Q$351,8,FALSE)</f>
        <v>#N/A</v>
      </c>
      <c r="M1887" t="s">
        <v>83</v>
      </c>
    </row>
    <row r="1888" spans="5:13" hidden="1" x14ac:dyDescent="0.35">
      <c r="E1888" s="81"/>
      <c r="I1888" s="83" t="e">
        <f>VLOOKUP(E1888,[1]Mapping!$A$3:$B$14,2,FALSE)</f>
        <v>#N/A</v>
      </c>
      <c r="J1888" s="84">
        <f t="shared" si="60"/>
        <v>0</v>
      </c>
      <c r="K1888" s="84">
        <f t="shared" si="61"/>
        <v>0</v>
      </c>
      <c r="L1888" s="61" t="e">
        <f>VLOOKUP(K1888,[1]Mapping!$J$3:$Q$351,8,FALSE)</f>
        <v>#N/A</v>
      </c>
      <c r="M1888" t="s">
        <v>83</v>
      </c>
    </row>
    <row r="1889" spans="5:13" hidden="1" x14ac:dyDescent="0.35">
      <c r="E1889" s="81"/>
      <c r="I1889" s="83" t="e">
        <f>VLOOKUP(E1889,[1]Mapping!$A$3:$B$14,2,FALSE)</f>
        <v>#N/A</v>
      </c>
      <c r="J1889" s="84">
        <f t="shared" si="60"/>
        <v>0</v>
      </c>
      <c r="K1889" s="84">
        <f t="shared" si="61"/>
        <v>0</v>
      </c>
      <c r="L1889" s="61" t="e">
        <f>VLOOKUP(K1889,[1]Mapping!$J$3:$Q$351,8,FALSE)</f>
        <v>#N/A</v>
      </c>
      <c r="M1889" t="s">
        <v>83</v>
      </c>
    </row>
    <row r="1890" spans="5:13" hidden="1" x14ac:dyDescent="0.35">
      <c r="E1890" s="81"/>
      <c r="I1890" s="83" t="e">
        <f>VLOOKUP(E1890,[1]Mapping!$A$3:$B$14,2,FALSE)</f>
        <v>#N/A</v>
      </c>
      <c r="J1890" s="84">
        <f t="shared" si="60"/>
        <v>0</v>
      </c>
      <c r="K1890" s="84">
        <f t="shared" si="61"/>
        <v>0</v>
      </c>
      <c r="L1890" s="61" t="e">
        <f>VLOOKUP(K1890,[1]Mapping!$J$3:$Q$351,8,FALSE)</f>
        <v>#N/A</v>
      </c>
      <c r="M1890" t="s">
        <v>83</v>
      </c>
    </row>
    <row r="1891" spans="5:13" hidden="1" x14ac:dyDescent="0.35">
      <c r="E1891" s="81"/>
      <c r="I1891" s="83" t="e">
        <f>VLOOKUP(E1891,[1]Mapping!$A$3:$B$14,2,FALSE)</f>
        <v>#N/A</v>
      </c>
      <c r="J1891" s="84">
        <f t="shared" si="60"/>
        <v>0</v>
      </c>
      <c r="K1891" s="84">
        <f t="shared" si="61"/>
        <v>0</v>
      </c>
      <c r="L1891" s="61" t="e">
        <f>VLOOKUP(K1891,[1]Mapping!$J$3:$Q$351,8,FALSE)</f>
        <v>#N/A</v>
      </c>
      <c r="M1891" t="s">
        <v>83</v>
      </c>
    </row>
    <row r="1892" spans="5:13" hidden="1" x14ac:dyDescent="0.35">
      <c r="E1892" s="81"/>
      <c r="I1892" s="83" t="e">
        <f>VLOOKUP(E1892,[1]Mapping!$A$3:$B$14,2,FALSE)</f>
        <v>#N/A</v>
      </c>
      <c r="J1892" s="84">
        <f t="shared" si="60"/>
        <v>0</v>
      </c>
      <c r="K1892" s="84">
        <f t="shared" si="61"/>
        <v>0</v>
      </c>
      <c r="L1892" s="61" t="e">
        <f>VLOOKUP(K1892,[1]Mapping!$J$3:$Q$351,8,FALSE)</f>
        <v>#N/A</v>
      </c>
      <c r="M1892" t="s">
        <v>83</v>
      </c>
    </row>
    <row r="1893" spans="5:13" hidden="1" x14ac:dyDescent="0.35">
      <c r="E1893" s="81"/>
      <c r="I1893" s="83" t="e">
        <f>VLOOKUP(E1893,[1]Mapping!$A$3:$B$14,2,FALSE)</f>
        <v>#N/A</v>
      </c>
      <c r="J1893" s="84">
        <f t="shared" si="60"/>
        <v>0</v>
      </c>
      <c r="K1893" s="84">
        <f t="shared" si="61"/>
        <v>0</v>
      </c>
      <c r="L1893" s="61" t="e">
        <f>VLOOKUP(K1893,[1]Mapping!$J$3:$Q$351,8,FALSE)</f>
        <v>#N/A</v>
      </c>
      <c r="M1893" t="s">
        <v>83</v>
      </c>
    </row>
    <row r="1894" spans="5:13" hidden="1" x14ac:dyDescent="0.35">
      <c r="E1894" s="81"/>
      <c r="I1894" s="83" t="e">
        <f>VLOOKUP(E1894,[1]Mapping!$A$3:$B$14,2,FALSE)</f>
        <v>#N/A</v>
      </c>
      <c r="J1894" s="84">
        <f t="shared" si="60"/>
        <v>0</v>
      </c>
      <c r="K1894" s="84">
        <f t="shared" si="61"/>
        <v>0</v>
      </c>
      <c r="L1894" s="61" t="e">
        <f>VLOOKUP(K1894,[1]Mapping!$J$3:$Q$351,8,FALSE)</f>
        <v>#N/A</v>
      </c>
      <c r="M1894" t="s">
        <v>83</v>
      </c>
    </row>
    <row r="1895" spans="5:13" hidden="1" x14ac:dyDescent="0.35">
      <c r="E1895" s="81"/>
      <c r="I1895" s="83" t="e">
        <f>VLOOKUP(E1895,[1]Mapping!$A$3:$B$14,2,FALSE)</f>
        <v>#N/A</v>
      </c>
      <c r="J1895" s="84">
        <f t="shared" si="60"/>
        <v>0</v>
      </c>
      <c r="K1895" s="84">
        <f t="shared" si="61"/>
        <v>0</v>
      </c>
      <c r="L1895" s="61" t="e">
        <f>VLOOKUP(K1895,[1]Mapping!$J$3:$Q$351,8,FALSE)</f>
        <v>#N/A</v>
      </c>
      <c r="M1895" t="s">
        <v>83</v>
      </c>
    </row>
    <row r="1896" spans="5:13" hidden="1" x14ac:dyDescent="0.35">
      <c r="E1896" s="81"/>
      <c r="I1896" s="83" t="e">
        <f>VLOOKUP(E1896,[1]Mapping!$A$3:$B$14,2,FALSE)</f>
        <v>#N/A</v>
      </c>
      <c r="J1896" s="84">
        <f t="shared" si="60"/>
        <v>0</v>
      </c>
      <c r="K1896" s="84">
        <f t="shared" si="61"/>
        <v>0</v>
      </c>
      <c r="L1896" s="61" t="e">
        <f>VLOOKUP(K1896,[1]Mapping!$J$3:$Q$351,8,FALSE)</f>
        <v>#N/A</v>
      </c>
      <c r="M1896" t="s">
        <v>83</v>
      </c>
    </row>
    <row r="1897" spans="5:13" hidden="1" x14ac:dyDescent="0.35">
      <c r="E1897" s="81"/>
      <c r="I1897" s="83" t="e">
        <f>VLOOKUP(E1897,[1]Mapping!$A$3:$B$14,2,FALSE)</f>
        <v>#N/A</v>
      </c>
      <c r="J1897" s="84">
        <f t="shared" si="60"/>
        <v>0</v>
      </c>
      <c r="K1897" s="84">
        <f t="shared" si="61"/>
        <v>0</v>
      </c>
      <c r="L1897" s="61" t="e">
        <f>VLOOKUP(K1897,[1]Mapping!$J$3:$Q$351,8,FALSE)</f>
        <v>#N/A</v>
      </c>
      <c r="M1897" t="s">
        <v>83</v>
      </c>
    </row>
    <row r="1898" spans="5:13" hidden="1" x14ac:dyDescent="0.35">
      <c r="E1898" s="81"/>
      <c r="I1898" s="83" t="e">
        <f>VLOOKUP(E1898,[1]Mapping!$A$3:$B$14,2,FALSE)</f>
        <v>#N/A</v>
      </c>
      <c r="J1898" s="84">
        <f t="shared" si="60"/>
        <v>0</v>
      </c>
      <c r="K1898" s="84">
        <f t="shared" si="61"/>
        <v>0</v>
      </c>
      <c r="L1898" s="61" t="e">
        <f>VLOOKUP(K1898,[1]Mapping!$J$3:$Q$351,8,FALSE)</f>
        <v>#N/A</v>
      </c>
      <c r="M1898" t="s">
        <v>83</v>
      </c>
    </row>
    <row r="1899" spans="5:13" hidden="1" x14ac:dyDescent="0.35">
      <c r="E1899" s="81"/>
      <c r="I1899" s="83" t="e">
        <f>VLOOKUP(E1899,[1]Mapping!$A$3:$B$14,2,FALSE)</f>
        <v>#N/A</v>
      </c>
      <c r="J1899" s="84">
        <f t="shared" si="60"/>
        <v>0</v>
      </c>
      <c r="K1899" s="84">
        <f t="shared" si="61"/>
        <v>0</v>
      </c>
      <c r="L1899" s="61" t="e">
        <f>VLOOKUP(K1899,[1]Mapping!$J$3:$Q$351,8,FALSE)</f>
        <v>#N/A</v>
      </c>
      <c r="M1899" t="s">
        <v>83</v>
      </c>
    </row>
    <row r="1900" spans="5:13" hidden="1" x14ac:dyDescent="0.35">
      <c r="E1900" s="81"/>
      <c r="I1900" s="83" t="e">
        <f>VLOOKUP(E1900,[1]Mapping!$A$3:$B$14,2,FALSE)</f>
        <v>#N/A</v>
      </c>
      <c r="J1900" s="84">
        <f t="shared" si="60"/>
        <v>0</v>
      </c>
      <c r="K1900" s="84">
        <f t="shared" si="61"/>
        <v>0</v>
      </c>
      <c r="L1900" s="61" t="e">
        <f>VLOOKUP(K1900,[1]Mapping!$J$3:$Q$351,8,FALSE)</f>
        <v>#N/A</v>
      </c>
      <c r="M1900" t="s">
        <v>83</v>
      </c>
    </row>
    <row r="1901" spans="5:13" hidden="1" x14ac:dyDescent="0.35">
      <c r="E1901" s="81"/>
      <c r="I1901" s="83" t="e">
        <f>VLOOKUP(E1901,[1]Mapping!$A$3:$B$14,2,FALSE)</f>
        <v>#N/A</v>
      </c>
      <c r="J1901" s="84">
        <f t="shared" si="60"/>
        <v>0</v>
      </c>
      <c r="K1901" s="84">
        <f t="shared" si="61"/>
        <v>0</v>
      </c>
      <c r="L1901" s="61" t="e">
        <f>VLOOKUP(K1901,[1]Mapping!$J$3:$Q$351,8,FALSE)</f>
        <v>#N/A</v>
      </c>
      <c r="M1901" t="s">
        <v>83</v>
      </c>
    </row>
    <row r="1902" spans="5:13" hidden="1" x14ac:dyDescent="0.35">
      <c r="E1902" s="81"/>
      <c r="I1902" s="83" t="e">
        <f>VLOOKUP(E1902,[1]Mapping!$A$3:$B$14,2,FALSE)</f>
        <v>#N/A</v>
      </c>
      <c r="J1902" s="84">
        <f t="shared" si="60"/>
        <v>0</v>
      </c>
      <c r="K1902" s="84">
        <f t="shared" si="61"/>
        <v>0</v>
      </c>
      <c r="L1902" s="61" t="e">
        <f>VLOOKUP(K1902,[1]Mapping!$J$3:$Q$351,8,FALSE)</f>
        <v>#N/A</v>
      </c>
      <c r="M1902" t="s">
        <v>83</v>
      </c>
    </row>
    <row r="1903" spans="5:13" hidden="1" x14ac:dyDescent="0.35">
      <c r="E1903" s="81"/>
      <c r="I1903" s="83" t="e">
        <f>VLOOKUP(E1903,[1]Mapping!$A$3:$B$14,2,FALSE)</f>
        <v>#N/A</v>
      </c>
      <c r="J1903" s="84">
        <f t="shared" si="60"/>
        <v>0</v>
      </c>
      <c r="K1903" s="84">
        <f t="shared" si="61"/>
        <v>0</v>
      </c>
      <c r="L1903" s="61" t="e">
        <f>VLOOKUP(K1903,[1]Mapping!$J$3:$Q$351,8,FALSE)</f>
        <v>#N/A</v>
      </c>
      <c r="M1903" t="s">
        <v>83</v>
      </c>
    </row>
    <row r="1904" spans="5:13" hidden="1" x14ac:dyDescent="0.35">
      <c r="E1904" s="81"/>
      <c r="I1904" s="83" t="e">
        <f>VLOOKUP(E1904,[1]Mapping!$A$3:$B$14,2,FALSE)</f>
        <v>#N/A</v>
      </c>
      <c r="J1904" s="84">
        <f t="shared" si="60"/>
        <v>0</v>
      </c>
      <c r="K1904" s="84">
        <f t="shared" si="61"/>
        <v>0</v>
      </c>
      <c r="L1904" s="61" t="e">
        <f>VLOOKUP(K1904,[1]Mapping!$J$3:$Q$351,8,FALSE)</f>
        <v>#N/A</v>
      </c>
      <c r="M1904" t="s">
        <v>83</v>
      </c>
    </row>
    <row r="1905" spans="5:13" hidden="1" x14ac:dyDescent="0.35">
      <c r="E1905" s="81"/>
      <c r="I1905" s="83" t="e">
        <f>VLOOKUP(E1905,[1]Mapping!$A$3:$B$14,2,FALSE)</f>
        <v>#N/A</v>
      </c>
      <c r="J1905" s="84">
        <f t="shared" si="60"/>
        <v>0</v>
      </c>
      <c r="K1905" s="84">
        <f t="shared" si="61"/>
        <v>0</v>
      </c>
      <c r="L1905" s="61" t="e">
        <f>VLOOKUP(K1905,[1]Mapping!$J$3:$Q$351,8,FALSE)</f>
        <v>#N/A</v>
      </c>
      <c r="M1905" t="s">
        <v>83</v>
      </c>
    </row>
    <row r="1906" spans="5:13" hidden="1" x14ac:dyDescent="0.35">
      <c r="E1906" s="81"/>
      <c r="I1906" s="83" t="e">
        <f>VLOOKUP(E1906,[1]Mapping!$A$3:$B$14,2,FALSE)</f>
        <v>#N/A</v>
      </c>
      <c r="J1906" s="84">
        <f t="shared" si="60"/>
        <v>0</v>
      </c>
      <c r="K1906" s="84">
        <f t="shared" si="61"/>
        <v>0</v>
      </c>
      <c r="L1906" s="61" t="e">
        <f>VLOOKUP(K1906,[1]Mapping!$J$3:$Q$351,8,FALSE)</f>
        <v>#N/A</v>
      </c>
      <c r="M1906" t="s">
        <v>83</v>
      </c>
    </row>
    <row r="1907" spans="5:13" hidden="1" x14ac:dyDescent="0.35">
      <c r="E1907" s="81"/>
      <c r="I1907" s="83" t="e">
        <f>VLOOKUP(E1907,[1]Mapping!$A$3:$B$14,2,FALSE)</f>
        <v>#N/A</v>
      </c>
      <c r="J1907" s="84">
        <f t="shared" si="60"/>
        <v>0</v>
      </c>
      <c r="K1907" s="84">
        <f t="shared" si="61"/>
        <v>0</v>
      </c>
      <c r="L1907" s="61" t="e">
        <f>VLOOKUP(K1907,[1]Mapping!$J$3:$Q$351,8,FALSE)</f>
        <v>#N/A</v>
      </c>
      <c r="M1907" t="s">
        <v>83</v>
      </c>
    </row>
    <row r="1908" spans="5:13" hidden="1" x14ac:dyDescent="0.35">
      <c r="E1908" s="81"/>
      <c r="I1908" s="83" t="e">
        <f>VLOOKUP(E1908,[1]Mapping!$A$3:$B$14,2,FALSE)</f>
        <v>#N/A</v>
      </c>
      <c r="J1908" s="84">
        <f t="shared" si="60"/>
        <v>0</v>
      </c>
      <c r="K1908" s="84">
        <f t="shared" si="61"/>
        <v>0</v>
      </c>
      <c r="L1908" s="61" t="e">
        <f>VLOOKUP(K1908,[1]Mapping!$J$3:$Q$351,8,FALSE)</f>
        <v>#N/A</v>
      </c>
      <c r="M1908" t="s">
        <v>83</v>
      </c>
    </row>
    <row r="1909" spans="5:13" hidden="1" x14ac:dyDescent="0.35">
      <c r="E1909" s="81"/>
      <c r="I1909" s="83" t="e">
        <f>VLOOKUP(E1909,[1]Mapping!$A$3:$B$14,2,FALSE)</f>
        <v>#N/A</v>
      </c>
      <c r="J1909" s="84">
        <f t="shared" si="60"/>
        <v>0</v>
      </c>
      <c r="K1909" s="84">
        <f t="shared" si="61"/>
        <v>0</v>
      </c>
      <c r="L1909" s="61" t="e">
        <f>VLOOKUP(K1909,[1]Mapping!$J$3:$Q$351,8,FALSE)</f>
        <v>#N/A</v>
      </c>
      <c r="M1909" t="s">
        <v>83</v>
      </c>
    </row>
    <row r="1910" spans="5:13" hidden="1" x14ac:dyDescent="0.35">
      <c r="E1910" s="81"/>
      <c r="I1910" s="83" t="e">
        <f>VLOOKUP(E1910,[1]Mapping!$A$3:$B$14,2,FALSE)</f>
        <v>#N/A</v>
      </c>
      <c r="J1910" s="84">
        <f t="shared" si="60"/>
        <v>0</v>
      </c>
      <c r="K1910" s="84">
        <f t="shared" si="61"/>
        <v>0</v>
      </c>
      <c r="L1910" s="61" t="e">
        <f>VLOOKUP(K1910,[1]Mapping!$J$3:$Q$351,8,FALSE)</f>
        <v>#N/A</v>
      </c>
      <c r="M1910" t="s">
        <v>83</v>
      </c>
    </row>
    <row r="1911" spans="5:13" hidden="1" x14ac:dyDescent="0.35">
      <c r="E1911" s="81"/>
      <c r="I1911" s="83" t="e">
        <f>VLOOKUP(E1911,[1]Mapping!$A$3:$B$14,2,FALSE)</f>
        <v>#N/A</v>
      </c>
      <c r="J1911" s="84">
        <f t="shared" si="60"/>
        <v>0</v>
      </c>
      <c r="K1911" s="84">
        <f t="shared" si="61"/>
        <v>0</v>
      </c>
      <c r="L1911" s="61" t="e">
        <f>VLOOKUP(K1911,[1]Mapping!$J$3:$Q$351,8,FALSE)</f>
        <v>#N/A</v>
      </c>
      <c r="M1911" t="s">
        <v>83</v>
      </c>
    </row>
    <row r="1912" spans="5:13" hidden="1" x14ac:dyDescent="0.35">
      <c r="E1912" s="81"/>
      <c r="I1912" s="83" t="e">
        <f>VLOOKUP(E1912,[1]Mapping!$A$3:$B$14,2,FALSE)</f>
        <v>#N/A</v>
      </c>
      <c r="J1912" s="84">
        <f t="shared" si="60"/>
        <v>0</v>
      </c>
      <c r="K1912" s="84">
        <f t="shared" si="61"/>
        <v>0</v>
      </c>
      <c r="L1912" s="61" t="e">
        <f>VLOOKUP(K1912,[1]Mapping!$J$3:$Q$351,8,FALSE)</f>
        <v>#N/A</v>
      </c>
      <c r="M1912" t="s">
        <v>83</v>
      </c>
    </row>
    <row r="1913" spans="5:13" hidden="1" x14ac:dyDescent="0.35">
      <c r="E1913" s="81"/>
      <c r="I1913" s="83" t="e">
        <f>VLOOKUP(E1913,[1]Mapping!$A$3:$B$14,2,FALSE)</f>
        <v>#N/A</v>
      </c>
      <c r="J1913" s="84">
        <f t="shared" si="60"/>
        <v>0</v>
      </c>
      <c r="K1913" s="84">
        <f t="shared" si="61"/>
        <v>0</v>
      </c>
      <c r="L1913" s="61" t="e">
        <f>VLOOKUP(K1913,[1]Mapping!$J$3:$Q$351,8,FALSE)</f>
        <v>#N/A</v>
      </c>
      <c r="M1913" t="s">
        <v>83</v>
      </c>
    </row>
    <row r="1914" spans="5:13" hidden="1" x14ac:dyDescent="0.35">
      <c r="E1914" s="81"/>
      <c r="I1914" s="83" t="e">
        <f>VLOOKUP(E1914,[1]Mapping!$A$3:$B$14,2,FALSE)</f>
        <v>#N/A</v>
      </c>
      <c r="J1914" s="84">
        <f t="shared" si="60"/>
        <v>0</v>
      </c>
      <c r="K1914" s="84">
        <f t="shared" si="61"/>
        <v>0</v>
      </c>
      <c r="L1914" s="61" t="e">
        <f>VLOOKUP(K1914,[1]Mapping!$J$3:$Q$351,8,FALSE)</f>
        <v>#N/A</v>
      </c>
      <c r="M1914" t="s">
        <v>83</v>
      </c>
    </row>
    <row r="1915" spans="5:13" hidden="1" x14ac:dyDescent="0.35">
      <c r="E1915" s="81"/>
      <c r="I1915" s="83" t="e">
        <f>VLOOKUP(E1915,[1]Mapping!$A$3:$B$14,2,FALSE)</f>
        <v>#N/A</v>
      </c>
      <c r="J1915" s="84">
        <f t="shared" si="60"/>
        <v>0</v>
      </c>
      <c r="K1915" s="84">
        <f t="shared" si="61"/>
        <v>0</v>
      </c>
      <c r="L1915" s="61" t="e">
        <f>VLOOKUP(K1915,[1]Mapping!$J$3:$Q$351,8,FALSE)</f>
        <v>#N/A</v>
      </c>
      <c r="M1915" t="s">
        <v>83</v>
      </c>
    </row>
    <row r="1916" spans="5:13" hidden="1" x14ac:dyDescent="0.35">
      <c r="E1916" s="81"/>
      <c r="I1916" s="83" t="e">
        <f>VLOOKUP(E1916,[1]Mapping!$A$3:$B$14,2,FALSE)</f>
        <v>#N/A</v>
      </c>
      <c r="J1916" s="84">
        <f t="shared" si="60"/>
        <v>0</v>
      </c>
      <c r="K1916" s="84">
        <f t="shared" si="61"/>
        <v>0</v>
      </c>
      <c r="L1916" s="61" t="e">
        <f>VLOOKUP(K1916,[1]Mapping!$J$3:$Q$351,8,FALSE)</f>
        <v>#N/A</v>
      </c>
      <c r="M1916" t="s">
        <v>83</v>
      </c>
    </row>
    <row r="1917" spans="5:13" hidden="1" x14ac:dyDescent="0.35">
      <c r="E1917" s="81"/>
      <c r="I1917" s="83" t="e">
        <f>VLOOKUP(E1917,[1]Mapping!$A$3:$B$14,2,FALSE)</f>
        <v>#N/A</v>
      </c>
      <c r="J1917" s="84">
        <f t="shared" si="60"/>
        <v>0</v>
      </c>
      <c r="K1917" s="84">
        <f t="shared" si="61"/>
        <v>0</v>
      </c>
      <c r="L1917" s="61" t="e">
        <f>VLOOKUP(K1917,[1]Mapping!$J$3:$Q$351,8,FALSE)</f>
        <v>#N/A</v>
      </c>
      <c r="M1917" t="s">
        <v>83</v>
      </c>
    </row>
    <row r="1918" spans="5:13" hidden="1" x14ac:dyDescent="0.35">
      <c r="E1918" s="81"/>
      <c r="I1918" s="83" t="e">
        <f>VLOOKUP(E1918,[1]Mapping!$A$3:$B$14,2,FALSE)</f>
        <v>#N/A</v>
      </c>
      <c r="J1918" s="84">
        <f t="shared" si="60"/>
        <v>0</v>
      </c>
      <c r="K1918" s="84">
        <f t="shared" si="61"/>
        <v>0</v>
      </c>
      <c r="L1918" s="61" t="e">
        <f>VLOOKUP(K1918,[1]Mapping!$J$3:$Q$351,8,FALSE)</f>
        <v>#N/A</v>
      </c>
      <c r="M1918" t="s">
        <v>83</v>
      </c>
    </row>
    <row r="1919" spans="5:13" hidden="1" x14ac:dyDescent="0.35">
      <c r="E1919" s="81"/>
      <c r="I1919" s="83" t="e">
        <f>VLOOKUP(E1919,[1]Mapping!$A$3:$B$14,2,FALSE)</f>
        <v>#N/A</v>
      </c>
      <c r="J1919" s="84">
        <f t="shared" si="60"/>
        <v>0</v>
      </c>
      <c r="K1919" s="84">
        <f t="shared" si="61"/>
        <v>0</v>
      </c>
      <c r="L1919" s="61" t="e">
        <f>VLOOKUP(K1919,[1]Mapping!$J$3:$Q$351,8,FALSE)</f>
        <v>#N/A</v>
      </c>
      <c r="M1919" t="s">
        <v>83</v>
      </c>
    </row>
    <row r="1920" spans="5:13" hidden="1" x14ac:dyDescent="0.35">
      <c r="E1920" s="81"/>
      <c r="I1920" s="83" t="e">
        <f>VLOOKUP(E1920,[1]Mapping!$A$3:$B$14,2,FALSE)</f>
        <v>#N/A</v>
      </c>
      <c r="J1920" s="84">
        <f t="shared" si="60"/>
        <v>0</v>
      </c>
      <c r="K1920" s="84">
        <f t="shared" si="61"/>
        <v>0</v>
      </c>
      <c r="L1920" s="61" t="e">
        <f>VLOOKUP(K1920,[1]Mapping!$J$3:$Q$351,8,FALSE)</f>
        <v>#N/A</v>
      </c>
      <c r="M1920" t="s">
        <v>83</v>
      </c>
    </row>
    <row r="1921" spans="5:13" hidden="1" x14ac:dyDescent="0.35">
      <c r="E1921" s="81"/>
      <c r="I1921" s="83" t="e">
        <f>VLOOKUP(E1921,[1]Mapping!$A$3:$B$14,2,FALSE)</f>
        <v>#N/A</v>
      </c>
      <c r="J1921" s="84">
        <f t="shared" si="60"/>
        <v>0</v>
      </c>
      <c r="K1921" s="84">
        <f t="shared" si="61"/>
        <v>0</v>
      </c>
      <c r="L1921" s="61" t="e">
        <f>VLOOKUP(K1921,[1]Mapping!$J$3:$Q$351,8,FALSE)</f>
        <v>#N/A</v>
      </c>
      <c r="M1921" t="s">
        <v>83</v>
      </c>
    </row>
    <row r="1922" spans="5:13" hidden="1" x14ac:dyDescent="0.35">
      <c r="E1922" s="81"/>
      <c r="I1922" s="83" t="e">
        <f>VLOOKUP(E1922,[1]Mapping!$A$3:$B$14,2,FALSE)</f>
        <v>#N/A</v>
      </c>
      <c r="J1922" s="84">
        <f t="shared" si="60"/>
        <v>0</v>
      </c>
      <c r="K1922" s="84">
        <f t="shared" si="61"/>
        <v>0</v>
      </c>
      <c r="L1922" s="61" t="e">
        <f>VLOOKUP(K1922,[1]Mapping!$J$3:$Q$351,8,FALSE)</f>
        <v>#N/A</v>
      </c>
      <c r="M1922" t="s">
        <v>83</v>
      </c>
    </row>
    <row r="1923" spans="5:13" hidden="1" x14ac:dyDescent="0.35">
      <c r="E1923" s="81"/>
      <c r="I1923" s="83" t="e">
        <f>VLOOKUP(E1923,[1]Mapping!$A$3:$B$14,2,FALSE)</f>
        <v>#N/A</v>
      </c>
      <c r="J1923" s="84">
        <f t="shared" si="60"/>
        <v>0</v>
      </c>
      <c r="K1923" s="84">
        <f t="shared" si="61"/>
        <v>0</v>
      </c>
      <c r="L1923" s="61" t="e">
        <f>VLOOKUP(K1923,[1]Mapping!$J$3:$Q$351,8,FALSE)</f>
        <v>#N/A</v>
      </c>
      <c r="M1923" t="s">
        <v>83</v>
      </c>
    </row>
    <row r="1924" spans="5:13" hidden="1" x14ac:dyDescent="0.35">
      <c r="E1924" s="81"/>
      <c r="I1924" s="83" t="e">
        <f>VLOOKUP(E1924,[1]Mapping!$A$3:$B$14,2,FALSE)</f>
        <v>#N/A</v>
      </c>
      <c r="J1924" s="84">
        <f t="shared" ref="J1924:J1987" si="62">VALUE(A1924)</f>
        <v>0</v>
      </c>
      <c r="K1924" s="84">
        <f t="shared" ref="K1924:K1987" si="63">VALUE(C1924)</f>
        <v>0</v>
      </c>
      <c r="L1924" s="61" t="e">
        <f>VLOOKUP(K1924,[1]Mapping!$J$3:$Q$351,8,FALSE)</f>
        <v>#N/A</v>
      </c>
      <c r="M1924" t="s">
        <v>83</v>
      </c>
    </row>
    <row r="1925" spans="5:13" hidden="1" x14ac:dyDescent="0.35">
      <c r="E1925" s="81"/>
      <c r="I1925" s="83" t="e">
        <f>VLOOKUP(E1925,[1]Mapping!$A$3:$B$14,2,FALSE)</f>
        <v>#N/A</v>
      </c>
      <c r="J1925" s="84">
        <f t="shared" si="62"/>
        <v>0</v>
      </c>
      <c r="K1925" s="84">
        <f t="shared" si="63"/>
        <v>0</v>
      </c>
      <c r="L1925" s="61" t="e">
        <f>VLOOKUP(K1925,[1]Mapping!$J$3:$Q$351,8,FALSE)</f>
        <v>#N/A</v>
      </c>
      <c r="M1925" t="s">
        <v>83</v>
      </c>
    </row>
    <row r="1926" spans="5:13" hidden="1" x14ac:dyDescent="0.35">
      <c r="E1926" s="81"/>
      <c r="I1926" s="83" t="e">
        <f>VLOOKUP(E1926,[1]Mapping!$A$3:$B$14,2,FALSE)</f>
        <v>#N/A</v>
      </c>
      <c r="J1926" s="84">
        <f t="shared" si="62"/>
        <v>0</v>
      </c>
      <c r="K1926" s="84">
        <f t="shared" si="63"/>
        <v>0</v>
      </c>
      <c r="L1926" s="61" t="e">
        <f>VLOOKUP(K1926,[1]Mapping!$J$3:$Q$351,8,FALSE)</f>
        <v>#N/A</v>
      </c>
      <c r="M1926" t="s">
        <v>83</v>
      </c>
    </row>
    <row r="1927" spans="5:13" hidden="1" x14ac:dyDescent="0.35">
      <c r="E1927" s="81"/>
      <c r="I1927" s="83" t="e">
        <f>VLOOKUP(E1927,[1]Mapping!$A$3:$B$14,2,FALSE)</f>
        <v>#N/A</v>
      </c>
      <c r="J1927" s="84">
        <f t="shared" si="62"/>
        <v>0</v>
      </c>
      <c r="K1927" s="84">
        <f t="shared" si="63"/>
        <v>0</v>
      </c>
      <c r="L1927" s="61" t="e">
        <f>VLOOKUP(K1927,[1]Mapping!$J$3:$Q$351,8,FALSE)</f>
        <v>#N/A</v>
      </c>
      <c r="M1927" t="s">
        <v>83</v>
      </c>
    </row>
    <row r="1928" spans="5:13" hidden="1" x14ac:dyDescent="0.35">
      <c r="E1928" s="81"/>
      <c r="I1928" s="83" t="e">
        <f>VLOOKUP(E1928,[1]Mapping!$A$3:$B$14,2,FALSE)</f>
        <v>#N/A</v>
      </c>
      <c r="J1928" s="84">
        <f t="shared" si="62"/>
        <v>0</v>
      </c>
      <c r="K1928" s="84">
        <f t="shared" si="63"/>
        <v>0</v>
      </c>
      <c r="L1928" s="61" t="e">
        <f>VLOOKUP(K1928,[1]Mapping!$J$3:$Q$351,8,FALSE)</f>
        <v>#N/A</v>
      </c>
      <c r="M1928" t="s">
        <v>83</v>
      </c>
    </row>
    <row r="1929" spans="5:13" hidden="1" x14ac:dyDescent="0.35">
      <c r="E1929" s="81"/>
      <c r="I1929" s="83" t="e">
        <f>VLOOKUP(E1929,[1]Mapping!$A$3:$B$14,2,FALSE)</f>
        <v>#N/A</v>
      </c>
      <c r="J1929" s="84">
        <f t="shared" si="62"/>
        <v>0</v>
      </c>
      <c r="K1929" s="84">
        <f t="shared" si="63"/>
        <v>0</v>
      </c>
      <c r="L1929" s="61" t="e">
        <f>VLOOKUP(K1929,[1]Mapping!$J$3:$Q$351,8,FALSE)</f>
        <v>#N/A</v>
      </c>
      <c r="M1929" t="s">
        <v>83</v>
      </c>
    </row>
    <row r="1930" spans="5:13" hidden="1" x14ac:dyDescent="0.35">
      <c r="E1930" s="81"/>
      <c r="I1930" s="83" t="e">
        <f>VLOOKUP(E1930,[1]Mapping!$A$3:$B$14,2,FALSE)</f>
        <v>#N/A</v>
      </c>
      <c r="J1930" s="84">
        <f t="shared" si="62"/>
        <v>0</v>
      </c>
      <c r="K1930" s="84">
        <f t="shared" si="63"/>
        <v>0</v>
      </c>
      <c r="L1930" s="61" t="e">
        <f>VLOOKUP(K1930,[1]Mapping!$J$3:$Q$351,8,FALSE)</f>
        <v>#N/A</v>
      </c>
      <c r="M1930" t="s">
        <v>83</v>
      </c>
    </row>
    <row r="1931" spans="5:13" hidden="1" x14ac:dyDescent="0.35">
      <c r="E1931" s="81"/>
      <c r="I1931" s="83" t="e">
        <f>VLOOKUP(E1931,[1]Mapping!$A$3:$B$14,2,FALSE)</f>
        <v>#N/A</v>
      </c>
      <c r="J1931" s="84">
        <f t="shared" si="62"/>
        <v>0</v>
      </c>
      <c r="K1931" s="84">
        <f t="shared" si="63"/>
        <v>0</v>
      </c>
      <c r="L1931" s="61" t="e">
        <f>VLOOKUP(K1931,[1]Mapping!$J$3:$Q$351,8,FALSE)</f>
        <v>#N/A</v>
      </c>
      <c r="M1931" t="s">
        <v>83</v>
      </c>
    </row>
    <row r="1932" spans="5:13" hidden="1" x14ac:dyDescent="0.35">
      <c r="E1932" s="81"/>
      <c r="I1932" s="83" t="e">
        <f>VLOOKUP(E1932,[1]Mapping!$A$3:$B$14,2,FALSE)</f>
        <v>#N/A</v>
      </c>
      <c r="J1932" s="84">
        <f t="shared" si="62"/>
        <v>0</v>
      </c>
      <c r="K1932" s="84">
        <f t="shared" si="63"/>
        <v>0</v>
      </c>
      <c r="L1932" s="61" t="e">
        <f>VLOOKUP(K1932,[1]Mapping!$J$3:$Q$351,8,FALSE)</f>
        <v>#N/A</v>
      </c>
      <c r="M1932" t="s">
        <v>83</v>
      </c>
    </row>
    <row r="1933" spans="5:13" hidden="1" x14ac:dyDescent="0.35">
      <c r="E1933" s="81"/>
      <c r="I1933" s="83" t="e">
        <f>VLOOKUP(E1933,[1]Mapping!$A$3:$B$14,2,FALSE)</f>
        <v>#N/A</v>
      </c>
      <c r="J1933" s="84">
        <f t="shared" si="62"/>
        <v>0</v>
      </c>
      <c r="K1933" s="84">
        <f t="shared" si="63"/>
        <v>0</v>
      </c>
      <c r="L1933" s="61" t="e">
        <f>VLOOKUP(K1933,[1]Mapping!$J$3:$Q$351,8,FALSE)</f>
        <v>#N/A</v>
      </c>
      <c r="M1933" t="s">
        <v>83</v>
      </c>
    </row>
    <row r="1934" spans="5:13" hidden="1" x14ac:dyDescent="0.35">
      <c r="E1934" s="81"/>
      <c r="I1934" s="83" t="e">
        <f>VLOOKUP(E1934,[1]Mapping!$A$3:$B$14,2,FALSE)</f>
        <v>#N/A</v>
      </c>
      <c r="J1934" s="84">
        <f t="shared" si="62"/>
        <v>0</v>
      </c>
      <c r="K1934" s="84">
        <f t="shared" si="63"/>
        <v>0</v>
      </c>
      <c r="L1934" s="61" t="e">
        <f>VLOOKUP(K1934,[1]Mapping!$J$3:$Q$351,8,FALSE)</f>
        <v>#N/A</v>
      </c>
      <c r="M1934" t="s">
        <v>83</v>
      </c>
    </row>
    <row r="1935" spans="5:13" hidden="1" x14ac:dyDescent="0.35">
      <c r="E1935" s="81"/>
      <c r="I1935" s="83" t="e">
        <f>VLOOKUP(E1935,[1]Mapping!$A$3:$B$14,2,FALSE)</f>
        <v>#N/A</v>
      </c>
      <c r="J1935" s="84">
        <f t="shared" si="62"/>
        <v>0</v>
      </c>
      <c r="K1935" s="84">
        <f t="shared" si="63"/>
        <v>0</v>
      </c>
      <c r="L1935" s="61" t="e">
        <f>VLOOKUP(K1935,[1]Mapping!$J$3:$Q$351,8,FALSE)</f>
        <v>#N/A</v>
      </c>
      <c r="M1935" t="s">
        <v>83</v>
      </c>
    </row>
    <row r="1936" spans="5:13" hidden="1" x14ac:dyDescent="0.35">
      <c r="E1936" s="81"/>
      <c r="I1936" s="83" t="e">
        <f>VLOOKUP(E1936,[1]Mapping!$A$3:$B$14,2,FALSE)</f>
        <v>#N/A</v>
      </c>
      <c r="J1936" s="84">
        <f t="shared" si="62"/>
        <v>0</v>
      </c>
      <c r="K1936" s="84">
        <f t="shared" si="63"/>
        <v>0</v>
      </c>
      <c r="L1936" s="61" t="e">
        <f>VLOOKUP(K1936,[1]Mapping!$J$3:$Q$351,8,FALSE)</f>
        <v>#N/A</v>
      </c>
      <c r="M1936" t="s">
        <v>83</v>
      </c>
    </row>
    <row r="1937" spans="5:13" hidden="1" x14ac:dyDescent="0.35">
      <c r="E1937" s="81"/>
      <c r="I1937" s="83" t="e">
        <f>VLOOKUP(E1937,[1]Mapping!$A$3:$B$14,2,FALSE)</f>
        <v>#N/A</v>
      </c>
      <c r="J1937" s="84">
        <f t="shared" si="62"/>
        <v>0</v>
      </c>
      <c r="K1937" s="84">
        <f t="shared" si="63"/>
        <v>0</v>
      </c>
      <c r="L1937" s="61" t="e">
        <f>VLOOKUP(K1937,[1]Mapping!$J$3:$Q$351,8,FALSE)</f>
        <v>#N/A</v>
      </c>
      <c r="M1937" t="s">
        <v>83</v>
      </c>
    </row>
    <row r="1938" spans="5:13" hidden="1" x14ac:dyDescent="0.35">
      <c r="E1938" s="81"/>
      <c r="I1938" s="83" t="e">
        <f>VLOOKUP(E1938,[1]Mapping!$A$3:$B$14,2,FALSE)</f>
        <v>#N/A</v>
      </c>
      <c r="J1938" s="84">
        <f t="shared" si="62"/>
        <v>0</v>
      </c>
      <c r="K1938" s="84">
        <f t="shared" si="63"/>
        <v>0</v>
      </c>
      <c r="L1938" s="61" t="e">
        <f>VLOOKUP(K1938,[1]Mapping!$J$3:$Q$351,8,FALSE)</f>
        <v>#N/A</v>
      </c>
      <c r="M1938" t="s">
        <v>83</v>
      </c>
    </row>
    <row r="1939" spans="5:13" hidden="1" x14ac:dyDescent="0.35">
      <c r="E1939" s="81"/>
      <c r="I1939" s="83" t="e">
        <f>VLOOKUP(E1939,[1]Mapping!$A$3:$B$14,2,FALSE)</f>
        <v>#N/A</v>
      </c>
      <c r="J1939" s="84">
        <f t="shared" si="62"/>
        <v>0</v>
      </c>
      <c r="K1939" s="84">
        <f t="shared" si="63"/>
        <v>0</v>
      </c>
      <c r="L1939" s="61" t="e">
        <f>VLOOKUP(K1939,[1]Mapping!$J$3:$Q$351,8,FALSE)</f>
        <v>#N/A</v>
      </c>
      <c r="M1939" t="s">
        <v>83</v>
      </c>
    </row>
    <row r="1940" spans="5:13" hidden="1" x14ac:dyDescent="0.35">
      <c r="E1940" s="81"/>
      <c r="I1940" s="83" t="e">
        <f>VLOOKUP(E1940,[1]Mapping!$A$3:$B$14,2,FALSE)</f>
        <v>#N/A</v>
      </c>
      <c r="J1940" s="84">
        <f t="shared" si="62"/>
        <v>0</v>
      </c>
      <c r="K1940" s="84">
        <f t="shared" si="63"/>
        <v>0</v>
      </c>
      <c r="L1940" s="61" t="e">
        <f>VLOOKUP(K1940,[1]Mapping!$J$3:$Q$351,8,FALSE)</f>
        <v>#N/A</v>
      </c>
      <c r="M1940" t="s">
        <v>83</v>
      </c>
    </row>
    <row r="1941" spans="5:13" hidden="1" x14ac:dyDescent="0.35">
      <c r="E1941" s="81"/>
      <c r="I1941" s="83" t="e">
        <f>VLOOKUP(E1941,[1]Mapping!$A$3:$B$14,2,FALSE)</f>
        <v>#N/A</v>
      </c>
      <c r="J1941" s="84">
        <f t="shared" si="62"/>
        <v>0</v>
      </c>
      <c r="K1941" s="84">
        <f t="shared" si="63"/>
        <v>0</v>
      </c>
      <c r="L1941" s="61" t="e">
        <f>VLOOKUP(K1941,[1]Mapping!$J$3:$Q$351,8,FALSE)</f>
        <v>#N/A</v>
      </c>
      <c r="M1941" t="s">
        <v>83</v>
      </c>
    </row>
    <row r="1942" spans="5:13" hidden="1" x14ac:dyDescent="0.35">
      <c r="E1942" s="81"/>
      <c r="I1942" s="83" t="e">
        <f>VLOOKUP(E1942,[1]Mapping!$A$3:$B$14,2,FALSE)</f>
        <v>#N/A</v>
      </c>
      <c r="J1942" s="84">
        <f t="shared" si="62"/>
        <v>0</v>
      </c>
      <c r="K1942" s="84">
        <f t="shared" si="63"/>
        <v>0</v>
      </c>
      <c r="L1942" s="61" t="e">
        <f>VLOOKUP(K1942,[1]Mapping!$J$3:$Q$351,8,FALSE)</f>
        <v>#N/A</v>
      </c>
      <c r="M1942" t="s">
        <v>83</v>
      </c>
    </row>
    <row r="1943" spans="5:13" hidden="1" x14ac:dyDescent="0.35">
      <c r="E1943" s="81"/>
      <c r="I1943" s="83" t="e">
        <f>VLOOKUP(E1943,[1]Mapping!$A$3:$B$14,2,FALSE)</f>
        <v>#N/A</v>
      </c>
      <c r="J1943" s="84">
        <f t="shared" si="62"/>
        <v>0</v>
      </c>
      <c r="K1943" s="84">
        <f t="shared" si="63"/>
        <v>0</v>
      </c>
      <c r="L1943" s="61" t="e">
        <f>VLOOKUP(K1943,[1]Mapping!$J$3:$Q$351,8,FALSE)</f>
        <v>#N/A</v>
      </c>
      <c r="M1943" t="s">
        <v>83</v>
      </c>
    </row>
    <row r="1944" spans="5:13" hidden="1" x14ac:dyDescent="0.35">
      <c r="E1944" s="81"/>
      <c r="I1944" s="83" t="e">
        <f>VLOOKUP(E1944,[1]Mapping!$A$3:$B$14,2,FALSE)</f>
        <v>#N/A</v>
      </c>
      <c r="J1944" s="84">
        <f t="shared" si="62"/>
        <v>0</v>
      </c>
      <c r="K1944" s="84">
        <f t="shared" si="63"/>
        <v>0</v>
      </c>
      <c r="L1944" s="61" t="e">
        <f>VLOOKUP(K1944,[1]Mapping!$J$3:$Q$351,8,FALSE)</f>
        <v>#N/A</v>
      </c>
      <c r="M1944" t="s">
        <v>83</v>
      </c>
    </row>
    <row r="1945" spans="5:13" hidden="1" x14ac:dyDescent="0.35">
      <c r="E1945" s="81"/>
      <c r="I1945" s="83" t="e">
        <f>VLOOKUP(E1945,[1]Mapping!$A$3:$B$14,2,FALSE)</f>
        <v>#N/A</v>
      </c>
      <c r="J1945" s="84">
        <f t="shared" si="62"/>
        <v>0</v>
      </c>
      <c r="K1945" s="84">
        <f t="shared" si="63"/>
        <v>0</v>
      </c>
      <c r="L1945" s="61" t="e">
        <f>VLOOKUP(K1945,[1]Mapping!$J$3:$Q$351,8,FALSE)</f>
        <v>#N/A</v>
      </c>
      <c r="M1945" t="s">
        <v>83</v>
      </c>
    </row>
    <row r="1946" spans="5:13" hidden="1" x14ac:dyDescent="0.35">
      <c r="E1946" s="81"/>
      <c r="I1946" s="83" t="e">
        <f>VLOOKUP(E1946,[1]Mapping!$A$3:$B$14,2,FALSE)</f>
        <v>#N/A</v>
      </c>
      <c r="J1946" s="84">
        <f t="shared" si="62"/>
        <v>0</v>
      </c>
      <c r="K1946" s="84">
        <f t="shared" si="63"/>
        <v>0</v>
      </c>
      <c r="L1946" s="61" t="e">
        <f>VLOOKUP(K1946,[1]Mapping!$J$3:$Q$351,8,FALSE)</f>
        <v>#N/A</v>
      </c>
      <c r="M1946" t="s">
        <v>83</v>
      </c>
    </row>
    <row r="1947" spans="5:13" hidden="1" x14ac:dyDescent="0.35">
      <c r="E1947" s="81"/>
      <c r="I1947" s="83" t="e">
        <f>VLOOKUP(E1947,[1]Mapping!$A$3:$B$14,2,FALSE)</f>
        <v>#N/A</v>
      </c>
      <c r="J1947" s="84">
        <f t="shared" si="62"/>
        <v>0</v>
      </c>
      <c r="K1947" s="84">
        <f t="shared" si="63"/>
        <v>0</v>
      </c>
      <c r="L1947" s="61" t="e">
        <f>VLOOKUP(K1947,[1]Mapping!$J$3:$Q$351,8,FALSE)</f>
        <v>#N/A</v>
      </c>
      <c r="M1947" t="s">
        <v>83</v>
      </c>
    </row>
    <row r="1948" spans="5:13" hidden="1" x14ac:dyDescent="0.35">
      <c r="E1948" s="81"/>
      <c r="I1948" s="83" t="e">
        <f>VLOOKUP(E1948,[1]Mapping!$A$3:$B$14,2,FALSE)</f>
        <v>#N/A</v>
      </c>
      <c r="J1948" s="84">
        <f t="shared" si="62"/>
        <v>0</v>
      </c>
      <c r="K1948" s="84">
        <f t="shared" si="63"/>
        <v>0</v>
      </c>
      <c r="L1948" s="61" t="e">
        <f>VLOOKUP(K1948,[1]Mapping!$J$3:$Q$351,8,FALSE)</f>
        <v>#N/A</v>
      </c>
      <c r="M1948" t="s">
        <v>83</v>
      </c>
    </row>
    <row r="1949" spans="5:13" hidden="1" x14ac:dyDescent="0.35">
      <c r="E1949" s="81"/>
      <c r="I1949" s="83" t="e">
        <f>VLOOKUP(E1949,[1]Mapping!$A$3:$B$14,2,FALSE)</f>
        <v>#N/A</v>
      </c>
      <c r="J1949" s="84">
        <f t="shared" si="62"/>
        <v>0</v>
      </c>
      <c r="K1949" s="84">
        <f t="shared" si="63"/>
        <v>0</v>
      </c>
      <c r="L1949" s="61" t="e">
        <f>VLOOKUP(K1949,[1]Mapping!$J$3:$Q$351,8,FALSE)</f>
        <v>#N/A</v>
      </c>
      <c r="M1949" t="s">
        <v>83</v>
      </c>
    </row>
    <row r="1950" spans="5:13" hidden="1" x14ac:dyDescent="0.35">
      <c r="E1950" s="81"/>
      <c r="I1950" s="83" t="e">
        <f>VLOOKUP(E1950,[1]Mapping!$A$3:$B$14,2,FALSE)</f>
        <v>#N/A</v>
      </c>
      <c r="J1950" s="84">
        <f t="shared" si="62"/>
        <v>0</v>
      </c>
      <c r="K1950" s="84">
        <f t="shared" si="63"/>
        <v>0</v>
      </c>
      <c r="L1950" s="61" t="e">
        <f>VLOOKUP(K1950,[1]Mapping!$J$3:$Q$351,8,FALSE)</f>
        <v>#N/A</v>
      </c>
      <c r="M1950" t="s">
        <v>83</v>
      </c>
    </row>
    <row r="1951" spans="5:13" hidden="1" x14ac:dyDescent="0.35">
      <c r="E1951" s="81"/>
      <c r="I1951" s="83" t="e">
        <f>VLOOKUP(E1951,[1]Mapping!$A$3:$B$14,2,FALSE)</f>
        <v>#N/A</v>
      </c>
      <c r="J1951" s="84">
        <f t="shared" si="62"/>
        <v>0</v>
      </c>
      <c r="K1951" s="84">
        <f t="shared" si="63"/>
        <v>0</v>
      </c>
      <c r="L1951" s="61" t="e">
        <f>VLOOKUP(K1951,[1]Mapping!$J$3:$Q$351,8,FALSE)</f>
        <v>#N/A</v>
      </c>
      <c r="M1951" t="s">
        <v>83</v>
      </c>
    </row>
    <row r="1952" spans="5:13" hidden="1" x14ac:dyDescent="0.35">
      <c r="E1952" s="81"/>
      <c r="I1952" s="83" t="e">
        <f>VLOOKUP(E1952,[1]Mapping!$A$3:$B$14,2,FALSE)</f>
        <v>#N/A</v>
      </c>
      <c r="J1952" s="84">
        <f t="shared" si="62"/>
        <v>0</v>
      </c>
      <c r="K1952" s="84">
        <f t="shared" si="63"/>
        <v>0</v>
      </c>
      <c r="L1952" s="61" t="e">
        <f>VLOOKUP(K1952,[1]Mapping!$J$3:$Q$351,8,FALSE)</f>
        <v>#N/A</v>
      </c>
      <c r="M1952" t="s">
        <v>83</v>
      </c>
    </row>
    <row r="1953" spans="5:13" hidden="1" x14ac:dyDescent="0.35">
      <c r="E1953" s="81"/>
      <c r="I1953" s="83" t="e">
        <f>VLOOKUP(E1953,[1]Mapping!$A$3:$B$14,2,FALSE)</f>
        <v>#N/A</v>
      </c>
      <c r="J1953" s="84">
        <f t="shared" si="62"/>
        <v>0</v>
      </c>
      <c r="K1953" s="84">
        <f t="shared" si="63"/>
        <v>0</v>
      </c>
      <c r="L1953" s="61" t="e">
        <f>VLOOKUP(K1953,[1]Mapping!$J$3:$Q$351,8,FALSE)</f>
        <v>#N/A</v>
      </c>
      <c r="M1953" t="s">
        <v>83</v>
      </c>
    </row>
    <row r="1954" spans="5:13" hidden="1" x14ac:dyDescent="0.35">
      <c r="E1954" s="81"/>
      <c r="I1954" s="83" t="e">
        <f>VLOOKUP(E1954,[1]Mapping!$A$3:$B$14,2,FALSE)</f>
        <v>#N/A</v>
      </c>
      <c r="J1954" s="84">
        <f t="shared" si="62"/>
        <v>0</v>
      </c>
      <c r="K1954" s="84">
        <f t="shared" si="63"/>
        <v>0</v>
      </c>
      <c r="L1954" s="61" t="e">
        <f>VLOOKUP(K1954,[1]Mapping!$J$3:$Q$351,8,FALSE)</f>
        <v>#N/A</v>
      </c>
      <c r="M1954" t="s">
        <v>83</v>
      </c>
    </row>
    <row r="1955" spans="5:13" hidden="1" x14ac:dyDescent="0.35">
      <c r="E1955" s="81"/>
      <c r="I1955" s="83" t="e">
        <f>VLOOKUP(E1955,[1]Mapping!$A$3:$B$14,2,FALSE)</f>
        <v>#N/A</v>
      </c>
      <c r="J1955" s="84">
        <f t="shared" si="62"/>
        <v>0</v>
      </c>
      <c r="K1955" s="84">
        <f t="shared" si="63"/>
        <v>0</v>
      </c>
      <c r="L1955" s="61" t="e">
        <f>VLOOKUP(K1955,[1]Mapping!$J$3:$Q$351,8,FALSE)</f>
        <v>#N/A</v>
      </c>
      <c r="M1955" t="s">
        <v>83</v>
      </c>
    </row>
    <row r="1956" spans="5:13" hidden="1" x14ac:dyDescent="0.35">
      <c r="E1956" s="81"/>
      <c r="I1956" s="83" t="e">
        <f>VLOOKUP(E1956,[1]Mapping!$A$3:$B$14,2,FALSE)</f>
        <v>#N/A</v>
      </c>
      <c r="J1956" s="84">
        <f t="shared" si="62"/>
        <v>0</v>
      </c>
      <c r="K1956" s="84">
        <f t="shared" si="63"/>
        <v>0</v>
      </c>
      <c r="L1956" s="61" t="e">
        <f>VLOOKUP(K1956,[1]Mapping!$J$3:$Q$351,8,FALSE)</f>
        <v>#N/A</v>
      </c>
      <c r="M1956" t="s">
        <v>83</v>
      </c>
    </row>
    <row r="1957" spans="5:13" hidden="1" x14ac:dyDescent="0.35">
      <c r="E1957" s="81"/>
      <c r="I1957" s="83" t="e">
        <f>VLOOKUP(E1957,[1]Mapping!$A$3:$B$14,2,FALSE)</f>
        <v>#N/A</v>
      </c>
      <c r="J1957" s="84">
        <f t="shared" si="62"/>
        <v>0</v>
      </c>
      <c r="K1957" s="84">
        <f t="shared" si="63"/>
        <v>0</v>
      </c>
      <c r="L1957" s="61" t="e">
        <f>VLOOKUP(K1957,[1]Mapping!$J$3:$Q$351,8,FALSE)</f>
        <v>#N/A</v>
      </c>
      <c r="M1957" t="s">
        <v>83</v>
      </c>
    </row>
    <row r="1958" spans="5:13" hidden="1" x14ac:dyDescent="0.35">
      <c r="E1958" s="81"/>
      <c r="I1958" s="83" t="e">
        <f>VLOOKUP(E1958,[1]Mapping!$A$3:$B$14,2,FALSE)</f>
        <v>#N/A</v>
      </c>
      <c r="J1958" s="84">
        <f t="shared" si="62"/>
        <v>0</v>
      </c>
      <c r="K1958" s="84">
        <f t="shared" si="63"/>
        <v>0</v>
      </c>
      <c r="L1958" s="61" t="e">
        <f>VLOOKUP(K1958,[1]Mapping!$J$3:$Q$351,8,FALSE)</f>
        <v>#N/A</v>
      </c>
      <c r="M1958" t="s">
        <v>83</v>
      </c>
    </row>
    <row r="1959" spans="5:13" hidden="1" x14ac:dyDescent="0.35">
      <c r="E1959" s="81"/>
      <c r="I1959" s="83" t="e">
        <f>VLOOKUP(E1959,[1]Mapping!$A$3:$B$14,2,FALSE)</f>
        <v>#N/A</v>
      </c>
      <c r="J1959" s="84">
        <f t="shared" si="62"/>
        <v>0</v>
      </c>
      <c r="K1959" s="84">
        <f t="shared" si="63"/>
        <v>0</v>
      </c>
      <c r="L1959" s="61" t="e">
        <f>VLOOKUP(K1959,[1]Mapping!$J$3:$Q$351,8,FALSE)</f>
        <v>#N/A</v>
      </c>
      <c r="M1959" t="s">
        <v>83</v>
      </c>
    </row>
    <row r="1960" spans="5:13" hidden="1" x14ac:dyDescent="0.35">
      <c r="E1960" s="81"/>
      <c r="I1960" s="83" t="e">
        <f>VLOOKUP(E1960,[1]Mapping!$A$3:$B$14,2,FALSE)</f>
        <v>#N/A</v>
      </c>
      <c r="J1960" s="84">
        <f t="shared" si="62"/>
        <v>0</v>
      </c>
      <c r="K1960" s="84">
        <f t="shared" si="63"/>
        <v>0</v>
      </c>
      <c r="L1960" s="61" t="e">
        <f>VLOOKUP(K1960,[1]Mapping!$J$3:$Q$351,8,FALSE)</f>
        <v>#N/A</v>
      </c>
      <c r="M1960" t="s">
        <v>83</v>
      </c>
    </row>
    <row r="1961" spans="5:13" hidden="1" x14ac:dyDescent="0.35">
      <c r="E1961" s="81"/>
      <c r="I1961" s="83" t="e">
        <f>VLOOKUP(E1961,[1]Mapping!$A$3:$B$14,2,FALSE)</f>
        <v>#N/A</v>
      </c>
      <c r="J1961" s="84">
        <f t="shared" si="62"/>
        <v>0</v>
      </c>
      <c r="K1961" s="84">
        <f t="shared" si="63"/>
        <v>0</v>
      </c>
      <c r="L1961" s="61" t="e">
        <f>VLOOKUP(K1961,[1]Mapping!$J$3:$Q$351,8,FALSE)</f>
        <v>#N/A</v>
      </c>
      <c r="M1961" t="s">
        <v>83</v>
      </c>
    </row>
    <row r="1962" spans="5:13" hidden="1" x14ac:dyDescent="0.35">
      <c r="E1962" s="81"/>
      <c r="I1962" s="83" t="e">
        <f>VLOOKUP(E1962,[1]Mapping!$A$3:$B$14,2,FALSE)</f>
        <v>#N/A</v>
      </c>
      <c r="J1962" s="84">
        <f t="shared" si="62"/>
        <v>0</v>
      </c>
      <c r="K1962" s="84">
        <f t="shared" si="63"/>
        <v>0</v>
      </c>
      <c r="L1962" s="61" t="e">
        <f>VLOOKUP(K1962,[1]Mapping!$J$3:$Q$351,8,FALSE)</f>
        <v>#N/A</v>
      </c>
      <c r="M1962" t="s">
        <v>83</v>
      </c>
    </row>
    <row r="1963" spans="5:13" hidden="1" x14ac:dyDescent="0.35">
      <c r="E1963" s="81"/>
      <c r="I1963" s="83" t="e">
        <f>VLOOKUP(E1963,[1]Mapping!$A$3:$B$14,2,FALSE)</f>
        <v>#N/A</v>
      </c>
      <c r="J1963" s="84">
        <f t="shared" si="62"/>
        <v>0</v>
      </c>
      <c r="K1963" s="84">
        <f t="shared" si="63"/>
        <v>0</v>
      </c>
      <c r="L1963" s="61" t="e">
        <f>VLOOKUP(K1963,[1]Mapping!$J$3:$Q$351,8,FALSE)</f>
        <v>#N/A</v>
      </c>
      <c r="M1963" t="s">
        <v>83</v>
      </c>
    </row>
    <row r="1964" spans="5:13" hidden="1" x14ac:dyDescent="0.35">
      <c r="E1964" s="81"/>
      <c r="I1964" s="83" t="e">
        <f>VLOOKUP(E1964,[1]Mapping!$A$3:$B$14,2,FALSE)</f>
        <v>#N/A</v>
      </c>
      <c r="J1964" s="84">
        <f t="shared" si="62"/>
        <v>0</v>
      </c>
      <c r="K1964" s="84">
        <f t="shared" si="63"/>
        <v>0</v>
      </c>
      <c r="L1964" s="61" t="e">
        <f>VLOOKUP(K1964,[1]Mapping!$J$3:$Q$351,8,FALSE)</f>
        <v>#N/A</v>
      </c>
      <c r="M1964" t="s">
        <v>83</v>
      </c>
    </row>
    <row r="1965" spans="5:13" hidden="1" x14ac:dyDescent="0.35">
      <c r="E1965" s="81"/>
      <c r="I1965" s="83" t="e">
        <f>VLOOKUP(E1965,[1]Mapping!$A$3:$B$14,2,FALSE)</f>
        <v>#N/A</v>
      </c>
      <c r="J1965" s="84">
        <f t="shared" si="62"/>
        <v>0</v>
      </c>
      <c r="K1965" s="84">
        <f t="shared" si="63"/>
        <v>0</v>
      </c>
      <c r="L1965" s="61" t="e">
        <f>VLOOKUP(K1965,[1]Mapping!$J$3:$Q$351,8,FALSE)</f>
        <v>#N/A</v>
      </c>
      <c r="M1965" t="s">
        <v>83</v>
      </c>
    </row>
    <row r="1966" spans="5:13" hidden="1" x14ac:dyDescent="0.35">
      <c r="E1966" s="81"/>
      <c r="I1966" s="83" t="e">
        <f>VLOOKUP(E1966,[1]Mapping!$A$3:$B$14,2,FALSE)</f>
        <v>#N/A</v>
      </c>
      <c r="J1966" s="84">
        <f t="shared" si="62"/>
        <v>0</v>
      </c>
      <c r="K1966" s="84">
        <f t="shared" si="63"/>
        <v>0</v>
      </c>
      <c r="L1966" s="61" t="e">
        <f>VLOOKUP(K1966,[1]Mapping!$J$3:$Q$351,8,FALSE)</f>
        <v>#N/A</v>
      </c>
      <c r="M1966" t="s">
        <v>83</v>
      </c>
    </row>
    <row r="1967" spans="5:13" hidden="1" x14ac:dyDescent="0.35">
      <c r="E1967" s="81"/>
      <c r="I1967" s="83" t="e">
        <f>VLOOKUP(E1967,[1]Mapping!$A$3:$B$14,2,FALSE)</f>
        <v>#N/A</v>
      </c>
      <c r="J1967" s="84">
        <f t="shared" si="62"/>
        <v>0</v>
      </c>
      <c r="K1967" s="84">
        <f t="shared" si="63"/>
        <v>0</v>
      </c>
      <c r="L1967" s="61" t="e">
        <f>VLOOKUP(K1967,[1]Mapping!$J$3:$Q$351,8,FALSE)</f>
        <v>#N/A</v>
      </c>
      <c r="M1967" t="s">
        <v>83</v>
      </c>
    </row>
    <row r="1968" spans="5:13" hidden="1" x14ac:dyDescent="0.35">
      <c r="E1968" s="81"/>
      <c r="I1968" s="83" t="e">
        <f>VLOOKUP(E1968,[1]Mapping!$A$3:$B$14,2,FALSE)</f>
        <v>#N/A</v>
      </c>
      <c r="J1968" s="84">
        <f t="shared" si="62"/>
        <v>0</v>
      </c>
      <c r="K1968" s="84">
        <f t="shared" si="63"/>
        <v>0</v>
      </c>
      <c r="L1968" s="61" t="e">
        <f>VLOOKUP(K1968,[1]Mapping!$J$3:$Q$351,8,FALSE)</f>
        <v>#N/A</v>
      </c>
      <c r="M1968" t="s">
        <v>83</v>
      </c>
    </row>
    <row r="1969" spans="5:13" hidden="1" x14ac:dyDescent="0.35">
      <c r="E1969" s="81"/>
      <c r="I1969" s="83" t="e">
        <f>VLOOKUP(E1969,[1]Mapping!$A$3:$B$14,2,FALSE)</f>
        <v>#N/A</v>
      </c>
      <c r="J1969" s="84">
        <f t="shared" si="62"/>
        <v>0</v>
      </c>
      <c r="K1969" s="84">
        <f t="shared" si="63"/>
        <v>0</v>
      </c>
      <c r="L1969" s="61" t="e">
        <f>VLOOKUP(K1969,[1]Mapping!$J$3:$Q$351,8,FALSE)</f>
        <v>#N/A</v>
      </c>
      <c r="M1969" t="s">
        <v>83</v>
      </c>
    </row>
    <row r="1970" spans="5:13" hidden="1" x14ac:dyDescent="0.35">
      <c r="E1970" s="81"/>
      <c r="I1970" s="83" t="e">
        <f>VLOOKUP(E1970,[1]Mapping!$A$3:$B$14,2,FALSE)</f>
        <v>#N/A</v>
      </c>
      <c r="J1970" s="84">
        <f t="shared" si="62"/>
        <v>0</v>
      </c>
      <c r="K1970" s="84">
        <f t="shared" si="63"/>
        <v>0</v>
      </c>
      <c r="L1970" s="61" t="e">
        <f>VLOOKUP(K1970,[1]Mapping!$J$3:$Q$351,8,FALSE)</f>
        <v>#N/A</v>
      </c>
      <c r="M1970" t="s">
        <v>83</v>
      </c>
    </row>
    <row r="1971" spans="5:13" hidden="1" x14ac:dyDescent="0.35">
      <c r="E1971" s="81"/>
      <c r="I1971" s="83" t="e">
        <f>VLOOKUP(E1971,[1]Mapping!$A$3:$B$14,2,FALSE)</f>
        <v>#N/A</v>
      </c>
      <c r="J1971" s="84">
        <f t="shared" si="62"/>
        <v>0</v>
      </c>
      <c r="K1971" s="84">
        <f t="shared" si="63"/>
        <v>0</v>
      </c>
      <c r="L1971" s="61" t="e">
        <f>VLOOKUP(K1971,[1]Mapping!$J$3:$Q$351,8,FALSE)</f>
        <v>#N/A</v>
      </c>
      <c r="M1971" t="s">
        <v>83</v>
      </c>
    </row>
    <row r="1972" spans="5:13" hidden="1" x14ac:dyDescent="0.35">
      <c r="E1972" s="81"/>
      <c r="I1972" s="83" t="e">
        <f>VLOOKUP(E1972,[1]Mapping!$A$3:$B$14,2,FALSE)</f>
        <v>#N/A</v>
      </c>
      <c r="J1972" s="84">
        <f t="shared" si="62"/>
        <v>0</v>
      </c>
      <c r="K1972" s="84">
        <f t="shared" si="63"/>
        <v>0</v>
      </c>
      <c r="L1972" s="61" t="e">
        <f>VLOOKUP(K1972,[1]Mapping!$J$3:$Q$351,8,FALSE)</f>
        <v>#N/A</v>
      </c>
      <c r="M1972" t="s">
        <v>83</v>
      </c>
    </row>
    <row r="1973" spans="5:13" hidden="1" x14ac:dyDescent="0.35">
      <c r="E1973" s="81"/>
      <c r="I1973" s="83" t="e">
        <f>VLOOKUP(E1973,[1]Mapping!$A$3:$B$14,2,FALSE)</f>
        <v>#N/A</v>
      </c>
      <c r="J1973" s="84">
        <f t="shared" si="62"/>
        <v>0</v>
      </c>
      <c r="K1973" s="84">
        <f t="shared" si="63"/>
        <v>0</v>
      </c>
      <c r="L1973" s="61" t="e">
        <f>VLOOKUP(K1973,[1]Mapping!$J$3:$Q$351,8,FALSE)</f>
        <v>#N/A</v>
      </c>
      <c r="M1973" t="s">
        <v>83</v>
      </c>
    </row>
    <row r="1974" spans="5:13" hidden="1" x14ac:dyDescent="0.35">
      <c r="E1974" s="81"/>
      <c r="I1974" s="83" t="e">
        <f>VLOOKUP(E1974,[1]Mapping!$A$3:$B$14,2,FALSE)</f>
        <v>#N/A</v>
      </c>
      <c r="J1974" s="84">
        <f t="shared" si="62"/>
        <v>0</v>
      </c>
      <c r="K1974" s="84">
        <f t="shared" si="63"/>
        <v>0</v>
      </c>
      <c r="L1974" s="61" t="e">
        <f>VLOOKUP(K1974,[1]Mapping!$J$3:$Q$351,8,FALSE)</f>
        <v>#N/A</v>
      </c>
      <c r="M1974" t="s">
        <v>83</v>
      </c>
    </row>
    <row r="1975" spans="5:13" hidden="1" x14ac:dyDescent="0.35">
      <c r="E1975" s="81"/>
      <c r="I1975" s="83" t="e">
        <f>VLOOKUP(E1975,[1]Mapping!$A$3:$B$14,2,FALSE)</f>
        <v>#N/A</v>
      </c>
      <c r="J1975" s="84">
        <f t="shared" si="62"/>
        <v>0</v>
      </c>
      <c r="K1975" s="84">
        <f t="shared" si="63"/>
        <v>0</v>
      </c>
      <c r="L1975" s="61" t="e">
        <f>VLOOKUP(K1975,[1]Mapping!$J$3:$Q$351,8,FALSE)</f>
        <v>#N/A</v>
      </c>
      <c r="M1975" t="s">
        <v>83</v>
      </c>
    </row>
    <row r="1976" spans="5:13" hidden="1" x14ac:dyDescent="0.35">
      <c r="E1976" s="81"/>
      <c r="I1976" s="83" t="e">
        <f>VLOOKUP(E1976,[1]Mapping!$A$3:$B$14,2,FALSE)</f>
        <v>#N/A</v>
      </c>
      <c r="J1976" s="84">
        <f t="shared" si="62"/>
        <v>0</v>
      </c>
      <c r="K1976" s="84">
        <f t="shared" si="63"/>
        <v>0</v>
      </c>
      <c r="L1976" s="61" t="e">
        <f>VLOOKUP(K1976,[1]Mapping!$J$3:$Q$351,8,FALSE)</f>
        <v>#N/A</v>
      </c>
      <c r="M1976" t="s">
        <v>83</v>
      </c>
    </row>
    <row r="1977" spans="5:13" hidden="1" x14ac:dyDescent="0.35">
      <c r="E1977" s="81"/>
      <c r="I1977" s="83" t="e">
        <f>VLOOKUP(E1977,[1]Mapping!$A$3:$B$14,2,FALSE)</f>
        <v>#N/A</v>
      </c>
      <c r="J1977" s="84">
        <f t="shared" si="62"/>
        <v>0</v>
      </c>
      <c r="K1977" s="84">
        <f t="shared" si="63"/>
        <v>0</v>
      </c>
      <c r="L1977" s="61" t="e">
        <f>VLOOKUP(K1977,[1]Mapping!$J$3:$Q$351,8,FALSE)</f>
        <v>#N/A</v>
      </c>
      <c r="M1977" t="s">
        <v>83</v>
      </c>
    </row>
    <row r="1978" spans="5:13" hidden="1" x14ac:dyDescent="0.35">
      <c r="E1978" s="81"/>
      <c r="I1978" s="83" t="e">
        <f>VLOOKUP(E1978,[1]Mapping!$A$3:$B$14,2,FALSE)</f>
        <v>#N/A</v>
      </c>
      <c r="J1978" s="84">
        <f t="shared" si="62"/>
        <v>0</v>
      </c>
      <c r="K1978" s="84">
        <f t="shared" si="63"/>
        <v>0</v>
      </c>
      <c r="L1978" s="61" t="e">
        <f>VLOOKUP(K1978,[1]Mapping!$J$3:$Q$351,8,FALSE)</f>
        <v>#N/A</v>
      </c>
      <c r="M1978" t="s">
        <v>83</v>
      </c>
    </row>
    <row r="1979" spans="5:13" hidden="1" x14ac:dyDescent="0.35">
      <c r="E1979" s="81"/>
      <c r="I1979" s="83" t="e">
        <f>VLOOKUP(E1979,[1]Mapping!$A$3:$B$14,2,FALSE)</f>
        <v>#N/A</v>
      </c>
      <c r="J1979" s="84">
        <f t="shared" si="62"/>
        <v>0</v>
      </c>
      <c r="K1979" s="84">
        <f t="shared" si="63"/>
        <v>0</v>
      </c>
      <c r="L1979" s="61" t="e">
        <f>VLOOKUP(K1979,[1]Mapping!$J$3:$Q$351,8,FALSE)</f>
        <v>#N/A</v>
      </c>
      <c r="M1979" t="s">
        <v>83</v>
      </c>
    </row>
    <row r="1980" spans="5:13" hidden="1" x14ac:dyDescent="0.35">
      <c r="E1980" s="81"/>
      <c r="I1980" s="83" t="e">
        <f>VLOOKUP(E1980,[1]Mapping!$A$3:$B$14,2,FALSE)</f>
        <v>#N/A</v>
      </c>
      <c r="J1980" s="84">
        <f t="shared" si="62"/>
        <v>0</v>
      </c>
      <c r="K1980" s="84">
        <f t="shared" si="63"/>
        <v>0</v>
      </c>
      <c r="L1980" s="61" t="e">
        <f>VLOOKUP(K1980,[1]Mapping!$J$3:$Q$351,8,FALSE)</f>
        <v>#N/A</v>
      </c>
      <c r="M1980" t="s">
        <v>83</v>
      </c>
    </row>
    <row r="1981" spans="5:13" hidden="1" x14ac:dyDescent="0.35">
      <c r="E1981" s="81"/>
      <c r="I1981" s="83" t="e">
        <f>VLOOKUP(E1981,[1]Mapping!$A$3:$B$14,2,FALSE)</f>
        <v>#N/A</v>
      </c>
      <c r="J1981" s="84">
        <f t="shared" si="62"/>
        <v>0</v>
      </c>
      <c r="K1981" s="84">
        <f t="shared" si="63"/>
        <v>0</v>
      </c>
      <c r="L1981" s="61" t="e">
        <f>VLOOKUP(K1981,[1]Mapping!$J$3:$Q$351,8,FALSE)</f>
        <v>#N/A</v>
      </c>
      <c r="M1981" t="s">
        <v>83</v>
      </c>
    </row>
    <row r="1982" spans="5:13" hidden="1" x14ac:dyDescent="0.35">
      <c r="E1982" s="81"/>
      <c r="I1982" s="83" t="e">
        <f>VLOOKUP(E1982,[1]Mapping!$A$3:$B$14,2,FALSE)</f>
        <v>#N/A</v>
      </c>
      <c r="J1982" s="84">
        <f t="shared" si="62"/>
        <v>0</v>
      </c>
      <c r="K1982" s="84">
        <f t="shared" si="63"/>
        <v>0</v>
      </c>
      <c r="L1982" s="61" t="e">
        <f>VLOOKUP(K1982,[1]Mapping!$J$3:$Q$351,8,FALSE)</f>
        <v>#N/A</v>
      </c>
      <c r="M1982" t="s">
        <v>83</v>
      </c>
    </row>
    <row r="1983" spans="5:13" hidden="1" x14ac:dyDescent="0.35">
      <c r="E1983" s="81"/>
      <c r="I1983" s="83" t="e">
        <f>VLOOKUP(E1983,[1]Mapping!$A$3:$B$14,2,FALSE)</f>
        <v>#N/A</v>
      </c>
      <c r="J1983" s="84">
        <f t="shared" si="62"/>
        <v>0</v>
      </c>
      <c r="K1983" s="84">
        <f t="shared" si="63"/>
        <v>0</v>
      </c>
      <c r="L1983" s="61" t="e">
        <f>VLOOKUP(K1983,[1]Mapping!$J$3:$Q$351,8,FALSE)</f>
        <v>#N/A</v>
      </c>
      <c r="M1983" t="s">
        <v>83</v>
      </c>
    </row>
    <row r="1984" spans="5:13" hidden="1" x14ac:dyDescent="0.35">
      <c r="E1984" s="81"/>
      <c r="I1984" s="83" t="e">
        <f>VLOOKUP(E1984,[1]Mapping!$A$3:$B$14,2,FALSE)</f>
        <v>#N/A</v>
      </c>
      <c r="J1984" s="84">
        <f t="shared" si="62"/>
        <v>0</v>
      </c>
      <c r="K1984" s="84">
        <f t="shared" si="63"/>
        <v>0</v>
      </c>
      <c r="L1984" s="61" t="e">
        <f>VLOOKUP(K1984,[1]Mapping!$J$3:$Q$351,8,FALSE)</f>
        <v>#N/A</v>
      </c>
      <c r="M1984" t="s">
        <v>83</v>
      </c>
    </row>
    <row r="1985" spans="5:13" hidden="1" x14ac:dyDescent="0.35">
      <c r="E1985" s="81"/>
      <c r="I1985" s="83" t="e">
        <f>VLOOKUP(E1985,[1]Mapping!$A$3:$B$14,2,FALSE)</f>
        <v>#N/A</v>
      </c>
      <c r="J1985" s="84">
        <f t="shared" si="62"/>
        <v>0</v>
      </c>
      <c r="K1985" s="84">
        <f t="shared" si="63"/>
        <v>0</v>
      </c>
      <c r="L1985" s="61" t="e">
        <f>VLOOKUP(K1985,[1]Mapping!$J$3:$Q$351,8,FALSE)</f>
        <v>#N/A</v>
      </c>
      <c r="M1985" t="s">
        <v>83</v>
      </c>
    </row>
    <row r="1986" spans="5:13" hidden="1" x14ac:dyDescent="0.35">
      <c r="E1986" s="81"/>
      <c r="I1986" s="83" t="e">
        <f>VLOOKUP(E1986,[1]Mapping!$A$3:$B$14,2,FALSE)</f>
        <v>#N/A</v>
      </c>
      <c r="J1986" s="84">
        <f t="shared" si="62"/>
        <v>0</v>
      </c>
      <c r="K1986" s="84">
        <f t="shared" si="63"/>
        <v>0</v>
      </c>
      <c r="L1986" s="61" t="e">
        <f>VLOOKUP(K1986,[1]Mapping!$J$3:$Q$351,8,FALSE)</f>
        <v>#N/A</v>
      </c>
      <c r="M1986" t="s">
        <v>83</v>
      </c>
    </row>
    <row r="1987" spans="5:13" hidden="1" x14ac:dyDescent="0.35">
      <c r="E1987" s="81"/>
      <c r="I1987" s="83" t="e">
        <f>VLOOKUP(E1987,[1]Mapping!$A$3:$B$14,2,FALSE)</f>
        <v>#N/A</v>
      </c>
      <c r="J1987" s="84">
        <f t="shared" si="62"/>
        <v>0</v>
      </c>
      <c r="K1987" s="84">
        <f t="shared" si="63"/>
        <v>0</v>
      </c>
      <c r="L1987" s="61" t="e">
        <f>VLOOKUP(K1987,[1]Mapping!$J$3:$Q$351,8,FALSE)</f>
        <v>#N/A</v>
      </c>
      <c r="M1987" t="s">
        <v>83</v>
      </c>
    </row>
    <row r="1988" spans="5:13" hidden="1" x14ac:dyDescent="0.35">
      <c r="E1988" s="81"/>
      <c r="I1988" s="83" t="e">
        <f>VLOOKUP(E1988,[1]Mapping!$A$3:$B$14,2,FALSE)</f>
        <v>#N/A</v>
      </c>
      <c r="J1988" s="84">
        <f t="shared" ref="J1988:J2051" si="64">VALUE(A1988)</f>
        <v>0</v>
      </c>
      <c r="K1988" s="84">
        <f t="shared" ref="K1988:K2051" si="65">VALUE(C1988)</f>
        <v>0</v>
      </c>
      <c r="L1988" s="61" t="e">
        <f>VLOOKUP(K1988,[1]Mapping!$J$3:$Q$351,8,FALSE)</f>
        <v>#N/A</v>
      </c>
      <c r="M1988" t="s">
        <v>83</v>
      </c>
    </row>
    <row r="1989" spans="5:13" hidden="1" x14ac:dyDescent="0.35">
      <c r="E1989" s="81"/>
      <c r="I1989" s="83" t="e">
        <f>VLOOKUP(E1989,[1]Mapping!$A$3:$B$14,2,FALSE)</f>
        <v>#N/A</v>
      </c>
      <c r="J1989" s="84">
        <f t="shared" si="64"/>
        <v>0</v>
      </c>
      <c r="K1989" s="84">
        <f t="shared" si="65"/>
        <v>0</v>
      </c>
      <c r="L1989" s="61" t="e">
        <f>VLOOKUP(K1989,[1]Mapping!$J$3:$Q$351,8,FALSE)</f>
        <v>#N/A</v>
      </c>
      <c r="M1989" t="s">
        <v>83</v>
      </c>
    </row>
    <row r="1990" spans="5:13" hidden="1" x14ac:dyDescent="0.35">
      <c r="E1990" s="81"/>
      <c r="I1990" s="83" t="e">
        <f>VLOOKUP(E1990,[1]Mapping!$A$3:$B$14,2,FALSE)</f>
        <v>#N/A</v>
      </c>
      <c r="J1990" s="84">
        <f t="shared" si="64"/>
        <v>0</v>
      </c>
      <c r="K1990" s="84">
        <f t="shared" si="65"/>
        <v>0</v>
      </c>
      <c r="L1990" s="61" t="e">
        <f>VLOOKUP(K1990,[1]Mapping!$J$3:$Q$351,8,FALSE)</f>
        <v>#N/A</v>
      </c>
      <c r="M1990" t="s">
        <v>83</v>
      </c>
    </row>
    <row r="1991" spans="5:13" hidden="1" x14ac:dyDescent="0.35">
      <c r="E1991" s="81"/>
      <c r="I1991" s="83" t="e">
        <f>VLOOKUP(E1991,[1]Mapping!$A$3:$B$14,2,FALSE)</f>
        <v>#N/A</v>
      </c>
      <c r="J1991" s="84">
        <f t="shared" si="64"/>
        <v>0</v>
      </c>
      <c r="K1991" s="84">
        <f t="shared" si="65"/>
        <v>0</v>
      </c>
      <c r="L1991" s="61" t="e">
        <f>VLOOKUP(K1991,[1]Mapping!$J$3:$Q$351,8,FALSE)</f>
        <v>#N/A</v>
      </c>
      <c r="M1991" t="s">
        <v>83</v>
      </c>
    </row>
    <row r="1992" spans="5:13" hidden="1" x14ac:dyDescent="0.35">
      <c r="E1992" s="81"/>
      <c r="I1992" s="83" t="e">
        <f>VLOOKUP(E1992,[1]Mapping!$A$3:$B$14,2,FALSE)</f>
        <v>#N/A</v>
      </c>
      <c r="J1992" s="84">
        <f t="shared" si="64"/>
        <v>0</v>
      </c>
      <c r="K1992" s="84">
        <f t="shared" si="65"/>
        <v>0</v>
      </c>
      <c r="L1992" s="61" t="e">
        <f>VLOOKUP(K1992,[1]Mapping!$J$3:$Q$351,8,FALSE)</f>
        <v>#N/A</v>
      </c>
      <c r="M1992" t="s">
        <v>83</v>
      </c>
    </row>
    <row r="1993" spans="5:13" hidden="1" x14ac:dyDescent="0.35">
      <c r="E1993" s="81"/>
      <c r="I1993" s="83" t="e">
        <f>VLOOKUP(E1993,[1]Mapping!$A$3:$B$14,2,FALSE)</f>
        <v>#N/A</v>
      </c>
      <c r="J1993" s="84">
        <f t="shared" si="64"/>
        <v>0</v>
      </c>
      <c r="K1993" s="84">
        <f t="shared" si="65"/>
        <v>0</v>
      </c>
      <c r="L1993" s="61" t="e">
        <f>VLOOKUP(K1993,[1]Mapping!$J$3:$Q$351,8,FALSE)</f>
        <v>#N/A</v>
      </c>
      <c r="M1993" t="s">
        <v>83</v>
      </c>
    </row>
    <row r="1994" spans="5:13" hidden="1" x14ac:dyDescent="0.35">
      <c r="E1994" s="81"/>
      <c r="I1994" s="83" t="e">
        <f>VLOOKUP(E1994,[1]Mapping!$A$3:$B$14,2,FALSE)</f>
        <v>#N/A</v>
      </c>
      <c r="J1994" s="84">
        <f t="shared" si="64"/>
        <v>0</v>
      </c>
      <c r="K1994" s="84">
        <f t="shared" si="65"/>
        <v>0</v>
      </c>
      <c r="L1994" s="61" t="e">
        <f>VLOOKUP(K1994,[1]Mapping!$J$3:$Q$351,8,FALSE)</f>
        <v>#N/A</v>
      </c>
      <c r="M1994" t="s">
        <v>83</v>
      </c>
    </row>
    <row r="1995" spans="5:13" hidden="1" x14ac:dyDescent="0.35">
      <c r="E1995" s="81"/>
      <c r="I1995" s="83" t="e">
        <f>VLOOKUP(E1995,[1]Mapping!$A$3:$B$14,2,FALSE)</f>
        <v>#N/A</v>
      </c>
      <c r="J1995" s="84">
        <f t="shared" si="64"/>
        <v>0</v>
      </c>
      <c r="K1995" s="84">
        <f t="shared" si="65"/>
        <v>0</v>
      </c>
      <c r="L1995" s="61" t="e">
        <f>VLOOKUP(K1995,[1]Mapping!$J$3:$Q$351,8,FALSE)</f>
        <v>#N/A</v>
      </c>
      <c r="M1995" t="s">
        <v>83</v>
      </c>
    </row>
    <row r="1996" spans="5:13" hidden="1" x14ac:dyDescent="0.35">
      <c r="E1996" s="81"/>
      <c r="I1996" s="83" t="e">
        <f>VLOOKUP(E1996,[1]Mapping!$A$3:$B$14,2,FALSE)</f>
        <v>#N/A</v>
      </c>
      <c r="J1996" s="84">
        <f t="shared" si="64"/>
        <v>0</v>
      </c>
      <c r="K1996" s="84">
        <f t="shared" si="65"/>
        <v>0</v>
      </c>
      <c r="L1996" s="61" t="e">
        <f>VLOOKUP(K1996,[1]Mapping!$J$3:$Q$351,8,FALSE)</f>
        <v>#N/A</v>
      </c>
      <c r="M1996" t="s">
        <v>83</v>
      </c>
    </row>
    <row r="1997" spans="5:13" hidden="1" x14ac:dyDescent="0.35">
      <c r="E1997" s="81"/>
      <c r="I1997" s="83" t="e">
        <f>VLOOKUP(E1997,[1]Mapping!$A$3:$B$14,2,FALSE)</f>
        <v>#N/A</v>
      </c>
      <c r="J1997" s="84">
        <f t="shared" si="64"/>
        <v>0</v>
      </c>
      <c r="K1997" s="84">
        <f t="shared" si="65"/>
        <v>0</v>
      </c>
      <c r="L1997" s="61" t="e">
        <f>VLOOKUP(K1997,[1]Mapping!$J$3:$Q$351,8,FALSE)</f>
        <v>#N/A</v>
      </c>
      <c r="M1997" t="s">
        <v>83</v>
      </c>
    </row>
    <row r="1998" spans="5:13" hidden="1" x14ac:dyDescent="0.35">
      <c r="E1998" s="81"/>
      <c r="I1998" s="83" t="e">
        <f>VLOOKUP(E1998,[1]Mapping!$A$3:$B$14,2,FALSE)</f>
        <v>#N/A</v>
      </c>
      <c r="J1998" s="84">
        <f t="shared" si="64"/>
        <v>0</v>
      </c>
      <c r="K1998" s="84">
        <f t="shared" si="65"/>
        <v>0</v>
      </c>
      <c r="L1998" s="61" t="e">
        <f>VLOOKUP(K1998,[1]Mapping!$J$3:$Q$351,8,FALSE)</f>
        <v>#N/A</v>
      </c>
      <c r="M1998" t="s">
        <v>83</v>
      </c>
    </row>
    <row r="1999" spans="5:13" hidden="1" x14ac:dyDescent="0.35">
      <c r="E1999" s="81"/>
      <c r="I1999" s="83" t="e">
        <f>VLOOKUP(E1999,[1]Mapping!$A$3:$B$14,2,FALSE)</f>
        <v>#N/A</v>
      </c>
      <c r="J1999" s="84">
        <f t="shared" si="64"/>
        <v>0</v>
      </c>
      <c r="K1999" s="84">
        <f t="shared" si="65"/>
        <v>0</v>
      </c>
      <c r="L1999" s="61" t="e">
        <f>VLOOKUP(K1999,[1]Mapping!$J$3:$Q$351,8,FALSE)</f>
        <v>#N/A</v>
      </c>
      <c r="M1999" t="s">
        <v>83</v>
      </c>
    </row>
    <row r="2000" spans="5:13" hidden="1" x14ac:dyDescent="0.35">
      <c r="E2000" s="81"/>
      <c r="I2000" s="83" t="e">
        <f>VLOOKUP(E2000,[1]Mapping!$A$3:$B$14,2,FALSE)</f>
        <v>#N/A</v>
      </c>
      <c r="J2000" s="84">
        <f t="shared" si="64"/>
        <v>0</v>
      </c>
      <c r="K2000" s="84">
        <f t="shared" si="65"/>
        <v>0</v>
      </c>
      <c r="L2000" s="61" t="e">
        <f>VLOOKUP(K2000,[1]Mapping!$J$3:$Q$351,8,FALSE)</f>
        <v>#N/A</v>
      </c>
      <c r="M2000" t="s">
        <v>83</v>
      </c>
    </row>
    <row r="2001" spans="5:13" hidden="1" x14ac:dyDescent="0.35">
      <c r="E2001" s="81"/>
      <c r="I2001" s="83" t="e">
        <f>VLOOKUP(E2001,[1]Mapping!$A$3:$B$14,2,FALSE)</f>
        <v>#N/A</v>
      </c>
      <c r="J2001" s="84">
        <f t="shared" si="64"/>
        <v>0</v>
      </c>
      <c r="K2001" s="84">
        <f t="shared" si="65"/>
        <v>0</v>
      </c>
      <c r="L2001" s="61" t="e">
        <f>VLOOKUP(K2001,[1]Mapping!$J$3:$Q$351,8,FALSE)</f>
        <v>#N/A</v>
      </c>
      <c r="M2001" t="s">
        <v>83</v>
      </c>
    </row>
    <row r="2002" spans="5:13" hidden="1" x14ac:dyDescent="0.35">
      <c r="E2002" s="81"/>
      <c r="I2002" s="83" t="e">
        <f>VLOOKUP(E2002,[1]Mapping!$A$3:$B$14,2,FALSE)</f>
        <v>#N/A</v>
      </c>
      <c r="J2002" s="84">
        <f t="shared" si="64"/>
        <v>0</v>
      </c>
      <c r="K2002" s="84">
        <f t="shared" si="65"/>
        <v>0</v>
      </c>
      <c r="L2002" s="61" t="e">
        <f>VLOOKUP(K2002,[1]Mapping!$J$3:$Q$351,8,FALSE)</f>
        <v>#N/A</v>
      </c>
      <c r="M2002" t="s">
        <v>83</v>
      </c>
    </row>
    <row r="2003" spans="5:13" hidden="1" x14ac:dyDescent="0.35">
      <c r="E2003" s="81"/>
      <c r="I2003" s="83" t="e">
        <f>VLOOKUP(E2003,[1]Mapping!$A$3:$B$14,2,FALSE)</f>
        <v>#N/A</v>
      </c>
      <c r="J2003" s="84">
        <f t="shared" si="64"/>
        <v>0</v>
      </c>
      <c r="K2003" s="84">
        <f t="shared" si="65"/>
        <v>0</v>
      </c>
      <c r="L2003" s="61" t="e">
        <f>VLOOKUP(K2003,[1]Mapping!$J$3:$Q$351,8,FALSE)</f>
        <v>#N/A</v>
      </c>
      <c r="M2003" t="s">
        <v>83</v>
      </c>
    </row>
    <row r="2004" spans="5:13" hidden="1" x14ac:dyDescent="0.35">
      <c r="E2004" s="81"/>
      <c r="I2004" s="83" t="e">
        <f>VLOOKUP(E2004,[1]Mapping!$A$3:$B$14,2,FALSE)</f>
        <v>#N/A</v>
      </c>
      <c r="J2004" s="84">
        <f t="shared" si="64"/>
        <v>0</v>
      </c>
      <c r="K2004" s="84">
        <f t="shared" si="65"/>
        <v>0</v>
      </c>
      <c r="L2004" s="61" t="e">
        <f>VLOOKUP(K2004,[1]Mapping!$J$3:$Q$351,8,FALSE)</f>
        <v>#N/A</v>
      </c>
      <c r="M2004" t="s">
        <v>83</v>
      </c>
    </row>
    <row r="2005" spans="5:13" hidden="1" x14ac:dyDescent="0.35">
      <c r="E2005" s="81"/>
      <c r="I2005" s="83" t="e">
        <f>VLOOKUP(E2005,[1]Mapping!$A$3:$B$14,2,FALSE)</f>
        <v>#N/A</v>
      </c>
      <c r="J2005" s="84">
        <f t="shared" si="64"/>
        <v>0</v>
      </c>
      <c r="K2005" s="84">
        <f t="shared" si="65"/>
        <v>0</v>
      </c>
      <c r="L2005" s="61" t="e">
        <f>VLOOKUP(K2005,[1]Mapping!$J$3:$Q$351,8,FALSE)</f>
        <v>#N/A</v>
      </c>
      <c r="M2005" t="s">
        <v>83</v>
      </c>
    </row>
    <row r="2006" spans="5:13" hidden="1" x14ac:dyDescent="0.35">
      <c r="E2006" s="81"/>
      <c r="I2006" s="83" t="e">
        <f>VLOOKUP(E2006,[1]Mapping!$A$3:$B$14,2,FALSE)</f>
        <v>#N/A</v>
      </c>
      <c r="J2006" s="84">
        <f t="shared" si="64"/>
        <v>0</v>
      </c>
      <c r="K2006" s="84">
        <f t="shared" si="65"/>
        <v>0</v>
      </c>
      <c r="L2006" s="61" t="e">
        <f>VLOOKUP(K2006,[1]Mapping!$J$3:$Q$351,8,FALSE)</f>
        <v>#N/A</v>
      </c>
      <c r="M2006" t="s">
        <v>83</v>
      </c>
    </row>
    <row r="2007" spans="5:13" hidden="1" x14ac:dyDescent="0.35">
      <c r="E2007" s="81"/>
      <c r="I2007" s="83" t="e">
        <f>VLOOKUP(E2007,[1]Mapping!$A$3:$B$14,2,FALSE)</f>
        <v>#N/A</v>
      </c>
      <c r="J2007" s="84">
        <f t="shared" si="64"/>
        <v>0</v>
      </c>
      <c r="K2007" s="84">
        <f t="shared" si="65"/>
        <v>0</v>
      </c>
      <c r="L2007" s="61" t="e">
        <f>VLOOKUP(K2007,[1]Mapping!$J$3:$Q$351,8,FALSE)</f>
        <v>#N/A</v>
      </c>
      <c r="M2007" t="s">
        <v>83</v>
      </c>
    </row>
    <row r="2008" spans="5:13" hidden="1" x14ac:dyDescent="0.35">
      <c r="E2008" s="81"/>
      <c r="I2008" s="83" t="e">
        <f>VLOOKUP(E2008,[1]Mapping!$A$3:$B$14,2,FALSE)</f>
        <v>#N/A</v>
      </c>
      <c r="J2008" s="84">
        <f t="shared" si="64"/>
        <v>0</v>
      </c>
      <c r="K2008" s="84">
        <f t="shared" si="65"/>
        <v>0</v>
      </c>
      <c r="L2008" s="61" t="e">
        <f>VLOOKUP(K2008,[1]Mapping!$J$3:$Q$351,8,FALSE)</f>
        <v>#N/A</v>
      </c>
      <c r="M2008" t="s">
        <v>83</v>
      </c>
    </row>
    <row r="2009" spans="5:13" hidden="1" x14ac:dyDescent="0.35">
      <c r="E2009" s="81"/>
      <c r="I2009" s="83" t="e">
        <f>VLOOKUP(E2009,[1]Mapping!$A$3:$B$14,2,FALSE)</f>
        <v>#N/A</v>
      </c>
      <c r="J2009" s="84">
        <f t="shared" si="64"/>
        <v>0</v>
      </c>
      <c r="K2009" s="84">
        <f t="shared" si="65"/>
        <v>0</v>
      </c>
      <c r="L2009" s="61" t="e">
        <f>VLOOKUP(K2009,[1]Mapping!$J$3:$Q$351,8,FALSE)</f>
        <v>#N/A</v>
      </c>
      <c r="M2009" t="s">
        <v>83</v>
      </c>
    </row>
    <row r="2010" spans="5:13" hidden="1" x14ac:dyDescent="0.35">
      <c r="E2010" s="81"/>
      <c r="I2010" s="83" t="e">
        <f>VLOOKUP(E2010,[1]Mapping!$A$3:$B$14,2,FALSE)</f>
        <v>#N/A</v>
      </c>
      <c r="J2010" s="84">
        <f t="shared" si="64"/>
        <v>0</v>
      </c>
      <c r="K2010" s="84">
        <f t="shared" si="65"/>
        <v>0</v>
      </c>
      <c r="L2010" s="61" t="e">
        <f>VLOOKUP(K2010,[1]Mapping!$J$3:$Q$351,8,FALSE)</f>
        <v>#N/A</v>
      </c>
      <c r="M2010" t="s">
        <v>83</v>
      </c>
    </row>
    <row r="2011" spans="5:13" hidden="1" x14ac:dyDescent="0.35">
      <c r="E2011" s="81"/>
      <c r="I2011" s="83" t="e">
        <f>VLOOKUP(E2011,[1]Mapping!$A$3:$B$14,2,FALSE)</f>
        <v>#N/A</v>
      </c>
      <c r="J2011" s="84">
        <f t="shared" si="64"/>
        <v>0</v>
      </c>
      <c r="K2011" s="84">
        <f t="shared" si="65"/>
        <v>0</v>
      </c>
      <c r="L2011" s="61" t="e">
        <f>VLOOKUP(K2011,[1]Mapping!$J$3:$Q$351,8,FALSE)</f>
        <v>#N/A</v>
      </c>
      <c r="M2011" t="s">
        <v>83</v>
      </c>
    </row>
    <row r="2012" spans="5:13" hidden="1" x14ac:dyDescent="0.35">
      <c r="E2012" s="81"/>
      <c r="I2012" s="83" t="e">
        <f>VLOOKUP(E2012,[1]Mapping!$A$3:$B$14,2,FALSE)</f>
        <v>#N/A</v>
      </c>
      <c r="J2012" s="84">
        <f t="shared" si="64"/>
        <v>0</v>
      </c>
      <c r="K2012" s="84">
        <f t="shared" si="65"/>
        <v>0</v>
      </c>
      <c r="L2012" s="61" t="e">
        <f>VLOOKUP(K2012,[1]Mapping!$J$3:$Q$351,8,FALSE)</f>
        <v>#N/A</v>
      </c>
      <c r="M2012" t="s">
        <v>83</v>
      </c>
    </row>
    <row r="2013" spans="5:13" hidden="1" x14ac:dyDescent="0.35">
      <c r="E2013" s="81"/>
      <c r="I2013" s="83" t="e">
        <f>VLOOKUP(E2013,[1]Mapping!$A$3:$B$14,2,FALSE)</f>
        <v>#N/A</v>
      </c>
      <c r="J2013" s="84">
        <f t="shared" si="64"/>
        <v>0</v>
      </c>
      <c r="K2013" s="84">
        <f t="shared" si="65"/>
        <v>0</v>
      </c>
      <c r="L2013" s="61" t="e">
        <f>VLOOKUP(K2013,[1]Mapping!$J$3:$Q$351,8,FALSE)</f>
        <v>#N/A</v>
      </c>
      <c r="M2013" t="s">
        <v>83</v>
      </c>
    </row>
    <row r="2014" spans="5:13" hidden="1" x14ac:dyDescent="0.35">
      <c r="E2014" s="81"/>
      <c r="I2014" s="83" t="e">
        <f>VLOOKUP(E2014,[1]Mapping!$A$3:$B$14,2,FALSE)</f>
        <v>#N/A</v>
      </c>
      <c r="J2014" s="84">
        <f t="shared" si="64"/>
        <v>0</v>
      </c>
      <c r="K2014" s="84">
        <f t="shared" si="65"/>
        <v>0</v>
      </c>
      <c r="L2014" s="61" t="e">
        <f>VLOOKUP(K2014,[1]Mapping!$J$3:$Q$351,8,FALSE)</f>
        <v>#N/A</v>
      </c>
      <c r="M2014" t="s">
        <v>83</v>
      </c>
    </row>
    <row r="2015" spans="5:13" hidden="1" x14ac:dyDescent="0.35">
      <c r="E2015" s="81"/>
      <c r="I2015" s="83" t="e">
        <f>VLOOKUP(E2015,[1]Mapping!$A$3:$B$14,2,FALSE)</f>
        <v>#N/A</v>
      </c>
      <c r="J2015" s="84">
        <f t="shared" si="64"/>
        <v>0</v>
      </c>
      <c r="K2015" s="84">
        <f t="shared" si="65"/>
        <v>0</v>
      </c>
      <c r="L2015" s="61" t="e">
        <f>VLOOKUP(K2015,[1]Mapping!$J$3:$Q$351,8,FALSE)</f>
        <v>#N/A</v>
      </c>
      <c r="M2015" t="s">
        <v>83</v>
      </c>
    </row>
    <row r="2016" spans="5:13" hidden="1" x14ac:dyDescent="0.35">
      <c r="E2016" s="81"/>
      <c r="I2016" s="83" t="e">
        <f>VLOOKUP(E2016,[1]Mapping!$A$3:$B$14,2,FALSE)</f>
        <v>#N/A</v>
      </c>
      <c r="J2016" s="84">
        <f t="shared" si="64"/>
        <v>0</v>
      </c>
      <c r="K2016" s="84">
        <f t="shared" si="65"/>
        <v>0</v>
      </c>
      <c r="L2016" s="61" t="e">
        <f>VLOOKUP(K2016,[1]Mapping!$J$3:$Q$351,8,FALSE)</f>
        <v>#N/A</v>
      </c>
      <c r="M2016" t="s">
        <v>83</v>
      </c>
    </row>
    <row r="2017" spans="5:13" hidden="1" x14ac:dyDescent="0.35">
      <c r="E2017" s="81"/>
      <c r="I2017" s="83" t="e">
        <f>VLOOKUP(E2017,[1]Mapping!$A$3:$B$14,2,FALSE)</f>
        <v>#N/A</v>
      </c>
      <c r="J2017" s="84">
        <f t="shared" si="64"/>
        <v>0</v>
      </c>
      <c r="K2017" s="84">
        <f t="shared" si="65"/>
        <v>0</v>
      </c>
      <c r="L2017" s="61" t="e">
        <f>VLOOKUP(K2017,[1]Mapping!$J$3:$Q$351,8,FALSE)</f>
        <v>#N/A</v>
      </c>
      <c r="M2017" t="s">
        <v>83</v>
      </c>
    </row>
    <row r="2018" spans="5:13" hidden="1" x14ac:dyDescent="0.35">
      <c r="E2018" s="81"/>
      <c r="I2018" s="83" t="e">
        <f>VLOOKUP(E2018,[1]Mapping!$A$3:$B$14,2,FALSE)</f>
        <v>#N/A</v>
      </c>
      <c r="J2018" s="84">
        <f t="shared" si="64"/>
        <v>0</v>
      </c>
      <c r="K2018" s="84">
        <f t="shared" si="65"/>
        <v>0</v>
      </c>
      <c r="L2018" s="61" t="e">
        <f>VLOOKUP(K2018,[1]Mapping!$J$3:$Q$351,8,FALSE)</f>
        <v>#N/A</v>
      </c>
      <c r="M2018" t="s">
        <v>83</v>
      </c>
    </row>
    <row r="2019" spans="5:13" hidden="1" x14ac:dyDescent="0.35">
      <c r="E2019" s="81"/>
      <c r="I2019" s="83" t="e">
        <f>VLOOKUP(E2019,[1]Mapping!$A$3:$B$14,2,FALSE)</f>
        <v>#N/A</v>
      </c>
      <c r="J2019" s="84">
        <f t="shared" si="64"/>
        <v>0</v>
      </c>
      <c r="K2019" s="84">
        <f t="shared" si="65"/>
        <v>0</v>
      </c>
      <c r="L2019" s="61" t="e">
        <f>VLOOKUP(K2019,[1]Mapping!$J$3:$Q$351,8,FALSE)</f>
        <v>#N/A</v>
      </c>
      <c r="M2019" t="s">
        <v>83</v>
      </c>
    </row>
    <row r="2020" spans="5:13" hidden="1" x14ac:dyDescent="0.35">
      <c r="E2020" s="81"/>
      <c r="I2020" s="83" t="e">
        <f>VLOOKUP(E2020,[1]Mapping!$A$3:$B$14,2,FALSE)</f>
        <v>#N/A</v>
      </c>
      <c r="J2020" s="84">
        <f t="shared" si="64"/>
        <v>0</v>
      </c>
      <c r="K2020" s="84">
        <f t="shared" si="65"/>
        <v>0</v>
      </c>
      <c r="L2020" s="61" t="e">
        <f>VLOOKUP(K2020,[1]Mapping!$J$3:$Q$351,8,FALSE)</f>
        <v>#N/A</v>
      </c>
      <c r="M2020" t="s">
        <v>83</v>
      </c>
    </row>
    <row r="2021" spans="5:13" hidden="1" x14ac:dyDescent="0.35">
      <c r="E2021" s="81"/>
      <c r="I2021" s="83" t="e">
        <f>VLOOKUP(E2021,[1]Mapping!$A$3:$B$14,2,FALSE)</f>
        <v>#N/A</v>
      </c>
      <c r="J2021" s="84">
        <f t="shared" si="64"/>
        <v>0</v>
      </c>
      <c r="K2021" s="84">
        <f t="shared" si="65"/>
        <v>0</v>
      </c>
      <c r="L2021" s="61" t="e">
        <f>VLOOKUP(K2021,[1]Mapping!$J$3:$Q$351,8,FALSE)</f>
        <v>#N/A</v>
      </c>
      <c r="M2021" t="s">
        <v>83</v>
      </c>
    </row>
    <row r="2022" spans="5:13" hidden="1" x14ac:dyDescent="0.35">
      <c r="E2022" s="81"/>
      <c r="I2022" s="83" t="e">
        <f>VLOOKUP(E2022,[1]Mapping!$A$3:$B$14,2,FALSE)</f>
        <v>#N/A</v>
      </c>
      <c r="J2022" s="84">
        <f t="shared" si="64"/>
        <v>0</v>
      </c>
      <c r="K2022" s="84">
        <f t="shared" si="65"/>
        <v>0</v>
      </c>
      <c r="L2022" s="61" t="e">
        <f>VLOOKUP(K2022,[1]Mapping!$J$3:$Q$351,8,FALSE)</f>
        <v>#N/A</v>
      </c>
      <c r="M2022" t="s">
        <v>83</v>
      </c>
    </row>
    <row r="2023" spans="5:13" hidden="1" x14ac:dyDescent="0.35">
      <c r="E2023" s="81"/>
      <c r="I2023" s="83" t="e">
        <f>VLOOKUP(E2023,[1]Mapping!$A$3:$B$14,2,FALSE)</f>
        <v>#N/A</v>
      </c>
      <c r="J2023" s="84">
        <f t="shared" si="64"/>
        <v>0</v>
      </c>
      <c r="K2023" s="84">
        <f t="shared" si="65"/>
        <v>0</v>
      </c>
      <c r="L2023" s="61" t="e">
        <f>VLOOKUP(K2023,[1]Mapping!$J$3:$Q$351,8,FALSE)</f>
        <v>#N/A</v>
      </c>
      <c r="M2023" t="s">
        <v>83</v>
      </c>
    </row>
    <row r="2024" spans="5:13" hidden="1" x14ac:dyDescent="0.35">
      <c r="E2024" s="81"/>
      <c r="I2024" s="83" t="e">
        <f>VLOOKUP(E2024,[1]Mapping!$A$3:$B$14,2,FALSE)</f>
        <v>#N/A</v>
      </c>
      <c r="J2024" s="84">
        <f t="shared" si="64"/>
        <v>0</v>
      </c>
      <c r="K2024" s="84">
        <f t="shared" si="65"/>
        <v>0</v>
      </c>
      <c r="L2024" s="61" t="e">
        <f>VLOOKUP(K2024,[1]Mapping!$J$3:$Q$351,8,FALSE)</f>
        <v>#N/A</v>
      </c>
      <c r="M2024" t="s">
        <v>83</v>
      </c>
    </row>
    <row r="2025" spans="5:13" hidden="1" x14ac:dyDescent="0.35">
      <c r="E2025" s="81"/>
      <c r="I2025" s="83" t="e">
        <f>VLOOKUP(E2025,[1]Mapping!$A$3:$B$14,2,FALSE)</f>
        <v>#N/A</v>
      </c>
      <c r="J2025" s="84">
        <f t="shared" si="64"/>
        <v>0</v>
      </c>
      <c r="K2025" s="84">
        <f t="shared" si="65"/>
        <v>0</v>
      </c>
      <c r="L2025" s="61" t="e">
        <f>VLOOKUP(K2025,[1]Mapping!$J$3:$Q$351,8,FALSE)</f>
        <v>#N/A</v>
      </c>
      <c r="M2025" t="s">
        <v>83</v>
      </c>
    </row>
    <row r="2026" spans="5:13" hidden="1" x14ac:dyDescent="0.35">
      <c r="E2026" s="81"/>
      <c r="I2026" s="83" t="e">
        <f>VLOOKUP(E2026,[1]Mapping!$A$3:$B$14,2,FALSE)</f>
        <v>#N/A</v>
      </c>
      <c r="J2026" s="84">
        <f t="shared" si="64"/>
        <v>0</v>
      </c>
      <c r="K2026" s="84">
        <f t="shared" si="65"/>
        <v>0</v>
      </c>
      <c r="L2026" s="61" t="e">
        <f>VLOOKUP(K2026,[1]Mapping!$J$3:$Q$351,8,FALSE)</f>
        <v>#N/A</v>
      </c>
      <c r="M2026" t="s">
        <v>83</v>
      </c>
    </row>
    <row r="2027" spans="5:13" hidden="1" x14ac:dyDescent="0.35">
      <c r="E2027" s="81"/>
      <c r="I2027" s="83" t="e">
        <f>VLOOKUP(E2027,[1]Mapping!$A$3:$B$14,2,FALSE)</f>
        <v>#N/A</v>
      </c>
      <c r="J2027" s="84">
        <f t="shared" si="64"/>
        <v>0</v>
      </c>
      <c r="K2027" s="84">
        <f t="shared" si="65"/>
        <v>0</v>
      </c>
      <c r="L2027" s="61" t="e">
        <f>VLOOKUP(K2027,[1]Mapping!$J$3:$Q$351,8,FALSE)</f>
        <v>#N/A</v>
      </c>
      <c r="M2027" t="s">
        <v>83</v>
      </c>
    </row>
    <row r="2028" spans="5:13" hidden="1" x14ac:dyDescent="0.35">
      <c r="E2028" s="81"/>
      <c r="I2028" s="83" t="e">
        <f>VLOOKUP(E2028,[1]Mapping!$A$3:$B$14,2,FALSE)</f>
        <v>#N/A</v>
      </c>
      <c r="J2028" s="84">
        <f t="shared" si="64"/>
        <v>0</v>
      </c>
      <c r="K2028" s="84">
        <f t="shared" si="65"/>
        <v>0</v>
      </c>
      <c r="L2028" s="61" t="e">
        <f>VLOOKUP(K2028,[1]Mapping!$J$3:$Q$351,8,FALSE)</f>
        <v>#N/A</v>
      </c>
      <c r="M2028" t="s">
        <v>83</v>
      </c>
    </row>
    <row r="2029" spans="5:13" hidden="1" x14ac:dyDescent="0.35">
      <c r="E2029" s="81"/>
      <c r="I2029" s="83" t="e">
        <f>VLOOKUP(E2029,[1]Mapping!$A$3:$B$14,2,FALSE)</f>
        <v>#N/A</v>
      </c>
      <c r="J2029" s="84">
        <f t="shared" si="64"/>
        <v>0</v>
      </c>
      <c r="K2029" s="84">
        <f t="shared" si="65"/>
        <v>0</v>
      </c>
      <c r="L2029" s="61" t="e">
        <f>VLOOKUP(K2029,[1]Mapping!$J$3:$Q$351,8,FALSE)</f>
        <v>#N/A</v>
      </c>
      <c r="M2029" t="s">
        <v>83</v>
      </c>
    </row>
    <row r="2030" spans="5:13" hidden="1" x14ac:dyDescent="0.35">
      <c r="E2030" s="81"/>
      <c r="I2030" s="83" t="e">
        <f>VLOOKUP(E2030,[1]Mapping!$A$3:$B$14,2,FALSE)</f>
        <v>#N/A</v>
      </c>
      <c r="J2030" s="84">
        <f t="shared" si="64"/>
        <v>0</v>
      </c>
      <c r="K2030" s="84">
        <f t="shared" si="65"/>
        <v>0</v>
      </c>
      <c r="L2030" s="61" t="e">
        <f>VLOOKUP(K2030,[1]Mapping!$J$3:$Q$351,8,FALSE)</f>
        <v>#N/A</v>
      </c>
      <c r="M2030" t="s">
        <v>83</v>
      </c>
    </row>
    <row r="2031" spans="5:13" hidden="1" x14ac:dyDescent="0.35">
      <c r="E2031" s="81"/>
      <c r="I2031" s="83" t="e">
        <f>VLOOKUP(E2031,[1]Mapping!$A$3:$B$14,2,FALSE)</f>
        <v>#N/A</v>
      </c>
      <c r="J2031" s="84">
        <f t="shared" si="64"/>
        <v>0</v>
      </c>
      <c r="K2031" s="84">
        <f t="shared" si="65"/>
        <v>0</v>
      </c>
      <c r="L2031" s="61" t="e">
        <f>VLOOKUP(K2031,[1]Mapping!$J$3:$Q$351,8,FALSE)</f>
        <v>#N/A</v>
      </c>
      <c r="M2031" t="s">
        <v>83</v>
      </c>
    </row>
    <row r="2032" spans="5:13" hidden="1" x14ac:dyDescent="0.35">
      <c r="E2032" s="81"/>
      <c r="I2032" s="83" t="e">
        <f>VLOOKUP(E2032,[1]Mapping!$A$3:$B$14,2,FALSE)</f>
        <v>#N/A</v>
      </c>
      <c r="J2032" s="84">
        <f t="shared" si="64"/>
        <v>0</v>
      </c>
      <c r="K2032" s="84">
        <f t="shared" si="65"/>
        <v>0</v>
      </c>
      <c r="L2032" s="61" t="e">
        <f>VLOOKUP(K2032,[1]Mapping!$J$3:$Q$351,8,FALSE)</f>
        <v>#N/A</v>
      </c>
      <c r="M2032" t="s">
        <v>83</v>
      </c>
    </row>
    <row r="2033" spans="5:13" hidden="1" x14ac:dyDescent="0.35">
      <c r="E2033" s="81"/>
      <c r="I2033" s="83" t="e">
        <f>VLOOKUP(E2033,[1]Mapping!$A$3:$B$14,2,FALSE)</f>
        <v>#N/A</v>
      </c>
      <c r="J2033" s="84">
        <f t="shared" si="64"/>
        <v>0</v>
      </c>
      <c r="K2033" s="84">
        <f t="shared" si="65"/>
        <v>0</v>
      </c>
      <c r="L2033" s="61" t="e">
        <f>VLOOKUP(K2033,[1]Mapping!$J$3:$Q$351,8,FALSE)</f>
        <v>#N/A</v>
      </c>
      <c r="M2033" t="s">
        <v>83</v>
      </c>
    </row>
    <row r="2034" spans="5:13" hidden="1" x14ac:dyDescent="0.35">
      <c r="E2034" s="81"/>
      <c r="I2034" s="83" t="e">
        <f>VLOOKUP(E2034,[1]Mapping!$A$3:$B$14,2,FALSE)</f>
        <v>#N/A</v>
      </c>
      <c r="J2034" s="84">
        <f t="shared" si="64"/>
        <v>0</v>
      </c>
      <c r="K2034" s="84">
        <f t="shared" si="65"/>
        <v>0</v>
      </c>
      <c r="L2034" s="61" t="e">
        <f>VLOOKUP(K2034,[1]Mapping!$J$3:$Q$351,8,FALSE)</f>
        <v>#N/A</v>
      </c>
      <c r="M2034" t="s">
        <v>83</v>
      </c>
    </row>
    <row r="2035" spans="5:13" hidden="1" x14ac:dyDescent="0.35">
      <c r="E2035" s="81"/>
      <c r="I2035" s="83" t="e">
        <f>VLOOKUP(E2035,[1]Mapping!$A$3:$B$14,2,FALSE)</f>
        <v>#N/A</v>
      </c>
      <c r="J2035" s="84">
        <f t="shared" si="64"/>
        <v>0</v>
      </c>
      <c r="K2035" s="84">
        <f t="shared" si="65"/>
        <v>0</v>
      </c>
      <c r="L2035" s="61" t="e">
        <f>VLOOKUP(K2035,[1]Mapping!$J$3:$Q$351,8,FALSE)</f>
        <v>#N/A</v>
      </c>
      <c r="M2035" t="s">
        <v>83</v>
      </c>
    </row>
    <row r="2036" spans="5:13" hidden="1" x14ac:dyDescent="0.35">
      <c r="E2036" s="81"/>
      <c r="I2036" s="83" t="e">
        <f>VLOOKUP(E2036,[1]Mapping!$A$3:$B$14,2,FALSE)</f>
        <v>#N/A</v>
      </c>
      <c r="J2036" s="84">
        <f t="shared" si="64"/>
        <v>0</v>
      </c>
      <c r="K2036" s="84">
        <f t="shared" si="65"/>
        <v>0</v>
      </c>
      <c r="L2036" s="61" t="e">
        <f>VLOOKUP(K2036,[1]Mapping!$J$3:$Q$351,8,FALSE)</f>
        <v>#N/A</v>
      </c>
      <c r="M2036" t="s">
        <v>83</v>
      </c>
    </row>
    <row r="2037" spans="5:13" hidden="1" x14ac:dyDescent="0.35">
      <c r="E2037" s="81"/>
      <c r="I2037" s="83" t="e">
        <f>VLOOKUP(E2037,[1]Mapping!$A$3:$B$14,2,FALSE)</f>
        <v>#N/A</v>
      </c>
      <c r="J2037" s="84">
        <f t="shared" si="64"/>
        <v>0</v>
      </c>
      <c r="K2037" s="84">
        <f t="shared" si="65"/>
        <v>0</v>
      </c>
      <c r="L2037" s="61" t="e">
        <f>VLOOKUP(K2037,[1]Mapping!$J$3:$Q$351,8,FALSE)</f>
        <v>#N/A</v>
      </c>
      <c r="M2037" t="s">
        <v>83</v>
      </c>
    </row>
    <row r="2038" spans="5:13" hidden="1" x14ac:dyDescent="0.35">
      <c r="E2038" s="81"/>
      <c r="I2038" s="83" t="e">
        <f>VLOOKUP(E2038,[1]Mapping!$A$3:$B$14,2,FALSE)</f>
        <v>#N/A</v>
      </c>
      <c r="J2038" s="84">
        <f t="shared" si="64"/>
        <v>0</v>
      </c>
      <c r="K2038" s="84">
        <f t="shared" si="65"/>
        <v>0</v>
      </c>
      <c r="L2038" s="61" t="e">
        <f>VLOOKUP(K2038,[1]Mapping!$J$3:$Q$351,8,FALSE)</f>
        <v>#N/A</v>
      </c>
      <c r="M2038" t="s">
        <v>83</v>
      </c>
    </row>
    <row r="2039" spans="5:13" hidden="1" x14ac:dyDescent="0.35">
      <c r="E2039" s="81"/>
      <c r="I2039" s="83" t="e">
        <f>VLOOKUP(E2039,[1]Mapping!$A$3:$B$14,2,FALSE)</f>
        <v>#N/A</v>
      </c>
      <c r="J2039" s="84">
        <f t="shared" si="64"/>
        <v>0</v>
      </c>
      <c r="K2039" s="84">
        <f t="shared" si="65"/>
        <v>0</v>
      </c>
      <c r="L2039" s="61" t="e">
        <f>VLOOKUP(K2039,[1]Mapping!$J$3:$Q$351,8,FALSE)</f>
        <v>#N/A</v>
      </c>
      <c r="M2039" t="s">
        <v>83</v>
      </c>
    </row>
    <row r="2040" spans="5:13" hidden="1" x14ac:dyDescent="0.35">
      <c r="E2040" s="81"/>
      <c r="I2040" s="83" t="e">
        <f>VLOOKUP(E2040,[1]Mapping!$A$3:$B$14,2,FALSE)</f>
        <v>#N/A</v>
      </c>
      <c r="J2040" s="84">
        <f t="shared" si="64"/>
        <v>0</v>
      </c>
      <c r="K2040" s="84">
        <f t="shared" si="65"/>
        <v>0</v>
      </c>
      <c r="L2040" s="61" t="e">
        <f>VLOOKUP(K2040,[1]Mapping!$J$3:$Q$351,8,FALSE)</f>
        <v>#N/A</v>
      </c>
      <c r="M2040" t="s">
        <v>83</v>
      </c>
    </row>
    <row r="2041" spans="5:13" hidden="1" x14ac:dyDescent="0.35">
      <c r="E2041" s="81"/>
      <c r="I2041" s="83" t="e">
        <f>VLOOKUP(E2041,[1]Mapping!$A$3:$B$14,2,FALSE)</f>
        <v>#N/A</v>
      </c>
      <c r="J2041" s="84">
        <f t="shared" si="64"/>
        <v>0</v>
      </c>
      <c r="K2041" s="84">
        <f t="shared" si="65"/>
        <v>0</v>
      </c>
      <c r="L2041" s="61" t="e">
        <f>VLOOKUP(K2041,[1]Mapping!$J$3:$Q$351,8,FALSE)</f>
        <v>#N/A</v>
      </c>
      <c r="M2041" t="s">
        <v>83</v>
      </c>
    </row>
    <row r="2042" spans="5:13" hidden="1" x14ac:dyDescent="0.35">
      <c r="E2042" s="81"/>
      <c r="I2042" s="83" t="e">
        <f>VLOOKUP(E2042,[1]Mapping!$A$3:$B$14,2,FALSE)</f>
        <v>#N/A</v>
      </c>
      <c r="J2042" s="84">
        <f t="shared" si="64"/>
        <v>0</v>
      </c>
      <c r="K2042" s="84">
        <f t="shared" si="65"/>
        <v>0</v>
      </c>
      <c r="L2042" s="61" t="e">
        <f>VLOOKUP(K2042,[1]Mapping!$J$3:$Q$351,8,FALSE)</f>
        <v>#N/A</v>
      </c>
      <c r="M2042" t="s">
        <v>83</v>
      </c>
    </row>
    <row r="2043" spans="5:13" hidden="1" x14ac:dyDescent="0.35">
      <c r="E2043" s="81"/>
      <c r="I2043" s="83" t="e">
        <f>VLOOKUP(E2043,[1]Mapping!$A$3:$B$14,2,FALSE)</f>
        <v>#N/A</v>
      </c>
      <c r="J2043" s="84">
        <f t="shared" si="64"/>
        <v>0</v>
      </c>
      <c r="K2043" s="84">
        <f t="shared" si="65"/>
        <v>0</v>
      </c>
      <c r="L2043" s="61" t="e">
        <f>VLOOKUP(K2043,[1]Mapping!$J$3:$Q$351,8,FALSE)</f>
        <v>#N/A</v>
      </c>
      <c r="M2043" t="s">
        <v>83</v>
      </c>
    </row>
    <row r="2044" spans="5:13" hidden="1" x14ac:dyDescent="0.35">
      <c r="E2044" s="81"/>
      <c r="I2044" s="83" t="e">
        <f>VLOOKUP(E2044,[1]Mapping!$A$3:$B$14,2,FALSE)</f>
        <v>#N/A</v>
      </c>
      <c r="J2044" s="84">
        <f t="shared" si="64"/>
        <v>0</v>
      </c>
      <c r="K2044" s="84">
        <f t="shared" si="65"/>
        <v>0</v>
      </c>
      <c r="L2044" s="61" t="e">
        <f>VLOOKUP(K2044,[1]Mapping!$J$3:$Q$351,8,FALSE)</f>
        <v>#N/A</v>
      </c>
      <c r="M2044" t="s">
        <v>83</v>
      </c>
    </row>
    <row r="2045" spans="5:13" hidden="1" x14ac:dyDescent="0.35">
      <c r="E2045" s="81"/>
      <c r="I2045" s="83" t="e">
        <f>VLOOKUP(E2045,[1]Mapping!$A$3:$B$14,2,FALSE)</f>
        <v>#N/A</v>
      </c>
      <c r="J2045" s="84">
        <f t="shared" si="64"/>
        <v>0</v>
      </c>
      <c r="K2045" s="84">
        <f t="shared" si="65"/>
        <v>0</v>
      </c>
      <c r="L2045" s="61" t="e">
        <f>VLOOKUP(K2045,[1]Mapping!$J$3:$Q$351,8,FALSE)</f>
        <v>#N/A</v>
      </c>
      <c r="M2045" t="s">
        <v>83</v>
      </c>
    </row>
    <row r="2046" spans="5:13" hidden="1" x14ac:dyDescent="0.35">
      <c r="E2046" s="81"/>
      <c r="I2046" s="83" t="e">
        <f>VLOOKUP(E2046,[1]Mapping!$A$3:$B$14,2,FALSE)</f>
        <v>#N/A</v>
      </c>
      <c r="J2046" s="84">
        <f t="shared" si="64"/>
        <v>0</v>
      </c>
      <c r="K2046" s="84">
        <f t="shared" si="65"/>
        <v>0</v>
      </c>
      <c r="L2046" s="61" t="e">
        <f>VLOOKUP(K2046,[1]Mapping!$J$3:$Q$351,8,FALSE)</f>
        <v>#N/A</v>
      </c>
      <c r="M2046" t="s">
        <v>83</v>
      </c>
    </row>
    <row r="2047" spans="5:13" hidden="1" x14ac:dyDescent="0.35">
      <c r="E2047" s="81"/>
      <c r="I2047" s="83" t="e">
        <f>VLOOKUP(E2047,[1]Mapping!$A$3:$B$14,2,FALSE)</f>
        <v>#N/A</v>
      </c>
      <c r="J2047" s="84">
        <f t="shared" si="64"/>
        <v>0</v>
      </c>
      <c r="K2047" s="84">
        <f t="shared" si="65"/>
        <v>0</v>
      </c>
      <c r="L2047" s="61" t="e">
        <f>VLOOKUP(K2047,[1]Mapping!$J$3:$Q$351,8,FALSE)</f>
        <v>#N/A</v>
      </c>
      <c r="M2047" t="s">
        <v>83</v>
      </c>
    </row>
    <row r="2048" spans="5:13" hidden="1" x14ac:dyDescent="0.35">
      <c r="E2048" s="81"/>
      <c r="I2048" s="83" t="e">
        <f>VLOOKUP(E2048,[1]Mapping!$A$3:$B$14,2,FALSE)</f>
        <v>#N/A</v>
      </c>
      <c r="J2048" s="84">
        <f t="shared" si="64"/>
        <v>0</v>
      </c>
      <c r="K2048" s="84">
        <f t="shared" si="65"/>
        <v>0</v>
      </c>
      <c r="L2048" s="61" t="e">
        <f>VLOOKUP(K2048,[1]Mapping!$J$3:$Q$351,8,FALSE)</f>
        <v>#N/A</v>
      </c>
      <c r="M2048" t="s">
        <v>83</v>
      </c>
    </row>
    <row r="2049" spans="5:13" hidden="1" x14ac:dyDescent="0.35">
      <c r="E2049" s="81"/>
      <c r="I2049" s="83" t="e">
        <f>VLOOKUP(E2049,[1]Mapping!$A$3:$B$14,2,FALSE)</f>
        <v>#N/A</v>
      </c>
      <c r="J2049" s="84">
        <f t="shared" si="64"/>
        <v>0</v>
      </c>
      <c r="K2049" s="84">
        <f t="shared" si="65"/>
        <v>0</v>
      </c>
      <c r="L2049" s="61" t="e">
        <f>VLOOKUP(K2049,[1]Mapping!$J$3:$Q$351,8,FALSE)</f>
        <v>#N/A</v>
      </c>
      <c r="M2049" t="s">
        <v>83</v>
      </c>
    </row>
    <row r="2050" spans="5:13" hidden="1" x14ac:dyDescent="0.35">
      <c r="E2050" s="81"/>
      <c r="I2050" s="83" t="e">
        <f>VLOOKUP(E2050,[1]Mapping!$A$3:$B$14,2,FALSE)</f>
        <v>#N/A</v>
      </c>
      <c r="J2050" s="84">
        <f t="shared" si="64"/>
        <v>0</v>
      </c>
      <c r="K2050" s="84">
        <f t="shared" si="65"/>
        <v>0</v>
      </c>
      <c r="L2050" s="61" t="e">
        <f>VLOOKUP(K2050,[1]Mapping!$J$3:$Q$351,8,FALSE)</f>
        <v>#N/A</v>
      </c>
      <c r="M2050" t="s">
        <v>83</v>
      </c>
    </row>
    <row r="2051" spans="5:13" hidden="1" x14ac:dyDescent="0.35">
      <c r="E2051" s="81"/>
      <c r="I2051" s="83" t="e">
        <f>VLOOKUP(E2051,[1]Mapping!$A$3:$B$14,2,FALSE)</f>
        <v>#N/A</v>
      </c>
      <c r="J2051" s="84">
        <f t="shared" si="64"/>
        <v>0</v>
      </c>
      <c r="K2051" s="84">
        <f t="shared" si="65"/>
        <v>0</v>
      </c>
      <c r="L2051" s="61" t="e">
        <f>VLOOKUP(K2051,[1]Mapping!$J$3:$Q$351,8,FALSE)</f>
        <v>#N/A</v>
      </c>
      <c r="M2051" t="s">
        <v>83</v>
      </c>
    </row>
    <row r="2052" spans="5:13" hidden="1" x14ac:dyDescent="0.35">
      <c r="E2052" s="81"/>
      <c r="I2052" s="83" t="e">
        <f>VLOOKUP(E2052,[1]Mapping!$A$3:$B$14,2,FALSE)</f>
        <v>#N/A</v>
      </c>
      <c r="J2052" s="84">
        <f t="shared" ref="J2052:J2115" si="66">VALUE(A2052)</f>
        <v>0</v>
      </c>
      <c r="K2052" s="84">
        <f t="shared" ref="K2052:K2115" si="67">VALUE(C2052)</f>
        <v>0</v>
      </c>
      <c r="L2052" s="61" t="e">
        <f>VLOOKUP(K2052,[1]Mapping!$J$3:$Q$351,8,FALSE)</f>
        <v>#N/A</v>
      </c>
      <c r="M2052" t="s">
        <v>83</v>
      </c>
    </row>
    <row r="2053" spans="5:13" hidden="1" x14ac:dyDescent="0.35">
      <c r="E2053" s="81"/>
      <c r="I2053" s="83" t="e">
        <f>VLOOKUP(E2053,[1]Mapping!$A$3:$B$14,2,FALSE)</f>
        <v>#N/A</v>
      </c>
      <c r="J2053" s="84">
        <f t="shared" si="66"/>
        <v>0</v>
      </c>
      <c r="K2053" s="84">
        <f t="shared" si="67"/>
        <v>0</v>
      </c>
      <c r="L2053" s="61" t="e">
        <f>VLOOKUP(K2053,[1]Mapping!$J$3:$Q$351,8,FALSE)</f>
        <v>#N/A</v>
      </c>
      <c r="M2053" t="s">
        <v>83</v>
      </c>
    </row>
    <row r="2054" spans="5:13" hidden="1" x14ac:dyDescent="0.35">
      <c r="E2054" s="81"/>
      <c r="I2054" s="83" t="e">
        <f>VLOOKUP(E2054,[1]Mapping!$A$3:$B$14,2,FALSE)</f>
        <v>#N/A</v>
      </c>
      <c r="J2054" s="84">
        <f t="shared" si="66"/>
        <v>0</v>
      </c>
      <c r="K2054" s="84">
        <f t="shared" si="67"/>
        <v>0</v>
      </c>
      <c r="L2054" s="61" t="e">
        <f>VLOOKUP(K2054,[1]Mapping!$J$3:$Q$351,8,FALSE)</f>
        <v>#N/A</v>
      </c>
      <c r="M2054" t="s">
        <v>83</v>
      </c>
    </row>
    <row r="2055" spans="5:13" hidden="1" x14ac:dyDescent="0.35">
      <c r="E2055" s="81"/>
      <c r="I2055" s="83" t="e">
        <f>VLOOKUP(E2055,[1]Mapping!$A$3:$B$14,2,FALSE)</f>
        <v>#N/A</v>
      </c>
      <c r="J2055" s="84">
        <f t="shared" si="66"/>
        <v>0</v>
      </c>
      <c r="K2055" s="84">
        <f t="shared" si="67"/>
        <v>0</v>
      </c>
      <c r="L2055" s="61" t="e">
        <f>VLOOKUP(K2055,[1]Mapping!$J$3:$Q$351,8,FALSE)</f>
        <v>#N/A</v>
      </c>
      <c r="M2055" t="s">
        <v>83</v>
      </c>
    </row>
    <row r="2056" spans="5:13" hidden="1" x14ac:dyDescent="0.35">
      <c r="E2056" s="81"/>
      <c r="I2056" s="83" t="e">
        <f>VLOOKUP(E2056,[1]Mapping!$A$3:$B$14,2,FALSE)</f>
        <v>#N/A</v>
      </c>
      <c r="J2056" s="84">
        <f t="shared" si="66"/>
        <v>0</v>
      </c>
      <c r="K2056" s="84">
        <f t="shared" si="67"/>
        <v>0</v>
      </c>
      <c r="L2056" s="61" t="e">
        <f>VLOOKUP(K2056,[1]Mapping!$J$3:$Q$351,8,FALSE)</f>
        <v>#N/A</v>
      </c>
      <c r="M2056" t="s">
        <v>83</v>
      </c>
    </row>
    <row r="2057" spans="5:13" hidden="1" x14ac:dyDescent="0.35">
      <c r="E2057" s="81"/>
      <c r="I2057" s="83" t="e">
        <f>VLOOKUP(E2057,[1]Mapping!$A$3:$B$14,2,FALSE)</f>
        <v>#N/A</v>
      </c>
      <c r="J2057" s="84">
        <f t="shared" si="66"/>
        <v>0</v>
      </c>
      <c r="K2057" s="84">
        <f t="shared" si="67"/>
        <v>0</v>
      </c>
      <c r="L2057" s="61" t="e">
        <f>VLOOKUP(K2057,[1]Mapping!$J$3:$Q$351,8,FALSE)</f>
        <v>#N/A</v>
      </c>
      <c r="M2057" t="s">
        <v>83</v>
      </c>
    </row>
    <row r="2058" spans="5:13" hidden="1" x14ac:dyDescent="0.35">
      <c r="E2058" s="81"/>
      <c r="I2058" s="83" t="e">
        <f>VLOOKUP(E2058,[1]Mapping!$A$3:$B$14,2,FALSE)</f>
        <v>#N/A</v>
      </c>
      <c r="J2058" s="84">
        <f t="shared" si="66"/>
        <v>0</v>
      </c>
      <c r="K2058" s="84">
        <f t="shared" si="67"/>
        <v>0</v>
      </c>
      <c r="L2058" s="61" t="e">
        <f>VLOOKUP(K2058,[1]Mapping!$J$3:$Q$351,8,FALSE)</f>
        <v>#N/A</v>
      </c>
      <c r="M2058" t="s">
        <v>83</v>
      </c>
    </row>
    <row r="2059" spans="5:13" hidden="1" x14ac:dyDescent="0.35">
      <c r="E2059" s="81"/>
      <c r="I2059" s="83" t="e">
        <f>VLOOKUP(E2059,[1]Mapping!$A$3:$B$14,2,FALSE)</f>
        <v>#N/A</v>
      </c>
      <c r="J2059" s="84">
        <f t="shared" si="66"/>
        <v>0</v>
      </c>
      <c r="K2059" s="84">
        <f t="shared" si="67"/>
        <v>0</v>
      </c>
      <c r="L2059" s="61" t="e">
        <f>VLOOKUP(K2059,[1]Mapping!$J$3:$Q$351,8,FALSE)</f>
        <v>#N/A</v>
      </c>
      <c r="M2059" t="s">
        <v>83</v>
      </c>
    </row>
    <row r="2060" spans="5:13" hidden="1" x14ac:dyDescent="0.35">
      <c r="E2060" s="81"/>
      <c r="I2060" s="83" t="e">
        <f>VLOOKUP(E2060,[1]Mapping!$A$3:$B$14,2,FALSE)</f>
        <v>#N/A</v>
      </c>
      <c r="J2060" s="84">
        <f t="shared" si="66"/>
        <v>0</v>
      </c>
      <c r="K2060" s="84">
        <f t="shared" si="67"/>
        <v>0</v>
      </c>
      <c r="L2060" s="61" t="e">
        <f>VLOOKUP(K2060,[1]Mapping!$J$3:$Q$351,8,FALSE)</f>
        <v>#N/A</v>
      </c>
      <c r="M2060" t="s">
        <v>83</v>
      </c>
    </row>
    <row r="2061" spans="5:13" hidden="1" x14ac:dyDescent="0.35">
      <c r="E2061" s="81"/>
      <c r="I2061" s="83" t="e">
        <f>VLOOKUP(E2061,[1]Mapping!$A$3:$B$14,2,FALSE)</f>
        <v>#N/A</v>
      </c>
      <c r="J2061" s="84">
        <f t="shared" si="66"/>
        <v>0</v>
      </c>
      <c r="K2061" s="84">
        <f t="shared" si="67"/>
        <v>0</v>
      </c>
      <c r="L2061" s="61" t="e">
        <f>VLOOKUP(K2061,[1]Mapping!$J$3:$Q$351,8,FALSE)</f>
        <v>#N/A</v>
      </c>
      <c r="M2061" t="s">
        <v>83</v>
      </c>
    </row>
    <row r="2062" spans="5:13" hidden="1" x14ac:dyDescent="0.35">
      <c r="E2062" s="81"/>
      <c r="I2062" s="83" t="e">
        <f>VLOOKUP(E2062,[1]Mapping!$A$3:$B$14,2,FALSE)</f>
        <v>#N/A</v>
      </c>
      <c r="J2062" s="84">
        <f t="shared" si="66"/>
        <v>0</v>
      </c>
      <c r="K2062" s="84">
        <f t="shared" si="67"/>
        <v>0</v>
      </c>
      <c r="L2062" s="61" t="e">
        <f>VLOOKUP(K2062,[1]Mapping!$J$3:$Q$351,8,FALSE)</f>
        <v>#N/A</v>
      </c>
      <c r="M2062" t="s">
        <v>83</v>
      </c>
    </row>
    <row r="2063" spans="5:13" hidden="1" x14ac:dyDescent="0.35">
      <c r="E2063" s="81"/>
      <c r="I2063" s="83" t="e">
        <f>VLOOKUP(E2063,[1]Mapping!$A$3:$B$14,2,FALSE)</f>
        <v>#N/A</v>
      </c>
      <c r="J2063" s="84">
        <f t="shared" si="66"/>
        <v>0</v>
      </c>
      <c r="K2063" s="84">
        <f t="shared" si="67"/>
        <v>0</v>
      </c>
      <c r="L2063" s="61" t="e">
        <f>VLOOKUP(K2063,[1]Mapping!$J$3:$Q$351,8,FALSE)</f>
        <v>#N/A</v>
      </c>
      <c r="M2063" t="s">
        <v>83</v>
      </c>
    </row>
    <row r="2064" spans="5:13" hidden="1" x14ac:dyDescent="0.35">
      <c r="E2064" s="81"/>
      <c r="I2064" s="83" t="e">
        <f>VLOOKUP(E2064,[1]Mapping!$A$3:$B$14,2,FALSE)</f>
        <v>#N/A</v>
      </c>
      <c r="J2064" s="84">
        <f t="shared" si="66"/>
        <v>0</v>
      </c>
      <c r="K2064" s="84">
        <f t="shared" si="67"/>
        <v>0</v>
      </c>
      <c r="L2064" s="61" t="e">
        <f>VLOOKUP(K2064,[1]Mapping!$J$3:$Q$351,8,FALSE)</f>
        <v>#N/A</v>
      </c>
      <c r="M2064" t="s">
        <v>83</v>
      </c>
    </row>
    <row r="2065" spans="5:15" hidden="1" x14ac:dyDescent="0.35">
      <c r="E2065" s="81"/>
      <c r="H2065" s="82"/>
      <c r="I2065" s="83" t="e">
        <f>VLOOKUP(E2065,[1]Mapping!$A$3:$B$14,2,FALSE)</f>
        <v>#N/A</v>
      </c>
      <c r="J2065" s="84">
        <f t="shared" si="66"/>
        <v>0</v>
      </c>
      <c r="K2065" s="84">
        <f t="shared" si="67"/>
        <v>0</v>
      </c>
      <c r="L2065" s="61" t="e">
        <f>VLOOKUP(K2065,[1]Mapping!$J$3:$Q$351,8,FALSE)</f>
        <v>#N/A</v>
      </c>
      <c r="M2065" t="s">
        <v>83</v>
      </c>
      <c r="N2065" t="s">
        <v>177</v>
      </c>
      <c r="O2065" t="s">
        <v>178</v>
      </c>
    </row>
    <row r="2066" spans="5:15" hidden="1" x14ac:dyDescent="0.35">
      <c r="E2066" s="81"/>
      <c r="H2066" s="82"/>
      <c r="I2066" s="83" t="e">
        <f>VLOOKUP(E2066,[1]Mapping!$A$3:$B$14,2,FALSE)</f>
        <v>#N/A</v>
      </c>
      <c r="J2066" s="84">
        <f t="shared" si="66"/>
        <v>0</v>
      </c>
      <c r="K2066" s="84">
        <f t="shared" si="67"/>
        <v>0</v>
      </c>
      <c r="L2066" s="61" t="e">
        <f>VLOOKUP(K2066,[1]Mapping!$J$3:$Q$351,8,FALSE)</f>
        <v>#N/A</v>
      </c>
      <c r="M2066" t="s">
        <v>83</v>
      </c>
      <c r="N2066" t="s">
        <v>177</v>
      </c>
      <c r="O2066" t="s">
        <v>178</v>
      </c>
    </row>
    <row r="2067" spans="5:15" hidden="1" x14ac:dyDescent="0.35">
      <c r="E2067" s="81"/>
      <c r="I2067" s="83" t="e">
        <f>VLOOKUP(E2067,[1]Mapping!$A$3:$B$14,2,FALSE)</f>
        <v>#N/A</v>
      </c>
      <c r="J2067" s="84">
        <f t="shared" si="66"/>
        <v>0</v>
      </c>
      <c r="K2067" s="84">
        <f t="shared" si="67"/>
        <v>0</v>
      </c>
      <c r="L2067" s="61" t="e">
        <f>VLOOKUP(K2067,[1]Mapping!$J$3:$Q$351,8,FALSE)</f>
        <v>#N/A</v>
      </c>
      <c r="M2067" t="s">
        <v>83</v>
      </c>
    </row>
    <row r="2068" spans="5:15" hidden="1" x14ac:dyDescent="0.35">
      <c r="E2068" s="81"/>
      <c r="I2068" s="83" t="e">
        <f>VLOOKUP(E2068,[1]Mapping!$A$3:$B$14,2,FALSE)</f>
        <v>#N/A</v>
      </c>
      <c r="J2068" s="84">
        <f t="shared" si="66"/>
        <v>0</v>
      </c>
      <c r="K2068" s="84">
        <f t="shared" si="67"/>
        <v>0</v>
      </c>
      <c r="L2068" s="61" t="e">
        <f>VLOOKUP(K2068,[1]Mapping!$J$3:$Q$351,8,FALSE)</f>
        <v>#N/A</v>
      </c>
      <c r="M2068" t="s">
        <v>83</v>
      </c>
    </row>
    <row r="2069" spans="5:15" hidden="1" x14ac:dyDescent="0.35">
      <c r="E2069" s="81"/>
      <c r="I2069" s="83" t="e">
        <f>VLOOKUP(E2069,[1]Mapping!$A$3:$B$14,2,FALSE)</f>
        <v>#N/A</v>
      </c>
      <c r="J2069" s="84">
        <f t="shared" si="66"/>
        <v>0</v>
      </c>
      <c r="K2069" s="84">
        <f t="shared" si="67"/>
        <v>0</v>
      </c>
      <c r="L2069" s="61" t="e">
        <f>VLOOKUP(K2069,[1]Mapping!$J$3:$Q$351,8,FALSE)</f>
        <v>#N/A</v>
      </c>
      <c r="M2069" t="s">
        <v>83</v>
      </c>
    </row>
    <row r="2070" spans="5:15" hidden="1" x14ac:dyDescent="0.35">
      <c r="E2070" s="81"/>
      <c r="I2070" s="83" t="e">
        <f>VLOOKUP(E2070,[1]Mapping!$A$3:$B$14,2,FALSE)</f>
        <v>#N/A</v>
      </c>
      <c r="J2070" s="84">
        <f t="shared" si="66"/>
        <v>0</v>
      </c>
      <c r="K2070" s="84">
        <f t="shared" si="67"/>
        <v>0</v>
      </c>
      <c r="L2070" s="61" t="e">
        <f>VLOOKUP(K2070,[1]Mapping!$J$3:$Q$351,8,FALSE)</f>
        <v>#N/A</v>
      </c>
      <c r="M2070" t="s">
        <v>83</v>
      </c>
    </row>
    <row r="2071" spans="5:15" hidden="1" x14ac:dyDescent="0.35">
      <c r="E2071" s="81"/>
      <c r="I2071" s="83" t="e">
        <f>VLOOKUP(E2071,[1]Mapping!$A$3:$B$14,2,FALSE)</f>
        <v>#N/A</v>
      </c>
      <c r="J2071" s="84">
        <f t="shared" si="66"/>
        <v>0</v>
      </c>
      <c r="K2071" s="84">
        <f t="shared" si="67"/>
        <v>0</v>
      </c>
      <c r="L2071" s="61" t="e">
        <f>VLOOKUP(K2071,[1]Mapping!$J$3:$Q$351,8,FALSE)</f>
        <v>#N/A</v>
      </c>
      <c r="M2071" t="s">
        <v>83</v>
      </c>
    </row>
    <row r="2072" spans="5:15" hidden="1" x14ac:dyDescent="0.35">
      <c r="E2072" s="81"/>
      <c r="I2072" s="83" t="e">
        <f>VLOOKUP(E2072,[1]Mapping!$A$3:$B$14,2,FALSE)</f>
        <v>#N/A</v>
      </c>
      <c r="J2072" s="84">
        <f t="shared" si="66"/>
        <v>0</v>
      </c>
      <c r="K2072" s="84">
        <f t="shared" si="67"/>
        <v>0</v>
      </c>
      <c r="L2072" s="61" t="e">
        <f>VLOOKUP(K2072,[1]Mapping!$J$3:$Q$351,8,FALSE)</f>
        <v>#N/A</v>
      </c>
      <c r="M2072" t="s">
        <v>83</v>
      </c>
    </row>
    <row r="2073" spans="5:15" hidden="1" x14ac:dyDescent="0.35">
      <c r="E2073" s="81"/>
      <c r="I2073" s="83" t="e">
        <f>VLOOKUP(E2073,[1]Mapping!$A$3:$B$14,2,FALSE)</f>
        <v>#N/A</v>
      </c>
      <c r="J2073" s="84">
        <f t="shared" si="66"/>
        <v>0</v>
      </c>
      <c r="K2073" s="84">
        <f t="shared" si="67"/>
        <v>0</v>
      </c>
      <c r="L2073" s="61" t="e">
        <f>VLOOKUP(K2073,[1]Mapping!$J$3:$Q$351,8,FALSE)</f>
        <v>#N/A</v>
      </c>
      <c r="M2073" t="s">
        <v>83</v>
      </c>
    </row>
    <row r="2074" spans="5:15" hidden="1" x14ac:dyDescent="0.35">
      <c r="E2074" s="81"/>
      <c r="I2074" s="83" t="e">
        <f>VLOOKUP(E2074,[1]Mapping!$A$3:$B$14,2,FALSE)</f>
        <v>#N/A</v>
      </c>
      <c r="J2074" s="84">
        <f t="shared" si="66"/>
        <v>0</v>
      </c>
      <c r="K2074" s="84">
        <f t="shared" si="67"/>
        <v>0</v>
      </c>
      <c r="L2074" s="61" t="e">
        <f>VLOOKUP(K2074,[1]Mapping!$J$3:$Q$351,8,FALSE)</f>
        <v>#N/A</v>
      </c>
      <c r="M2074" t="s">
        <v>83</v>
      </c>
    </row>
    <row r="2075" spans="5:15" hidden="1" x14ac:dyDescent="0.35">
      <c r="E2075" s="81"/>
      <c r="I2075" s="83" t="e">
        <f>VLOOKUP(E2075,[1]Mapping!$A$3:$B$14,2,FALSE)</f>
        <v>#N/A</v>
      </c>
      <c r="J2075" s="84">
        <f t="shared" si="66"/>
        <v>0</v>
      </c>
      <c r="K2075" s="84">
        <f t="shared" si="67"/>
        <v>0</v>
      </c>
      <c r="L2075" s="61" t="e">
        <f>VLOOKUP(K2075,[1]Mapping!$J$3:$Q$351,8,FALSE)</f>
        <v>#N/A</v>
      </c>
      <c r="M2075" t="s">
        <v>83</v>
      </c>
    </row>
    <row r="2076" spans="5:15" hidden="1" x14ac:dyDescent="0.35">
      <c r="E2076" s="81"/>
      <c r="I2076" s="83" t="e">
        <f>VLOOKUP(E2076,[1]Mapping!$A$3:$B$14,2,FALSE)</f>
        <v>#N/A</v>
      </c>
      <c r="J2076" s="84">
        <f t="shared" si="66"/>
        <v>0</v>
      </c>
      <c r="K2076" s="84">
        <f t="shared" si="67"/>
        <v>0</v>
      </c>
      <c r="L2076" s="61" t="e">
        <f>VLOOKUP(K2076,[1]Mapping!$J$3:$Q$351,8,FALSE)</f>
        <v>#N/A</v>
      </c>
      <c r="M2076" t="s">
        <v>83</v>
      </c>
    </row>
    <row r="2077" spans="5:15" hidden="1" x14ac:dyDescent="0.35">
      <c r="E2077" s="81"/>
      <c r="I2077" s="83" t="e">
        <f>VLOOKUP(E2077,[1]Mapping!$A$3:$B$14,2,FALSE)</f>
        <v>#N/A</v>
      </c>
      <c r="J2077" s="84">
        <f t="shared" si="66"/>
        <v>0</v>
      </c>
      <c r="K2077" s="84">
        <f t="shared" si="67"/>
        <v>0</v>
      </c>
      <c r="L2077" s="61" t="e">
        <f>VLOOKUP(K2077,[1]Mapping!$J$3:$Q$351,8,FALSE)</f>
        <v>#N/A</v>
      </c>
      <c r="M2077" t="s">
        <v>83</v>
      </c>
    </row>
    <row r="2078" spans="5:15" hidden="1" x14ac:dyDescent="0.35">
      <c r="E2078" s="81"/>
      <c r="I2078" s="83" t="e">
        <f>VLOOKUP(E2078,[1]Mapping!$A$3:$B$14,2,FALSE)</f>
        <v>#N/A</v>
      </c>
      <c r="J2078" s="84">
        <f t="shared" si="66"/>
        <v>0</v>
      </c>
      <c r="K2078" s="84">
        <f t="shared" si="67"/>
        <v>0</v>
      </c>
      <c r="L2078" s="61" t="e">
        <f>VLOOKUP(K2078,[1]Mapping!$J$3:$Q$351,8,FALSE)</f>
        <v>#N/A</v>
      </c>
      <c r="M2078" t="s">
        <v>83</v>
      </c>
    </row>
    <row r="2079" spans="5:15" hidden="1" x14ac:dyDescent="0.35">
      <c r="E2079" s="81"/>
      <c r="I2079" s="83" t="e">
        <f>VLOOKUP(E2079,[1]Mapping!$A$3:$B$14,2,FALSE)</f>
        <v>#N/A</v>
      </c>
      <c r="J2079" s="84">
        <f t="shared" si="66"/>
        <v>0</v>
      </c>
      <c r="K2079" s="84">
        <f t="shared" si="67"/>
        <v>0</v>
      </c>
      <c r="L2079" s="61" t="e">
        <f>VLOOKUP(K2079,[1]Mapping!$J$3:$Q$351,8,FALSE)</f>
        <v>#N/A</v>
      </c>
      <c r="M2079" t="s">
        <v>83</v>
      </c>
    </row>
    <row r="2080" spans="5:15" hidden="1" x14ac:dyDescent="0.35">
      <c r="E2080" s="81"/>
      <c r="I2080" s="83" t="e">
        <f>VLOOKUP(E2080,[1]Mapping!$A$3:$B$14,2,FALSE)</f>
        <v>#N/A</v>
      </c>
      <c r="J2080" s="84">
        <f t="shared" si="66"/>
        <v>0</v>
      </c>
      <c r="K2080" s="84">
        <f t="shared" si="67"/>
        <v>0</v>
      </c>
      <c r="L2080" s="61" t="e">
        <f>VLOOKUP(K2080,[1]Mapping!$J$3:$Q$351,8,FALSE)</f>
        <v>#N/A</v>
      </c>
      <c r="M2080" t="s">
        <v>83</v>
      </c>
    </row>
    <row r="2081" spans="5:13" hidden="1" x14ac:dyDescent="0.35">
      <c r="E2081" s="81"/>
      <c r="I2081" s="83" t="e">
        <f>VLOOKUP(E2081,[1]Mapping!$A$3:$B$14,2,FALSE)</f>
        <v>#N/A</v>
      </c>
      <c r="J2081" s="84">
        <f t="shared" si="66"/>
        <v>0</v>
      </c>
      <c r="K2081" s="84">
        <f t="shared" si="67"/>
        <v>0</v>
      </c>
      <c r="L2081" s="61" t="e">
        <f>VLOOKUP(K2081,[1]Mapping!$J$3:$Q$351,8,FALSE)</f>
        <v>#N/A</v>
      </c>
      <c r="M2081" t="s">
        <v>83</v>
      </c>
    </row>
    <row r="2082" spans="5:13" hidden="1" x14ac:dyDescent="0.35">
      <c r="E2082" s="81"/>
      <c r="I2082" s="83" t="e">
        <f>VLOOKUP(E2082,[1]Mapping!$A$3:$B$14,2,FALSE)</f>
        <v>#N/A</v>
      </c>
      <c r="J2082" s="84">
        <f t="shared" si="66"/>
        <v>0</v>
      </c>
      <c r="K2082" s="84">
        <f t="shared" si="67"/>
        <v>0</v>
      </c>
      <c r="L2082" s="61" t="e">
        <f>VLOOKUP(K2082,[1]Mapping!$J$3:$Q$351,8,FALSE)</f>
        <v>#N/A</v>
      </c>
      <c r="M2082" t="s">
        <v>83</v>
      </c>
    </row>
    <row r="2083" spans="5:13" hidden="1" x14ac:dyDescent="0.35">
      <c r="E2083" s="81"/>
      <c r="I2083" s="83" t="e">
        <f>VLOOKUP(E2083,[1]Mapping!$A$3:$B$14,2,FALSE)</f>
        <v>#N/A</v>
      </c>
      <c r="J2083" s="84">
        <f t="shared" si="66"/>
        <v>0</v>
      </c>
      <c r="K2083" s="84">
        <f t="shared" si="67"/>
        <v>0</v>
      </c>
      <c r="L2083" s="61" t="e">
        <f>VLOOKUP(K2083,[1]Mapping!$J$3:$Q$351,8,FALSE)</f>
        <v>#N/A</v>
      </c>
      <c r="M2083" t="s">
        <v>83</v>
      </c>
    </row>
    <row r="2084" spans="5:13" hidden="1" x14ac:dyDescent="0.35">
      <c r="E2084" s="81"/>
      <c r="I2084" s="83" t="e">
        <f>VLOOKUP(E2084,[1]Mapping!$A$3:$B$14,2,FALSE)</f>
        <v>#N/A</v>
      </c>
      <c r="J2084" s="84">
        <f t="shared" si="66"/>
        <v>0</v>
      </c>
      <c r="K2084" s="84">
        <f t="shared" si="67"/>
        <v>0</v>
      </c>
      <c r="L2084" s="61" t="e">
        <f>VLOOKUP(K2084,[1]Mapping!$J$3:$Q$351,8,FALSE)</f>
        <v>#N/A</v>
      </c>
      <c r="M2084" t="s">
        <v>83</v>
      </c>
    </row>
    <row r="2085" spans="5:13" hidden="1" x14ac:dyDescent="0.35">
      <c r="E2085" s="81"/>
      <c r="I2085" s="83" t="e">
        <f>VLOOKUP(E2085,[1]Mapping!$A$3:$B$14,2,FALSE)</f>
        <v>#N/A</v>
      </c>
      <c r="J2085" s="84">
        <f t="shared" si="66"/>
        <v>0</v>
      </c>
      <c r="K2085" s="84">
        <f t="shared" si="67"/>
        <v>0</v>
      </c>
      <c r="L2085" s="61" t="e">
        <f>VLOOKUP(K2085,[1]Mapping!$J$3:$Q$351,8,FALSE)</f>
        <v>#N/A</v>
      </c>
      <c r="M2085" t="s">
        <v>83</v>
      </c>
    </row>
    <row r="2086" spans="5:13" hidden="1" x14ac:dyDescent="0.35">
      <c r="E2086" s="81"/>
      <c r="I2086" s="83" t="e">
        <f>VLOOKUP(E2086,[1]Mapping!$A$3:$B$14,2,FALSE)</f>
        <v>#N/A</v>
      </c>
      <c r="J2086" s="84">
        <f t="shared" si="66"/>
        <v>0</v>
      </c>
      <c r="K2086" s="84">
        <f t="shared" si="67"/>
        <v>0</v>
      </c>
      <c r="L2086" s="61" t="e">
        <f>VLOOKUP(K2086,[1]Mapping!$J$3:$Q$351,8,FALSE)</f>
        <v>#N/A</v>
      </c>
      <c r="M2086" t="s">
        <v>83</v>
      </c>
    </row>
    <row r="2087" spans="5:13" hidden="1" x14ac:dyDescent="0.35">
      <c r="E2087" s="81"/>
      <c r="I2087" s="83" t="e">
        <f>VLOOKUP(E2087,[1]Mapping!$A$3:$B$14,2,FALSE)</f>
        <v>#N/A</v>
      </c>
      <c r="J2087" s="84">
        <f t="shared" si="66"/>
        <v>0</v>
      </c>
      <c r="K2087" s="84">
        <f t="shared" si="67"/>
        <v>0</v>
      </c>
      <c r="L2087" s="61" t="e">
        <f>VLOOKUP(K2087,[1]Mapping!$J$3:$Q$351,8,FALSE)</f>
        <v>#N/A</v>
      </c>
      <c r="M2087" t="s">
        <v>83</v>
      </c>
    </row>
    <row r="2088" spans="5:13" hidden="1" x14ac:dyDescent="0.35">
      <c r="E2088" s="81"/>
      <c r="I2088" s="83" t="e">
        <f>VLOOKUP(E2088,[1]Mapping!$A$3:$B$14,2,FALSE)</f>
        <v>#N/A</v>
      </c>
      <c r="J2088" s="84">
        <f t="shared" si="66"/>
        <v>0</v>
      </c>
      <c r="K2088" s="84">
        <f t="shared" si="67"/>
        <v>0</v>
      </c>
      <c r="L2088" s="61" t="e">
        <f>VLOOKUP(K2088,[1]Mapping!$J$3:$Q$351,8,FALSE)</f>
        <v>#N/A</v>
      </c>
      <c r="M2088" t="s">
        <v>83</v>
      </c>
    </row>
    <row r="2089" spans="5:13" hidden="1" x14ac:dyDescent="0.35">
      <c r="E2089" s="81"/>
      <c r="I2089" s="83" t="e">
        <f>VLOOKUP(E2089,[1]Mapping!$A$3:$B$14,2,FALSE)</f>
        <v>#N/A</v>
      </c>
      <c r="J2089" s="84">
        <f t="shared" si="66"/>
        <v>0</v>
      </c>
      <c r="K2089" s="84">
        <f t="shared" si="67"/>
        <v>0</v>
      </c>
      <c r="L2089" s="61" t="e">
        <f>VLOOKUP(K2089,[1]Mapping!$J$3:$Q$351,8,FALSE)</f>
        <v>#N/A</v>
      </c>
      <c r="M2089" t="s">
        <v>83</v>
      </c>
    </row>
    <row r="2090" spans="5:13" hidden="1" x14ac:dyDescent="0.35">
      <c r="E2090" s="81"/>
      <c r="I2090" s="83" t="e">
        <f>VLOOKUP(E2090,[1]Mapping!$A$3:$B$14,2,FALSE)</f>
        <v>#N/A</v>
      </c>
      <c r="J2090" s="84">
        <f t="shared" si="66"/>
        <v>0</v>
      </c>
      <c r="K2090" s="84">
        <f t="shared" si="67"/>
        <v>0</v>
      </c>
      <c r="L2090" s="61" t="e">
        <f>VLOOKUP(K2090,[1]Mapping!$J$3:$Q$351,8,FALSE)</f>
        <v>#N/A</v>
      </c>
      <c r="M2090" t="s">
        <v>83</v>
      </c>
    </row>
    <row r="2091" spans="5:13" hidden="1" x14ac:dyDescent="0.35">
      <c r="E2091" s="81"/>
      <c r="I2091" s="83" t="e">
        <f>VLOOKUP(E2091,[1]Mapping!$A$3:$B$14,2,FALSE)</f>
        <v>#N/A</v>
      </c>
      <c r="J2091" s="84">
        <f t="shared" si="66"/>
        <v>0</v>
      </c>
      <c r="K2091" s="84">
        <f t="shared" si="67"/>
        <v>0</v>
      </c>
      <c r="L2091" s="61" t="e">
        <f>VLOOKUP(K2091,[1]Mapping!$J$3:$Q$351,8,FALSE)</f>
        <v>#N/A</v>
      </c>
      <c r="M2091" t="s">
        <v>83</v>
      </c>
    </row>
    <row r="2092" spans="5:13" hidden="1" x14ac:dyDescent="0.35">
      <c r="E2092" s="81"/>
      <c r="I2092" s="83" t="e">
        <f>VLOOKUP(E2092,[1]Mapping!$A$3:$B$14,2,FALSE)</f>
        <v>#N/A</v>
      </c>
      <c r="J2092" s="84">
        <f t="shared" si="66"/>
        <v>0</v>
      </c>
      <c r="K2092" s="84">
        <f t="shared" si="67"/>
        <v>0</v>
      </c>
      <c r="L2092" s="61" t="e">
        <f>VLOOKUP(K2092,[1]Mapping!$J$3:$Q$351,8,FALSE)</f>
        <v>#N/A</v>
      </c>
      <c r="M2092" t="s">
        <v>83</v>
      </c>
    </row>
    <row r="2093" spans="5:13" hidden="1" x14ac:dyDescent="0.35">
      <c r="E2093" s="81"/>
      <c r="I2093" s="83" t="e">
        <f>VLOOKUP(E2093,[1]Mapping!$A$3:$B$14,2,FALSE)</f>
        <v>#N/A</v>
      </c>
      <c r="J2093" s="84">
        <f t="shared" si="66"/>
        <v>0</v>
      </c>
      <c r="K2093" s="84">
        <f t="shared" si="67"/>
        <v>0</v>
      </c>
      <c r="L2093" s="61" t="e">
        <f>VLOOKUP(K2093,[1]Mapping!$J$3:$Q$351,8,FALSE)</f>
        <v>#N/A</v>
      </c>
      <c r="M2093" t="s">
        <v>83</v>
      </c>
    </row>
    <row r="2094" spans="5:13" hidden="1" x14ac:dyDescent="0.35">
      <c r="E2094" s="81"/>
      <c r="I2094" s="83" t="e">
        <f>VLOOKUP(E2094,[1]Mapping!$A$3:$B$14,2,FALSE)</f>
        <v>#N/A</v>
      </c>
      <c r="J2094" s="84">
        <f t="shared" si="66"/>
        <v>0</v>
      </c>
      <c r="K2094" s="84">
        <f t="shared" si="67"/>
        <v>0</v>
      </c>
      <c r="L2094" s="61" t="e">
        <f>VLOOKUP(K2094,[1]Mapping!$J$3:$Q$351,8,FALSE)</f>
        <v>#N/A</v>
      </c>
      <c r="M2094" t="s">
        <v>83</v>
      </c>
    </row>
    <row r="2095" spans="5:13" hidden="1" x14ac:dyDescent="0.35">
      <c r="E2095" s="81"/>
      <c r="I2095" s="83" t="e">
        <f>VLOOKUP(E2095,[1]Mapping!$A$3:$B$14,2,FALSE)</f>
        <v>#N/A</v>
      </c>
      <c r="J2095" s="84">
        <f t="shared" si="66"/>
        <v>0</v>
      </c>
      <c r="K2095" s="84">
        <f t="shared" si="67"/>
        <v>0</v>
      </c>
      <c r="L2095" s="61" t="e">
        <f>VLOOKUP(K2095,[1]Mapping!$J$3:$Q$351,8,FALSE)</f>
        <v>#N/A</v>
      </c>
      <c r="M2095" t="s">
        <v>83</v>
      </c>
    </row>
    <row r="2096" spans="5:13" hidden="1" x14ac:dyDescent="0.35">
      <c r="E2096" s="81"/>
      <c r="I2096" s="83" t="e">
        <f>VLOOKUP(E2096,[1]Mapping!$A$3:$B$14,2,FALSE)</f>
        <v>#N/A</v>
      </c>
      <c r="J2096" s="84">
        <f t="shared" si="66"/>
        <v>0</v>
      </c>
      <c r="K2096" s="84">
        <f t="shared" si="67"/>
        <v>0</v>
      </c>
      <c r="L2096" s="61" t="e">
        <f>VLOOKUP(K2096,[1]Mapping!$J$3:$Q$351,8,FALSE)</f>
        <v>#N/A</v>
      </c>
      <c r="M2096" t="s">
        <v>83</v>
      </c>
    </row>
    <row r="2097" spans="5:13" hidden="1" x14ac:dyDescent="0.35">
      <c r="E2097" s="81"/>
      <c r="I2097" s="83" t="e">
        <f>VLOOKUP(E2097,[1]Mapping!$A$3:$B$14,2,FALSE)</f>
        <v>#N/A</v>
      </c>
      <c r="J2097" s="84">
        <f t="shared" si="66"/>
        <v>0</v>
      </c>
      <c r="K2097" s="84">
        <f t="shared" si="67"/>
        <v>0</v>
      </c>
      <c r="L2097" s="61" t="e">
        <f>VLOOKUP(K2097,[1]Mapping!$J$3:$Q$351,8,FALSE)</f>
        <v>#N/A</v>
      </c>
      <c r="M2097" t="s">
        <v>83</v>
      </c>
    </row>
    <row r="2098" spans="5:13" hidden="1" x14ac:dyDescent="0.35">
      <c r="E2098" s="81"/>
      <c r="I2098" s="83" t="e">
        <f>VLOOKUP(E2098,[1]Mapping!$A$3:$B$14,2,FALSE)</f>
        <v>#N/A</v>
      </c>
      <c r="J2098" s="84">
        <f t="shared" si="66"/>
        <v>0</v>
      </c>
      <c r="K2098" s="84">
        <f t="shared" si="67"/>
        <v>0</v>
      </c>
      <c r="L2098" s="61" t="e">
        <f>VLOOKUP(K2098,[1]Mapping!$J$3:$Q$351,8,FALSE)</f>
        <v>#N/A</v>
      </c>
      <c r="M2098" t="s">
        <v>83</v>
      </c>
    </row>
    <row r="2099" spans="5:13" hidden="1" x14ac:dyDescent="0.35">
      <c r="E2099" s="81"/>
      <c r="I2099" s="83" t="e">
        <f>VLOOKUP(E2099,[1]Mapping!$A$3:$B$14,2,FALSE)</f>
        <v>#N/A</v>
      </c>
      <c r="J2099" s="84">
        <f t="shared" si="66"/>
        <v>0</v>
      </c>
      <c r="K2099" s="84">
        <f t="shared" si="67"/>
        <v>0</v>
      </c>
      <c r="L2099" s="61" t="e">
        <f>VLOOKUP(K2099,[1]Mapping!$J$3:$Q$351,8,FALSE)</f>
        <v>#N/A</v>
      </c>
      <c r="M2099" t="s">
        <v>83</v>
      </c>
    </row>
    <row r="2100" spans="5:13" hidden="1" x14ac:dyDescent="0.35">
      <c r="E2100" s="81"/>
      <c r="I2100" s="83" t="e">
        <f>VLOOKUP(E2100,[1]Mapping!$A$3:$B$14,2,FALSE)</f>
        <v>#N/A</v>
      </c>
      <c r="J2100" s="84">
        <f t="shared" si="66"/>
        <v>0</v>
      </c>
      <c r="K2100" s="84">
        <f t="shared" si="67"/>
        <v>0</v>
      </c>
      <c r="L2100" s="61" t="e">
        <f>VLOOKUP(K2100,[1]Mapping!$J$3:$Q$351,8,FALSE)</f>
        <v>#N/A</v>
      </c>
      <c r="M2100" t="s">
        <v>83</v>
      </c>
    </row>
    <row r="2101" spans="5:13" hidden="1" x14ac:dyDescent="0.35">
      <c r="E2101" s="81"/>
      <c r="I2101" s="83" t="e">
        <f>VLOOKUP(E2101,[1]Mapping!$A$3:$B$14,2,FALSE)</f>
        <v>#N/A</v>
      </c>
      <c r="J2101" s="84">
        <f t="shared" si="66"/>
        <v>0</v>
      </c>
      <c r="K2101" s="84">
        <f t="shared" si="67"/>
        <v>0</v>
      </c>
      <c r="L2101" s="61" t="e">
        <f>VLOOKUP(K2101,[1]Mapping!$J$3:$Q$351,8,FALSE)</f>
        <v>#N/A</v>
      </c>
      <c r="M2101" t="s">
        <v>83</v>
      </c>
    </row>
    <row r="2102" spans="5:13" hidden="1" x14ac:dyDescent="0.35">
      <c r="E2102" s="81"/>
      <c r="I2102" s="83" t="e">
        <f>VLOOKUP(E2102,[1]Mapping!$A$3:$B$14,2,FALSE)</f>
        <v>#N/A</v>
      </c>
      <c r="J2102" s="84">
        <f t="shared" si="66"/>
        <v>0</v>
      </c>
      <c r="K2102" s="84">
        <f t="shared" si="67"/>
        <v>0</v>
      </c>
      <c r="L2102" s="61" t="e">
        <f>VLOOKUP(K2102,[1]Mapping!$J$3:$Q$351,8,FALSE)</f>
        <v>#N/A</v>
      </c>
      <c r="M2102" t="s">
        <v>83</v>
      </c>
    </row>
    <row r="2103" spans="5:13" hidden="1" x14ac:dyDescent="0.35">
      <c r="E2103" s="81"/>
      <c r="I2103" s="83" t="e">
        <f>VLOOKUP(E2103,[1]Mapping!$A$3:$B$14,2,FALSE)</f>
        <v>#N/A</v>
      </c>
      <c r="J2103" s="84">
        <f t="shared" si="66"/>
        <v>0</v>
      </c>
      <c r="K2103" s="84">
        <f t="shared" si="67"/>
        <v>0</v>
      </c>
      <c r="L2103" s="61" t="e">
        <f>VLOOKUP(K2103,[1]Mapping!$J$3:$Q$351,8,FALSE)</f>
        <v>#N/A</v>
      </c>
      <c r="M2103" t="s">
        <v>83</v>
      </c>
    </row>
    <row r="2104" spans="5:13" hidden="1" x14ac:dyDescent="0.35">
      <c r="E2104" s="81"/>
      <c r="I2104" s="83" t="e">
        <f>VLOOKUP(E2104,[1]Mapping!$A$3:$B$14,2,FALSE)</f>
        <v>#N/A</v>
      </c>
      <c r="J2104" s="84">
        <f t="shared" si="66"/>
        <v>0</v>
      </c>
      <c r="K2104" s="84">
        <f t="shared" si="67"/>
        <v>0</v>
      </c>
      <c r="L2104" s="61" t="e">
        <f>VLOOKUP(K2104,[1]Mapping!$J$3:$Q$351,8,FALSE)</f>
        <v>#N/A</v>
      </c>
      <c r="M2104" t="s">
        <v>83</v>
      </c>
    </row>
    <row r="2105" spans="5:13" hidden="1" x14ac:dyDescent="0.35">
      <c r="E2105" s="81"/>
      <c r="I2105" s="83" t="e">
        <f>VLOOKUP(E2105,[1]Mapping!$A$3:$B$14,2,FALSE)</f>
        <v>#N/A</v>
      </c>
      <c r="J2105" s="84">
        <f t="shared" si="66"/>
        <v>0</v>
      </c>
      <c r="K2105" s="84">
        <f t="shared" si="67"/>
        <v>0</v>
      </c>
      <c r="L2105" s="61" t="e">
        <f>VLOOKUP(K2105,[1]Mapping!$J$3:$Q$351,8,FALSE)</f>
        <v>#N/A</v>
      </c>
      <c r="M2105" t="s">
        <v>83</v>
      </c>
    </row>
    <row r="2106" spans="5:13" hidden="1" x14ac:dyDescent="0.35">
      <c r="E2106" s="81"/>
      <c r="I2106" s="83" t="e">
        <f>VLOOKUP(E2106,[1]Mapping!$A$3:$B$14,2,FALSE)</f>
        <v>#N/A</v>
      </c>
      <c r="J2106" s="84">
        <f t="shared" si="66"/>
        <v>0</v>
      </c>
      <c r="K2106" s="84">
        <f t="shared" si="67"/>
        <v>0</v>
      </c>
      <c r="L2106" s="61" t="e">
        <f>VLOOKUP(K2106,[1]Mapping!$J$3:$Q$351,8,FALSE)</f>
        <v>#N/A</v>
      </c>
      <c r="M2106" t="s">
        <v>83</v>
      </c>
    </row>
    <row r="2107" spans="5:13" hidden="1" x14ac:dyDescent="0.35">
      <c r="E2107" s="81"/>
      <c r="I2107" s="83" t="e">
        <f>VLOOKUP(E2107,[1]Mapping!$A$3:$B$14,2,FALSE)</f>
        <v>#N/A</v>
      </c>
      <c r="J2107" s="84">
        <f t="shared" si="66"/>
        <v>0</v>
      </c>
      <c r="K2107" s="84">
        <f t="shared" si="67"/>
        <v>0</v>
      </c>
      <c r="L2107" s="61" t="e">
        <f>VLOOKUP(K2107,[1]Mapping!$J$3:$Q$351,8,FALSE)</f>
        <v>#N/A</v>
      </c>
      <c r="M2107" t="s">
        <v>83</v>
      </c>
    </row>
    <row r="2108" spans="5:13" hidden="1" x14ac:dyDescent="0.35">
      <c r="E2108" s="81"/>
      <c r="I2108" s="83" t="e">
        <f>VLOOKUP(E2108,[1]Mapping!$A$3:$B$14,2,FALSE)</f>
        <v>#N/A</v>
      </c>
      <c r="J2108" s="84">
        <f t="shared" si="66"/>
        <v>0</v>
      </c>
      <c r="K2108" s="84">
        <f t="shared" si="67"/>
        <v>0</v>
      </c>
      <c r="L2108" s="61" t="e">
        <f>VLOOKUP(K2108,[1]Mapping!$J$3:$Q$351,8,FALSE)</f>
        <v>#N/A</v>
      </c>
      <c r="M2108" t="s">
        <v>83</v>
      </c>
    </row>
    <row r="2109" spans="5:13" hidden="1" x14ac:dyDescent="0.35">
      <c r="E2109" s="81"/>
      <c r="I2109" s="83" t="e">
        <f>VLOOKUP(E2109,[1]Mapping!$A$3:$B$14,2,FALSE)</f>
        <v>#N/A</v>
      </c>
      <c r="J2109" s="84">
        <f t="shared" si="66"/>
        <v>0</v>
      </c>
      <c r="K2109" s="84">
        <f t="shared" si="67"/>
        <v>0</v>
      </c>
      <c r="L2109" s="61" t="e">
        <f>VLOOKUP(K2109,[1]Mapping!$J$3:$Q$351,8,FALSE)</f>
        <v>#N/A</v>
      </c>
      <c r="M2109" t="s">
        <v>83</v>
      </c>
    </row>
    <row r="2110" spans="5:13" hidden="1" x14ac:dyDescent="0.35">
      <c r="E2110" s="81"/>
      <c r="I2110" s="83" t="e">
        <f>VLOOKUP(E2110,[1]Mapping!$A$3:$B$14,2,FALSE)</f>
        <v>#N/A</v>
      </c>
      <c r="J2110" s="84">
        <f t="shared" si="66"/>
        <v>0</v>
      </c>
      <c r="K2110" s="84">
        <f t="shared" si="67"/>
        <v>0</v>
      </c>
      <c r="L2110" s="61" t="e">
        <f>VLOOKUP(K2110,[1]Mapping!$J$3:$Q$351,8,FALSE)</f>
        <v>#N/A</v>
      </c>
      <c r="M2110" t="s">
        <v>83</v>
      </c>
    </row>
    <row r="2111" spans="5:13" hidden="1" x14ac:dyDescent="0.35">
      <c r="E2111" s="81"/>
      <c r="I2111" s="83" t="e">
        <f>VLOOKUP(E2111,[1]Mapping!$A$3:$B$14,2,FALSE)</f>
        <v>#N/A</v>
      </c>
      <c r="J2111" s="84">
        <f t="shared" si="66"/>
        <v>0</v>
      </c>
      <c r="K2111" s="84">
        <f t="shared" si="67"/>
        <v>0</v>
      </c>
      <c r="L2111" s="61" t="e">
        <f>VLOOKUP(K2111,[1]Mapping!$J$3:$Q$351,8,FALSE)</f>
        <v>#N/A</v>
      </c>
      <c r="M2111" t="s">
        <v>83</v>
      </c>
    </row>
    <row r="2112" spans="5:13" hidden="1" x14ac:dyDescent="0.35">
      <c r="E2112" s="81"/>
      <c r="I2112" s="83" t="e">
        <f>VLOOKUP(E2112,[1]Mapping!$A$3:$B$14,2,FALSE)</f>
        <v>#N/A</v>
      </c>
      <c r="J2112" s="84">
        <f t="shared" si="66"/>
        <v>0</v>
      </c>
      <c r="K2112" s="84">
        <f t="shared" si="67"/>
        <v>0</v>
      </c>
      <c r="L2112" s="61" t="e">
        <f>VLOOKUP(K2112,[1]Mapping!$J$3:$Q$351,8,FALSE)</f>
        <v>#N/A</v>
      </c>
      <c r="M2112" t="s">
        <v>83</v>
      </c>
    </row>
    <row r="2113" spans="5:13" hidden="1" x14ac:dyDescent="0.35">
      <c r="E2113" s="81"/>
      <c r="I2113" s="83" t="e">
        <f>VLOOKUP(E2113,[1]Mapping!$A$3:$B$14,2,FALSE)</f>
        <v>#N/A</v>
      </c>
      <c r="J2113" s="84">
        <f t="shared" si="66"/>
        <v>0</v>
      </c>
      <c r="K2113" s="84">
        <f t="shared" si="67"/>
        <v>0</v>
      </c>
      <c r="L2113" s="61" t="e">
        <f>VLOOKUP(K2113,[1]Mapping!$J$3:$Q$351,8,FALSE)</f>
        <v>#N/A</v>
      </c>
      <c r="M2113" t="s">
        <v>83</v>
      </c>
    </row>
    <row r="2114" spans="5:13" hidden="1" x14ac:dyDescent="0.35">
      <c r="E2114" s="81"/>
      <c r="I2114" s="83" t="e">
        <f>VLOOKUP(E2114,[1]Mapping!$A$3:$B$14,2,FALSE)</f>
        <v>#N/A</v>
      </c>
      <c r="J2114" s="84">
        <f t="shared" si="66"/>
        <v>0</v>
      </c>
      <c r="K2114" s="84">
        <f t="shared" si="67"/>
        <v>0</v>
      </c>
      <c r="L2114" s="61" t="e">
        <f>VLOOKUP(K2114,[1]Mapping!$J$3:$Q$351,8,FALSE)</f>
        <v>#N/A</v>
      </c>
      <c r="M2114" t="s">
        <v>83</v>
      </c>
    </row>
    <row r="2115" spans="5:13" hidden="1" x14ac:dyDescent="0.35">
      <c r="E2115" s="81"/>
      <c r="I2115" s="83" t="e">
        <f>VLOOKUP(E2115,[1]Mapping!$A$3:$B$14,2,FALSE)</f>
        <v>#N/A</v>
      </c>
      <c r="J2115" s="84">
        <f t="shared" si="66"/>
        <v>0</v>
      </c>
      <c r="K2115" s="84">
        <f t="shared" si="67"/>
        <v>0</v>
      </c>
      <c r="L2115" s="61" t="e">
        <f>VLOOKUP(K2115,[1]Mapping!$J$3:$Q$351,8,FALSE)</f>
        <v>#N/A</v>
      </c>
      <c r="M2115" t="s">
        <v>83</v>
      </c>
    </row>
    <row r="2116" spans="5:13" hidden="1" x14ac:dyDescent="0.35">
      <c r="E2116" s="81"/>
      <c r="I2116" s="83" t="e">
        <f>VLOOKUP(E2116,[1]Mapping!$A$3:$B$14,2,FALSE)</f>
        <v>#N/A</v>
      </c>
      <c r="J2116" s="84">
        <f t="shared" ref="J2116:J2179" si="68">VALUE(A2116)</f>
        <v>0</v>
      </c>
      <c r="K2116" s="84">
        <f t="shared" ref="K2116:K2179" si="69">VALUE(C2116)</f>
        <v>0</v>
      </c>
      <c r="L2116" s="61" t="e">
        <f>VLOOKUP(K2116,[1]Mapping!$J$3:$Q$351,8,FALSE)</f>
        <v>#N/A</v>
      </c>
      <c r="M2116" t="s">
        <v>83</v>
      </c>
    </row>
    <row r="2117" spans="5:13" hidden="1" x14ac:dyDescent="0.35">
      <c r="E2117" s="81"/>
      <c r="I2117" s="83" t="e">
        <f>VLOOKUP(E2117,[1]Mapping!$A$3:$B$14,2,FALSE)</f>
        <v>#N/A</v>
      </c>
      <c r="J2117" s="84">
        <f t="shared" si="68"/>
        <v>0</v>
      </c>
      <c r="K2117" s="84">
        <f t="shared" si="69"/>
        <v>0</v>
      </c>
      <c r="L2117" s="61" t="e">
        <f>VLOOKUP(K2117,[1]Mapping!$J$3:$Q$351,8,FALSE)</f>
        <v>#N/A</v>
      </c>
      <c r="M2117" t="s">
        <v>83</v>
      </c>
    </row>
    <row r="2118" spans="5:13" hidden="1" x14ac:dyDescent="0.35">
      <c r="E2118" s="81"/>
      <c r="I2118" s="83" t="e">
        <f>VLOOKUP(E2118,[1]Mapping!$A$3:$B$14,2,FALSE)</f>
        <v>#N/A</v>
      </c>
      <c r="J2118" s="84">
        <f t="shared" si="68"/>
        <v>0</v>
      </c>
      <c r="K2118" s="84">
        <f t="shared" si="69"/>
        <v>0</v>
      </c>
      <c r="L2118" s="61" t="e">
        <f>VLOOKUP(K2118,[1]Mapping!$J$3:$Q$351,8,FALSE)</f>
        <v>#N/A</v>
      </c>
      <c r="M2118" t="s">
        <v>83</v>
      </c>
    </row>
    <row r="2119" spans="5:13" hidden="1" x14ac:dyDescent="0.35">
      <c r="E2119" s="81"/>
      <c r="I2119" s="83" t="e">
        <f>VLOOKUP(E2119,[1]Mapping!$A$3:$B$14,2,FALSE)</f>
        <v>#N/A</v>
      </c>
      <c r="J2119" s="84">
        <f t="shared" si="68"/>
        <v>0</v>
      </c>
      <c r="K2119" s="84">
        <f t="shared" si="69"/>
        <v>0</v>
      </c>
      <c r="L2119" s="61" t="e">
        <f>VLOOKUP(K2119,[1]Mapping!$J$3:$Q$351,8,FALSE)</f>
        <v>#N/A</v>
      </c>
      <c r="M2119" t="s">
        <v>83</v>
      </c>
    </row>
    <row r="2120" spans="5:13" hidden="1" x14ac:dyDescent="0.35">
      <c r="E2120" s="81"/>
      <c r="I2120" s="83" t="e">
        <f>VLOOKUP(E2120,[1]Mapping!$A$3:$B$14,2,FALSE)</f>
        <v>#N/A</v>
      </c>
      <c r="J2120" s="84">
        <f t="shared" si="68"/>
        <v>0</v>
      </c>
      <c r="K2120" s="84">
        <f t="shared" si="69"/>
        <v>0</v>
      </c>
      <c r="L2120" s="61" t="e">
        <f>VLOOKUP(K2120,[1]Mapping!$J$3:$Q$351,8,FALSE)</f>
        <v>#N/A</v>
      </c>
      <c r="M2120" t="s">
        <v>83</v>
      </c>
    </row>
    <row r="2121" spans="5:13" hidden="1" x14ac:dyDescent="0.35">
      <c r="E2121" s="81"/>
      <c r="I2121" s="83" t="e">
        <f>VLOOKUP(E2121,[1]Mapping!$A$3:$B$14,2,FALSE)</f>
        <v>#N/A</v>
      </c>
      <c r="J2121" s="84">
        <f t="shared" si="68"/>
        <v>0</v>
      </c>
      <c r="K2121" s="84">
        <f t="shared" si="69"/>
        <v>0</v>
      </c>
      <c r="L2121" s="61" t="e">
        <f>VLOOKUP(K2121,[1]Mapping!$J$3:$Q$351,8,FALSE)</f>
        <v>#N/A</v>
      </c>
      <c r="M2121" t="s">
        <v>83</v>
      </c>
    </row>
    <row r="2122" spans="5:13" hidden="1" x14ac:dyDescent="0.35">
      <c r="E2122" s="81"/>
      <c r="I2122" s="83" t="e">
        <f>VLOOKUP(E2122,[1]Mapping!$A$3:$B$14,2,FALSE)</f>
        <v>#N/A</v>
      </c>
      <c r="J2122" s="84">
        <f t="shared" si="68"/>
        <v>0</v>
      </c>
      <c r="K2122" s="84">
        <f t="shared" si="69"/>
        <v>0</v>
      </c>
      <c r="L2122" s="61" t="e">
        <f>VLOOKUP(K2122,[1]Mapping!$J$3:$Q$351,8,FALSE)</f>
        <v>#N/A</v>
      </c>
      <c r="M2122" t="s">
        <v>83</v>
      </c>
    </row>
    <row r="2123" spans="5:13" hidden="1" x14ac:dyDescent="0.35">
      <c r="E2123" s="81"/>
      <c r="I2123" s="83" t="e">
        <f>VLOOKUP(E2123,[1]Mapping!$A$3:$B$14,2,FALSE)</f>
        <v>#N/A</v>
      </c>
      <c r="J2123" s="84">
        <f t="shared" si="68"/>
        <v>0</v>
      </c>
      <c r="K2123" s="84">
        <f t="shared" si="69"/>
        <v>0</v>
      </c>
      <c r="L2123" s="61" t="e">
        <f>VLOOKUP(K2123,[1]Mapping!$J$3:$Q$351,8,FALSE)</f>
        <v>#N/A</v>
      </c>
      <c r="M2123" t="s">
        <v>83</v>
      </c>
    </row>
    <row r="2124" spans="5:13" hidden="1" x14ac:dyDescent="0.35">
      <c r="E2124" s="81"/>
      <c r="I2124" s="83" t="e">
        <f>VLOOKUP(E2124,[1]Mapping!$A$3:$B$14,2,FALSE)</f>
        <v>#N/A</v>
      </c>
      <c r="J2124" s="84">
        <f t="shared" si="68"/>
        <v>0</v>
      </c>
      <c r="K2124" s="84">
        <f t="shared" si="69"/>
        <v>0</v>
      </c>
      <c r="L2124" s="61" t="e">
        <f>VLOOKUP(K2124,[1]Mapping!$J$3:$Q$351,8,FALSE)</f>
        <v>#N/A</v>
      </c>
      <c r="M2124" t="s">
        <v>83</v>
      </c>
    </row>
    <row r="2125" spans="5:13" hidden="1" x14ac:dyDescent="0.35">
      <c r="E2125" s="81"/>
      <c r="I2125" s="83" t="e">
        <f>VLOOKUP(E2125,[1]Mapping!$A$3:$B$14,2,FALSE)</f>
        <v>#N/A</v>
      </c>
      <c r="J2125" s="84">
        <f t="shared" si="68"/>
        <v>0</v>
      </c>
      <c r="K2125" s="84">
        <f t="shared" si="69"/>
        <v>0</v>
      </c>
      <c r="L2125" s="61" t="e">
        <f>VLOOKUP(K2125,[1]Mapping!$J$3:$Q$351,8,FALSE)</f>
        <v>#N/A</v>
      </c>
      <c r="M2125" t="s">
        <v>83</v>
      </c>
    </row>
    <row r="2126" spans="5:13" hidden="1" x14ac:dyDescent="0.35">
      <c r="E2126" s="81"/>
      <c r="I2126" s="83" t="e">
        <f>VLOOKUP(E2126,[1]Mapping!$A$3:$B$14,2,FALSE)</f>
        <v>#N/A</v>
      </c>
      <c r="J2126" s="84">
        <f t="shared" si="68"/>
        <v>0</v>
      </c>
      <c r="K2126" s="84">
        <f t="shared" si="69"/>
        <v>0</v>
      </c>
      <c r="L2126" s="61" t="e">
        <f>VLOOKUP(K2126,[1]Mapping!$J$3:$Q$351,8,FALSE)</f>
        <v>#N/A</v>
      </c>
      <c r="M2126" t="s">
        <v>83</v>
      </c>
    </row>
    <row r="2127" spans="5:13" hidden="1" x14ac:dyDescent="0.35">
      <c r="E2127" s="81"/>
      <c r="I2127" s="83" t="e">
        <f>VLOOKUP(E2127,[1]Mapping!$A$3:$B$14,2,FALSE)</f>
        <v>#N/A</v>
      </c>
      <c r="J2127" s="84">
        <f t="shared" si="68"/>
        <v>0</v>
      </c>
      <c r="K2127" s="84">
        <f t="shared" si="69"/>
        <v>0</v>
      </c>
      <c r="L2127" s="61" t="e">
        <f>VLOOKUP(K2127,[1]Mapping!$J$3:$Q$351,8,FALSE)</f>
        <v>#N/A</v>
      </c>
      <c r="M2127" t="s">
        <v>83</v>
      </c>
    </row>
    <row r="2128" spans="5:13" hidden="1" x14ac:dyDescent="0.35">
      <c r="E2128" s="81"/>
      <c r="I2128" s="83" t="e">
        <f>VLOOKUP(E2128,[1]Mapping!$A$3:$B$14,2,FALSE)</f>
        <v>#N/A</v>
      </c>
      <c r="J2128" s="84">
        <f t="shared" si="68"/>
        <v>0</v>
      </c>
      <c r="K2128" s="84">
        <f t="shared" si="69"/>
        <v>0</v>
      </c>
      <c r="L2128" s="61" t="e">
        <f>VLOOKUP(K2128,[1]Mapping!$J$3:$Q$351,8,FALSE)</f>
        <v>#N/A</v>
      </c>
      <c r="M2128" t="s">
        <v>83</v>
      </c>
    </row>
    <row r="2129" spans="5:13" hidden="1" x14ac:dyDescent="0.35">
      <c r="E2129" s="81"/>
      <c r="I2129" s="83" t="e">
        <f>VLOOKUP(E2129,[1]Mapping!$A$3:$B$14,2,FALSE)</f>
        <v>#N/A</v>
      </c>
      <c r="J2129" s="84">
        <f t="shared" si="68"/>
        <v>0</v>
      </c>
      <c r="K2129" s="84">
        <f t="shared" si="69"/>
        <v>0</v>
      </c>
      <c r="L2129" s="61" t="e">
        <f>VLOOKUP(K2129,[1]Mapping!$J$3:$Q$351,8,FALSE)</f>
        <v>#N/A</v>
      </c>
      <c r="M2129" t="s">
        <v>83</v>
      </c>
    </row>
    <row r="2130" spans="5:13" hidden="1" x14ac:dyDescent="0.35">
      <c r="E2130" s="81"/>
      <c r="I2130" s="83" t="e">
        <f>VLOOKUP(E2130,[1]Mapping!$A$3:$B$14,2,FALSE)</f>
        <v>#N/A</v>
      </c>
      <c r="J2130" s="84">
        <f t="shared" si="68"/>
        <v>0</v>
      </c>
      <c r="K2130" s="84">
        <f t="shared" si="69"/>
        <v>0</v>
      </c>
      <c r="L2130" s="61" t="e">
        <f>VLOOKUP(K2130,[1]Mapping!$J$3:$Q$351,8,FALSE)</f>
        <v>#N/A</v>
      </c>
      <c r="M2130" t="s">
        <v>83</v>
      </c>
    </row>
    <row r="2131" spans="5:13" hidden="1" x14ac:dyDescent="0.35">
      <c r="E2131" s="81"/>
      <c r="I2131" s="83" t="e">
        <f>VLOOKUP(E2131,[1]Mapping!$A$3:$B$14,2,FALSE)</f>
        <v>#N/A</v>
      </c>
      <c r="J2131" s="84">
        <f t="shared" si="68"/>
        <v>0</v>
      </c>
      <c r="K2131" s="84">
        <f t="shared" si="69"/>
        <v>0</v>
      </c>
      <c r="L2131" s="61" t="e">
        <f>VLOOKUP(K2131,[1]Mapping!$J$3:$Q$351,8,FALSE)</f>
        <v>#N/A</v>
      </c>
      <c r="M2131" t="s">
        <v>83</v>
      </c>
    </row>
    <row r="2132" spans="5:13" hidden="1" x14ac:dyDescent="0.35">
      <c r="E2132" s="81"/>
      <c r="I2132" s="83" t="e">
        <f>VLOOKUP(E2132,[1]Mapping!$A$3:$B$14,2,FALSE)</f>
        <v>#N/A</v>
      </c>
      <c r="J2132" s="84">
        <f t="shared" si="68"/>
        <v>0</v>
      </c>
      <c r="K2132" s="84">
        <f t="shared" si="69"/>
        <v>0</v>
      </c>
      <c r="L2132" s="61" t="e">
        <f>VLOOKUP(K2132,[1]Mapping!$J$3:$Q$351,8,FALSE)</f>
        <v>#N/A</v>
      </c>
      <c r="M2132" t="s">
        <v>83</v>
      </c>
    </row>
    <row r="2133" spans="5:13" hidden="1" x14ac:dyDescent="0.35">
      <c r="E2133" s="81"/>
      <c r="I2133" s="83" t="e">
        <f>VLOOKUP(E2133,[1]Mapping!$A$3:$B$14,2,FALSE)</f>
        <v>#N/A</v>
      </c>
      <c r="J2133" s="84">
        <f t="shared" si="68"/>
        <v>0</v>
      </c>
      <c r="K2133" s="84">
        <f t="shared" si="69"/>
        <v>0</v>
      </c>
      <c r="L2133" s="61" t="e">
        <f>VLOOKUP(K2133,[1]Mapping!$J$3:$Q$351,8,FALSE)</f>
        <v>#N/A</v>
      </c>
      <c r="M2133" t="s">
        <v>83</v>
      </c>
    </row>
    <row r="2134" spans="5:13" hidden="1" x14ac:dyDescent="0.35">
      <c r="E2134" s="81"/>
      <c r="I2134" s="83" t="e">
        <f>VLOOKUP(E2134,[1]Mapping!$A$3:$B$14,2,FALSE)</f>
        <v>#N/A</v>
      </c>
      <c r="J2134" s="84">
        <f t="shared" si="68"/>
        <v>0</v>
      </c>
      <c r="K2134" s="84">
        <f t="shared" si="69"/>
        <v>0</v>
      </c>
      <c r="L2134" s="61" t="e">
        <f>VLOOKUP(K2134,[1]Mapping!$J$3:$Q$351,8,FALSE)</f>
        <v>#N/A</v>
      </c>
      <c r="M2134" t="s">
        <v>83</v>
      </c>
    </row>
    <row r="2135" spans="5:13" hidden="1" x14ac:dyDescent="0.35">
      <c r="E2135" s="81"/>
      <c r="I2135" s="83" t="e">
        <f>VLOOKUP(E2135,[1]Mapping!$A$3:$B$14,2,FALSE)</f>
        <v>#N/A</v>
      </c>
      <c r="J2135" s="84">
        <f t="shared" si="68"/>
        <v>0</v>
      </c>
      <c r="K2135" s="84">
        <f t="shared" si="69"/>
        <v>0</v>
      </c>
      <c r="L2135" s="61" t="e">
        <f>VLOOKUP(K2135,[1]Mapping!$J$3:$Q$351,8,FALSE)</f>
        <v>#N/A</v>
      </c>
      <c r="M2135" t="s">
        <v>83</v>
      </c>
    </row>
    <row r="2136" spans="5:13" hidden="1" x14ac:dyDescent="0.35">
      <c r="E2136" s="81"/>
      <c r="I2136" s="83" t="e">
        <f>VLOOKUP(E2136,[1]Mapping!$A$3:$B$14,2,FALSE)</f>
        <v>#N/A</v>
      </c>
      <c r="J2136" s="84">
        <f t="shared" si="68"/>
        <v>0</v>
      </c>
      <c r="K2136" s="84">
        <f t="shared" si="69"/>
        <v>0</v>
      </c>
      <c r="L2136" s="61" t="e">
        <f>VLOOKUP(K2136,[1]Mapping!$J$3:$Q$351,8,FALSE)</f>
        <v>#N/A</v>
      </c>
      <c r="M2136" t="s">
        <v>83</v>
      </c>
    </row>
    <row r="2137" spans="5:13" hidden="1" x14ac:dyDescent="0.35">
      <c r="E2137" s="81"/>
      <c r="I2137" s="83" t="e">
        <f>VLOOKUP(E2137,[1]Mapping!$A$3:$B$14,2,FALSE)</f>
        <v>#N/A</v>
      </c>
      <c r="J2137" s="84">
        <f t="shared" si="68"/>
        <v>0</v>
      </c>
      <c r="K2137" s="84">
        <f t="shared" si="69"/>
        <v>0</v>
      </c>
      <c r="L2137" s="61" t="e">
        <f>VLOOKUP(K2137,[1]Mapping!$J$3:$Q$351,8,FALSE)</f>
        <v>#N/A</v>
      </c>
      <c r="M2137" t="s">
        <v>83</v>
      </c>
    </row>
    <row r="2138" spans="5:13" hidden="1" x14ac:dyDescent="0.35">
      <c r="E2138" s="81"/>
      <c r="I2138" s="83" t="e">
        <f>VLOOKUP(E2138,[1]Mapping!$A$3:$B$14,2,FALSE)</f>
        <v>#N/A</v>
      </c>
      <c r="J2138" s="84">
        <f t="shared" si="68"/>
        <v>0</v>
      </c>
      <c r="K2138" s="84">
        <f t="shared" si="69"/>
        <v>0</v>
      </c>
      <c r="L2138" s="61" t="e">
        <f>VLOOKUP(K2138,[1]Mapping!$J$3:$Q$351,8,FALSE)</f>
        <v>#N/A</v>
      </c>
      <c r="M2138" t="s">
        <v>83</v>
      </c>
    </row>
    <row r="2139" spans="5:13" hidden="1" x14ac:dyDescent="0.35">
      <c r="E2139" s="81"/>
      <c r="I2139" s="83" t="e">
        <f>VLOOKUP(E2139,[1]Mapping!$A$3:$B$14,2,FALSE)</f>
        <v>#N/A</v>
      </c>
      <c r="J2139" s="84">
        <f t="shared" si="68"/>
        <v>0</v>
      </c>
      <c r="K2139" s="84">
        <f t="shared" si="69"/>
        <v>0</v>
      </c>
      <c r="L2139" s="61" t="e">
        <f>VLOOKUP(K2139,[1]Mapping!$J$3:$Q$351,8,FALSE)</f>
        <v>#N/A</v>
      </c>
      <c r="M2139" t="s">
        <v>83</v>
      </c>
    </row>
    <row r="2140" spans="5:13" hidden="1" x14ac:dyDescent="0.35">
      <c r="E2140" s="81"/>
      <c r="I2140" s="83" t="e">
        <f>VLOOKUP(E2140,[1]Mapping!$A$3:$B$14,2,FALSE)</f>
        <v>#N/A</v>
      </c>
      <c r="J2140" s="84">
        <f t="shared" si="68"/>
        <v>0</v>
      </c>
      <c r="K2140" s="84">
        <f t="shared" si="69"/>
        <v>0</v>
      </c>
      <c r="L2140" s="61" t="e">
        <f>VLOOKUP(K2140,[1]Mapping!$J$3:$Q$351,8,FALSE)</f>
        <v>#N/A</v>
      </c>
      <c r="M2140" t="s">
        <v>83</v>
      </c>
    </row>
    <row r="2141" spans="5:13" hidden="1" x14ac:dyDescent="0.35">
      <c r="E2141" s="81"/>
      <c r="I2141" s="83" t="e">
        <f>VLOOKUP(E2141,[1]Mapping!$A$3:$B$14,2,FALSE)</f>
        <v>#N/A</v>
      </c>
      <c r="J2141" s="84">
        <f t="shared" si="68"/>
        <v>0</v>
      </c>
      <c r="K2141" s="84">
        <f t="shared" si="69"/>
        <v>0</v>
      </c>
      <c r="L2141" s="61" t="e">
        <f>VLOOKUP(K2141,[1]Mapping!$J$3:$Q$351,8,FALSE)</f>
        <v>#N/A</v>
      </c>
      <c r="M2141" t="s">
        <v>83</v>
      </c>
    </row>
    <row r="2142" spans="5:13" hidden="1" x14ac:dyDescent="0.35">
      <c r="E2142" s="81"/>
      <c r="I2142" s="83" t="e">
        <f>VLOOKUP(E2142,[1]Mapping!$A$3:$B$14,2,FALSE)</f>
        <v>#N/A</v>
      </c>
      <c r="J2142" s="84">
        <f t="shared" si="68"/>
        <v>0</v>
      </c>
      <c r="K2142" s="84">
        <f t="shared" si="69"/>
        <v>0</v>
      </c>
      <c r="L2142" s="61" t="e">
        <f>VLOOKUP(K2142,[1]Mapping!$J$3:$Q$351,8,FALSE)</f>
        <v>#N/A</v>
      </c>
      <c r="M2142" t="s">
        <v>83</v>
      </c>
    </row>
    <row r="2143" spans="5:13" hidden="1" x14ac:dyDescent="0.35">
      <c r="E2143" s="81"/>
      <c r="I2143" s="83" t="e">
        <f>VLOOKUP(E2143,[1]Mapping!$A$3:$B$14,2,FALSE)</f>
        <v>#N/A</v>
      </c>
      <c r="J2143" s="84">
        <f t="shared" si="68"/>
        <v>0</v>
      </c>
      <c r="K2143" s="84">
        <f t="shared" si="69"/>
        <v>0</v>
      </c>
      <c r="L2143" s="61" t="e">
        <f>VLOOKUP(K2143,[1]Mapping!$J$3:$Q$351,8,FALSE)</f>
        <v>#N/A</v>
      </c>
      <c r="M2143" t="s">
        <v>83</v>
      </c>
    </row>
    <row r="2144" spans="5:13" hidden="1" x14ac:dyDescent="0.35">
      <c r="E2144" s="81"/>
      <c r="I2144" s="83" t="e">
        <f>VLOOKUP(E2144,[1]Mapping!$A$3:$B$14,2,FALSE)</f>
        <v>#N/A</v>
      </c>
      <c r="J2144" s="84">
        <f t="shared" si="68"/>
        <v>0</v>
      </c>
      <c r="K2144" s="84">
        <f t="shared" si="69"/>
        <v>0</v>
      </c>
      <c r="L2144" s="61" t="e">
        <f>VLOOKUP(K2144,[1]Mapping!$J$3:$Q$351,8,FALSE)</f>
        <v>#N/A</v>
      </c>
      <c r="M2144" t="s">
        <v>83</v>
      </c>
    </row>
    <row r="2145" spans="5:13" hidden="1" x14ac:dyDescent="0.35">
      <c r="E2145" s="81"/>
      <c r="I2145" s="83" t="e">
        <f>VLOOKUP(E2145,[1]Mapping!$A$3:$B$14,2,FALSE)</f>
        <v>#N/A</v>
      </c>
      <c r="J2145" s="84">
        <f t="shared" si="68"/>
        <v>0</v>
      </c>
      <c r="K2145" s="84">
        <f t="shared" si="69"/>
        <v>0</v>
      </c>
      <c r="L2145" s="61" t="e">
        <f>VLOOKUP(K2145,[1]Mapping!$J$3:$Q$351,8,FALSE)</f>
        <v>#N/A</v>
      </c>
      <c r="M2145" t="s">
        <v>83</v>
      </c>
    </row>
    <row r="2146" spans="5:13" hidden="1" x14ac:dyDescent="0.35">
      <c r="E2146" s="81"/>
      <c r="I2146" s="83" t="e">
        <f>VLOOKUP(E2146,[1]Mapping!$A$3:$B$14,2,FALSE)</f>
        <v>#N/A</v>
      </c>
      <c r="J2146" s="84">
        <f t="shared" si="68"/>
        <v>0</v>
      </c>
      <c r="K2146" s="84">
        <f t="shared" si="69"/>
        <v>0</v>
      </c>
      <c r="L2146" s="61" t="e">
        <f>VLOOKUP(K2146,[1]Mapping!$J$3:$Q$351,8,FALSE)</f>
        <v>#N/A</v>
      </c>
      <c r="M2146" t="s">
        <v>83</v>
      </c>
    </row>
    <row r="2147" spans="5:13" hidden="1" x14ac:dyDescent="0.35">
      <c r="E2147" s="81"/>
      <c r="I2147" s="83" t="e">
        <f>VLOOKUP(E2147,[1]Mapping!$A$3:$B$14,2,FALSE)</f>
        <v>#N/A</v>
      </c>
      <c r="J2147" s="84">
        <f t="shared" si="68"/>
        <v>0</v>
      </c>
      <c r="K2147" s="84">
        <f t="shared" si="69"/>
        <v>0</v>
      </c>
      <c r="L2147" s="61" t="e">
        <f>VLOOKUP(K2147,[1]Mapping!$J$3:$Q$351,8,FALSE)</f>
        <v>#N/A</v>
      </c>
      <c r="M2147" t="s">
        <v>83</v>
      </c>
    </row>
    <row r="2148" spans="5:13" hidden="1" x14ac:dyDescent="0.35">
      <c r="E2148" s="81"/>
      <c r="I2148" s="83" t="e">
        <f>VLOOKUP(E2148,[1]Mapping!$A$3:$B$14,2,FALSE)</f>
        <v>#N/A</v>
      </c>
      <c r="J2148" s="84">
        <f t="shared" si="68"/>
        <v>0</v>
      </c>
      <c r="K2148" s="84">
        <f t="shared" si="69"/>
        <v>0</v>
      </c>
      <c r="L2148" s="61" t="e">
        <f>VLOOKUP(K2148,[1]Mapping!$J$3:$Q$351,8,FALSE)</f>
        <v>#N/A</v>
      </c>
      <c r="M2148" t="s">
        <v>83</v>
      </c>
    </row>
    <row r="2149" spans="5:13" hidden="1" x14ac:dyDescent="0.35">
      <c r="E2149" s="81"/>
      <c r="I2149" s="83" t="e">
        <f>VLOOKUP(E2149,[1]Mapping!$A$3:$B$14,2,FALSE)</f>
        <v>#N/A</v>
      </c>
      <c r="J2149" s="84">
        <f t="shared" si="68"/>
        <v>0</v>
      </c>
      <c r="K2149" s="84">
        <f t="shared" si="69"/>
        <v>0</v>
      </c>
      <c r="L2149" s="61" t="e">
        <f>VLOOKUP(K2149,[1]Mapping!$J$3:$Q$351,8,FALSE)</f>
        <v>#N/A</v>
      </c>
      <c r="M2149" t="s">
        <v>83</v>
      </c>
    </row>
    <row r="2150" spans="5:13" hidden="1" x14ac:dyDescent="0.35">
      <c r="E2150" s="81"/>
      <c r="I2150" s="83" t="e">
        <f>VLOOKUP(E2150,[1]Mapping!$A$3:$B$14,2,FALSE)</f>
        <v>#N/A</v>
      </c>
      <c r="J2150" s="84">
        <f t="shared" si="68"/>
        <v>0</v>
      </c>
      <c r="K2150" s="84">
        <f t="shared" si="69"/>
        <v>0</v>
      </c>
      <c r="L2150" s="61" t="e">
        <f>VLOOKUP(K2150,[1]Mapping!$J$3:$Q$351,8,FALSE)</f>
        <v>#N/A</v>
      </c>
      <c r="M2150" t="s">
        <v>83</v>
      </c>
    </row>
    <row r="2151" spans="5:13" hidden="1" x14ac:dyDescent="0.35">
      <c r="E2151" s="81"/>
      <c r="I2151" s="83" t="e">
        <f>VLOOKUP(E2151,[1]Mapping!$A$3:$B$14,2,FALSE)</f>
        <v>#N/A</v>
      </c>
      <c r="J2151" s="84">
        <f t="shared" si="68"/>
        <v>0</v>
      </c>
      <c r="K2151" s="84">
        <f t="shared" si="69"/>
        <v>0</v>
      </c>
      <c r="L2151" s="61" t="e">
        <f>VLOOKUP(K2151,[1]Mapping!$J$3:$Q$351,8,FALSE)</f>
        <v>#N/A</v>
      </c>
      <c r="M2151" t="s">
        <v>83</v>
      </c>
    </row>
    <row r="2152" spans="5:13" hidden="1" x14ac:dyDescent="0.35">
      <c r="E2152" s="81"/>
      <c r="I2152" s="83" t="e">
        <f>VLOOKUP(E2152,[1]Mapping!$A$3:$B$14,2,FALSE)</f>
        <v>#N/A</v>
      </c>
      <c r="J2152" s="84">
        <f t="shared" si="68"/>
        <v>0</v>
      </c>
      <c r="K2152" s="84">
        <f t="shared" si="69"/>
        <v>0</v>
      </c>
      <c r="L2152" s="61" t="e">
        <f>VLOOKUP(K2152,[1]Mapping!$J$3:$Q$351,8,FALSE)</f>
        <v>#N/A</v>
      </c>
      <c r="M2152" t="s">
        <v>83</v>
      </c>
    </row>
    <row r="2153" spans="5:13" hidden="1" x14ac:dyDescent="0.35">
      <c r="E2153" s="81"/>
      <c r="I2153" s="83" t="e">
        <f>VLOOKUP(E2153,[1]Mapping!$A$3:$B$14,2,FALSE)</f>
        <v>#N/A</v>
      </c>
      <c r="J2153" s="84">
        <f t="shared" si="68"/>
        <v>0</v>
      </c>
      <c r="K2153" s="84">
        <f t="shared" si="69"/>
        <v>0</v>
      </c>
      <c r="L2153" s="61" t="e">
        <f>VLOOKUP(K2153,[1]Mapping!$J$3:$Q$351,8,FALSE)</f>
        <v>#N/A</v>
      </c>
      <c r="M2153" t="s">
        <v>83</v>
      </c>
    </row>
    <row r="2154" spans="5:13" hidden="1" x14ac:dyDescent="0.35">
      <c r="E2154" s="81"/>
      <c r="I2154" s="83" t="e">
        <f>VLOOKUP(E2154,[1]Mapping!$A$3:$B$14,2,FALSE)</f>
        <v>#N/A</v>
      </c>
      <c r="J2154" s="84">
        <f t="shared" si="68"/>
        <v>0</v>
      </c>
      <c r="K2154" s="84">
        <f t="shared" si="69"/>
        <v>0</v>
      </c>
      <c r="L2154" s="61" t="e">
        <f>VLOOKUP(K2154,[1]Mapping!$J$3:$Q$351,8,FALSE)</f>
        <v>#N/A</v>
      </c>
      <c r="M2154" t="s">
        <v>83</v>
      </c>
    </row>
    <row r="2155" spans="5:13" hidden="1" x14ac:dyDescent="0.35">
      <c r="E2155" s="81"/>
      <c r="I2155" s="83" t="e">
        <f>VLOOKUP(E2155,[1]Mapping!$A$3:$B$14,2,FALSE)</f>
        <v>#N/A</v>
      </c>
      <c r="J2155" s="84">
        <f t="shared" si="68"/>
        <v>0</v>
      </c>
      <c r="K2155" s="84">
        <f t="shared" si="69"/>
        <v>0</v>
      </c>
      <c r="L2155" s="61" t="e">
        <f>VLOOKUP(K2155,[1]Mapping!$J$3:$Q$351,8,FALSE)</f>
        <v>#N/A</v>
      </c>
      <c r="M2155" t="s">
        <v>83</v>
      </c>
    </row>
    <row r="2156" spans="5:13" hidden="1" x14ac:dyDescent="0.35">
      <c r="E2156" s="81"/>
      <c r="I2156" s="83" t="e">
        <f>VLOOKUP(E2156,[1]Mapping!$A$3:$B$14,2,FALSE)</f>
        <v>#N/A</v>
      </c>
      <c r="J2156" s="84">
        <f t="shared" si="68"/>
        <v>0</v>
      </c>
      <c r="K2156" s="84">
        <f t="shared" si="69"/>
        <v>0</v>
      </c>
      <c r="L2156" s="61" t="e">
        <f>VLOOKUP(K2156,[1]Mapping!$J$3:$Q$351,8,FALSE)</f>
        <v>#N/A</v>
      </c>
      <c r="M2156" t="s">
        <v>83</v>
      </c>
    </row>
    <row r="2157" spans="5:13" hidden="1" x14ac:dyDescent="0.35">
      <c r="E2157" s="81"/>
      <c r="I2157" s="83" t="e">
        <f>VLOOKUP(E2157,[1]Mapping!$A$3:$B$14,2,FALSE)</f>
        <v>#N/A</v>
      </c>
      <c r="J2157" s="84">
        <f t="shared" si="68"/>
        <v>0</v>
      </c>
      <c r="K2157" s="84">
        <f t="shared" si="69"/>
        <v>0</v>
      </c>
      <c r="L2157" s="61" t="e">
        <f>VLOOKUP(K2157,[1]Mapping!$J$3:$Q$351,8,FALSE)</f>
        <v>#N/A</v>
      </c>
      <c r="M2157" t="s">
        <v>83</v>
      </c>
    </row>
    <row r="2158" spans="5:13" hidden="1" x14ac:dyDescent="0.35">
      <c r="E2158" s="81"/>
      <c r="I2158" s="83" t="e">
        <f>VLOOKUP(E2158,[1]Mapping!$A$3:$B$14,2,FALSE)</f>
        <v>#N/A</v>
      </c>
      <c r="J2158" s="84">
        <f t="shared" si="68"/>
        <v>0</v>
      </c>
      <c r="K2158" s="84">
        <f t="shared" si="69"/>
        <v>0</v>
      </c>
      <c r="L2158" s="61" t="e">
        <f>VLOOKUP(K2158,[1]Mapping!$J$3:$Q$351,8,FALSE)</f>
        <v>#N/A</v>
      </c>
      <c r="M2158" t="s">
        <v>83</v>
      </c>
    </row>
    <row r="2159" spans="5:13" hidden="1" x14ac:dyDescent="0.35">
      <c r="E2159" s="81"/>
      <c r="I2159" s="83" t="e">
        <f>VLOOKUP(E2159,[1]Mapping!$A$3:$B$14,2,FALSE)</f>
        <v>#N/A</v>
      </c>
      <c r="J2159" s="84">
        <f t="shared" si="68"/>
        <v>0</v>
      </c>
      <c r="K2159" s="84">
        <f t="shared" si="69"/>
        <v>0</v>
      </c>
      <c r="L2159" s="61" t="e">
        <f>VLOOKUP(K2159,[1]Mapping!$J$3:$Q$351,8,FALSE)</f>
        <v>#N/A</v>
      </c>
      <c r="M2159" t="s">
        <v>83</v>
      </c>
    </row>
    <row r="2160" spans="5:13" hidden="1" x14ac:dyDescent="0.35">
      <c r="E2160" s="81"/>
      <c r="I2160" s="83" t="e">
        <f>VLOOKUP(E2160,[1]Mapping!$A$3:$B$14,2,FALSE)</f>
        <v>#N/A</v>
      </c>
      <c r="J2160" s="84">
        <f t="shared" si="68"/>
        <v>0</v>
      </c>
      <c r="K2160" s="84">
        <f t="shared" si="69"/>
        <v>0</v>
      </c>
      <c r="L2160" s="61" t="e">
        <f>VLOOKUP(K2160,[1]Mapping!$J$3:$Q$351,8,FALSE)</f>
        <v>#N/A</v>
      </c>
      <c r="M2160" t="s">
        <v>83</v>
      </c>
    </row>
    <row r="2161" spans="5:13" hidden="1" x14ac:dyDescent="0.35">
      <c r="E2161" s="81"/>
      <c r="I2161" s="83" t="e">
        <f>VLOOKUP(E2161,[1]Mapping!$A$3:$B$14,2,FALSE)</f>
        <v>#N/A</v>
      </c>
      <c r="J2161" s="84">
        <f t="shared" si="68"/>
        <v>0</v>
      </c>
      <c r="K2161" s="84">
        <f t="shared" si="69"/>
        <v>0</v>
      </c>
      <c r="L2161" s="61" t="e">
        <f>VLOOKUP(K2161,[1]Mapping!$J$3:$Q$351,8,FALSE)</f>
        <v>#N/A</v>
      </c>
      <c r="M2161" t="s">
        <v>83</v>
      </c>
    </row>
    <row r="2162" spans="5:13" hidden="1" x14ac:dyDescent="0.35">
      <c r="E2162" s="81"/>
      <c r="I2162" s="83" t="e">
        <f>VLOOKUP(E2162,[1]Mapping!$A$3:$B$14,2,FALSE)</f>
        <v>#N/A</v>
      </c>
      <c r="J2162" s="84">
        <f t="shared" si="68"/>
        <v>0</v>
      </c>
      <c r="K2162" s="84">
        <f t="shared" si="69"/>
        <v>0</v>
      </c>
      <c r="L2162" s="61" t="e">
        <f>VLOOKUP(K2162,[1]Mapping!$J$3:$Q$351,8,FALSE)</f>
        <v>#N/A</v>
      </c>
      <c r="M2162" t="s">
        <v>83</v>
      </c>
    </row>
    <row r="2163" spans="5:13" hidden="1" x14ac:dyDescent="0.35">
      <c r="E2163" s="81"/>
      <c r="I2163" s="83" t="e">
        <f>VLOOKUP(E2163,[1]Mapping!$A$3:$B$14,2,FALSE)</f>
        <v>#N/A</v>
      </c>
      <c r="J2163" s="84">
        <f t="shared" si="68"/>
        <v>0</v>
      </c>
      <c r="K2163" s="84">
        <f t="shared" si="69"/>
        <v>0</v>
      </c>
      <c r="L2163" s="61" t="e">
        <f>VLOOKUP(K2163,[1]Mapping!$J$3:$Q$351,8,FALSE)</f>
        <v>#N/A</v>
      </c>
      <c r="M2163" t="s">
        <v>83</v>
      </c>
    </row>
    <row r="2164" spans="5:13" hidden="1" x14ac:dyDescent="0.35">
      <c r="E2164" s="81"/>
      <c r="I2164" s="83" t="e">
        <f>VLOOKUP(E2164,[1]Mapping!$A$3:$B$14,2,FALSE)</f>
        <v>#N/A</v>
      </c>
      <c r="J2164" s="84">
        <f t="shared" si="68"/>
        <v>0</v>
      </c>
      <c r="K2164" s="84">
        <f t="shared" si="69"/>
        <v>0</v>
      </c>
      <c r="L2164" s="61" t="e">
        <f>VLOOKUP(K2164,[1]Mapping!$J$3:$Q$351,8,FALSE)</f>
        <v>#N/A</v>
      </c>
      <c r="M2164" t="s">
        <v>83</v>
      </c>
    </row>
    <row r="2165" spans="5:13" hidden="1" x14ac:dyDescent="0.35">
      <c r="E2165" s="81"/>
      <c r="I2165" s="83" t="e">
        <f>VLOOKUP(E2165,[1]Mapping!$A$3:$B$14,2,FALSE)</f>
        <v>#N/A</v>
      </c>
      <c r="J2165" s="84">
        <f t="shared" si="68"/>
        <v>0</v>
      </c>
      <c r="K2165" s="84">
        <f t="shared" si="69"/>
        <v>0</v>
      </c>
      <c r="L2165" s="61" t="e">
        <f>VLOOKUP(K2165,[1]Mapping!$J$3:$Q$351,8,FALSE)</f>
        <v>#N/A</v>
      </c>
      <c r="M2165" t="s">
        <v>83</v>
      </c>
    </row>
    <row r="2166" spans="5:13" hidden="1" x14ac:dyDescent="0.35">
      <c r="E2166" s="81"/>
      <c r="I2166" s="83" t="e">
        <f>VLOOKUP(E2166,[1]Mapping!$A$3:$B$14,2,FALSE)</f>
        <v>#N/A</v>
      </c>
      <c r="J2166" s="84">
        <f t="shared" si="68"/>
        <v>0</v>
      </c>
      <c r="K2166" s="84">
        <f t="shared" si="69"/>
        <v>0</v>
      </c>
      <c r="L2166" s="61" t="e">
        <f>VLOOKUP(K2166,[1]Mapping!$J$3:$Q$351,8,FALSE)</f>
        <v>#N/A</v>
      </c>
      <c r="M2166" t="s">
        <v>83</v>
      </c>
    </row>
    <row r="2167" spans="5:13" hidden="1" x14ac:dyDescent="0.35">
      <c r="E2167" s="81"/>
      <c r="I2167" s="83" t="e">
        <f>VLOOKUP(E2167,[1]Mapping!$A$3:$B$14,2,FALSE)</f>
        <v>#N/A</v>
      </c>
      <c r="J2167" s="84">
        <f t="shared" si="68"/>
        <v>0</v>
      </c>
      <c r="K2167" s="84">
        <f t="shared" si="69"/>
        <v>0</v>
      </c>
      <c r="L2167" s="61" t="e">
        <f>VLOOKUP(K2167,[1]Mapping!$J$3:$Q$351,8,FALSE)</f>
        <v>#N/A</v>
      </c>
      <c r="M2167" t="s">
        <v>83</v>
      </c>
    </row>
    <row r="2168" spans="5:13" hidden="1" x14ac:dyDescent="0.35">
      <c r="E2168" s="81"/>
      <c r="I2168" s="83" t="e">
        <f>VLOOKUP(E2168,[1]Mapping!$A$3:$B$14,2,FALSE)</f>
        <v>#N/A</v>
      </c>
      <c r="J2168" s="84">
        <f t="shared" si="68"/>
        <v>0</v>
      </c>
      <c r="K2168" s="84">
        <f t="shared" si="69"/>
        <v>0</v>
      </c>
      <c r="L2168" s="61" t="e">
        <f>VLOOKUP(K2168,[1]Mapping!$J$3:$Q$351,8,FALSE)</f>
        <v>#N/A</v>
      </c>
      <c r="M2168" t="s">
        <v>83</v>
      </c>
    </row>
    <row r="2169" spans="5:13" hidden="1" x14ac:dyDescent="0.35">
      <c r="E2169" s="81"/>
      <c r="I2169" s="83" t="e">
        <f>VLOOKUP(E2169,[1]Mapping!$A$3:$B$14,2,FALSE)</f>
        <v>#N/A</v>
      </c>
      <c r="J2169" s="84">
        <f t="shared" si="68"/>
        <v>0</v>
      </c>
      <c r="K2169" s="84">
        <f t="shared" si="69"/>
        <v>0</v>
      </c>
      <c r="L2169" s="61" t="e">
        <f>VLOOKUP(K2169,[1]Mapping!$J$3:$Q$351,8,FALSE)</f>
        <v>#N/A</v>
      </c>
      <c r="M2169" t="s">
        <v>83</v>
      </c>
    </row>
    <row r="2170" spans="5:13" hidden="1" x14ac:dyDescent="0.35">
      <c r="E2170" s="81"/>
      <c r="I2170" s="83" t="e">
        <f>VLOOKUP(E2170,[1]Mapping!$A$3:$B$14,2,FALSE)</f>
        <v>#N/A</v>
      </c>
      <c r="J2170" s="84">
        <f t="shared" si="68"/>
        <v>0</v>
      </c>
      <c r="K2170" s="84">
        <f t="shared" si="69"/>
        <v>0</v>
      </c>
      <c r="L2170" s="61" t="e">
        <f>VLOOKUP(K2170,[1]Mapping!$J$3:$Q$351,8,FALSE)</f>
        <v>#N/A</v>
      </c>
      <c r="M2170" t="s">
        <v>83</v>
      </c>
    </row>
    <row r="2171" spans="5:13" hidden="1" x14ac:dyDescent="0.35">
      <c r="E2171" s="81"/>
      <c r="I2171" s="83" t="e">
        <f>VLOOKUP(E2171,[1]Mapping!$A$3:$B$14,2,FALSE)</f>
        <v>#N/A</v>
      </c>
      <c r="J2171" s="84">
        <f t="shared" si="68"/>
        <v>0</v>
      </c>
      <c r="K2171" s="84">
        <f t="shared" si="69"/>
        <v>0</v>
      </c>
      <c r="L2171" s="61" t="e">
        <f>VLOOKUP(K2171,[1]Mapping!$J$3:$Q$351,8,FALSE)</f>
        <v>#N/A</v>
      </c>
      <c r="M2171" t="s">
        <v>83</v>
      </c>
    </row>
    <row r="2172" spans="5:13" hidden="1" x14ac:dyDescent="0.35">
      <c r="E2172" s="81"/>
      <c r="I2172" s="83" t="e">
        <f>VLOOKUP(E2172,[1]Mapping!$A$3:$B$14,2,FALSE)</f>
        <v>#N/A</v>
      </c>
      <c r="J2172" s="84">
        <f t="shared" si="68"/>
        <v>0</v>
      </c>
      <c r="K2172" s="84">
        <f t="shared" si="69"/>
        <v>0</v>
      </c>
      <c r="L2172" s="61" t="e">
        <f>VLOOKUP(K2172,[1]Mapping!$J$3:$Q$351,8,FALSE)</f>
        <v>#N/A</v>
      </c>
      <c r="M2172" t="s">
        <v>83</v>
      </c>
    </row>
    <row r="2173" spans="5:13" hidden="1" x14ac:dyDescent="0.35">
      <c r="E2173" s="81"/>
      <c r="I2173" s="83" t="e">
        <f>VLOOKUP(E2173,[1]Mapping!$A$3:$B$14,2,FALSE)</f>
        <v>#N/A</v>
      </c>
      <c r="J2173" s="84">
        <f t="shared" si="68"/>
        <v>0</v>
      </c>
      <c r="K2173" s="84">
        <f t="shared" si="69"/>
        <v>0</v>
      </c>
      <c r="L2173" s="61" t="e">
        <f>VLOOKUP(K2173,[1]Mapping!$J$3:$Q$351,8,FALSE)</f>
        <v>#N/A</v>
      </c>
      <c r="M2173" t="s">
        <v>83</v>
      </c>
    </row>
    <row r="2174" spans="5:13" hidden="1" x14ac:dyDescent="0.35">
      <c r="E2174" s="81"/>
      <c r="I2174" s="83" t="e">
        <f>VLOOKUP(E2174,[1]Mapping!$A$3:$B$14,2,FALSE)</f>
        <v>#N/A</v>
      </c>
      <c r="J2174" s="84">
        <f t="shared" si="68"/>
        <v>0</v>
      </c>
      <c r="K2174" s="84">
        <f t="shared" si="69"/>
        <v>0</v>
      </c>
      <c r="L2174" s="61" t="e">
        <f>VLOOKUP(K2174,[1]Mapping!$J$3:$Q$351,8,FALSE)</f>
        <v>#N/A</v>
      </c>
      <c r="M2174" t="s">
        <v>83</v>
      </c>
    </row>
    <row r="2175" spans="5:13" hidden="1" x14ac:dyDescent="0.35">
      <c r="E2175" s="81"/>
      <c r="I2175" s="83" t="e">
        <f>VLOOKUP(E2175,[1]Mapping!$A$3:$B$14,2,FALSE)</f>
        <v>#N/A</v>
      </c>
      <c r="J2175" s="84">
        <f t="shared" si="68"/>
        <v>0</v>
      </c>
      <c r="K2175" s="84">
        <f t="shared" si="69"/>
        <v>0</v>
      </c>
      <c r="L2175" s="61" t="e">
        <f>VLOOKUP(K2175,[1]Mapping!$J$3:$Q$351,8,FALSE)</f>
        <v>#N/A</v>
      </c>
      <c r="M2175" t="s">
        <v>83</v>
      </c>
    </row>
    <row r="2176" spans="5:13" hidden="1" x14ac:dyDescent="0.35">
      <c r="E2176" s="81"/>
      <c r="I2176" s="83" t="e">
        <f>VLOOKUP(E2176,[1]Mapping!$A$3:$B$14,2,FALSE)</f>
        <v>#N/A</v>
      </c>
      <c r="J2176" s="84">
        <f t="shared" si="68"/>
        <v>0</v>
      </c>
      <c r="K2176" s="84">
        <f t="shared" si="69"/>
        <v>0</v>
      </c>
      <c r="L2176" s="61" t="e">
        <f>VLOOKUP(K2176,[1]Mapping!$J$3:$Q$351,8,FALSE)</f>
        <v>#N/A</v>
      </c>
      <c r="M2176" t="s">
        <v>83</v>
      </c>
    </row>
    <row r="2177" spans="5:13" hidden="1" x14ac:dyDescent="0.35">
      <c r="E2177" s="81"/>
      <c r="I2177" s="83" t="e">
        <f>VLOOKUP(E2177,[1]Mapping!$A$3:$B$14,2,FALSE)</f>
        <v>#N/A</v>
      </c>
      <c r="J2177" s="84">
        <f t="shared" si="68"/>
        <v>0</v>
      </c>
      <c r="K2177" s="84">
        <f t="shared" si="69"/>
        <v>0</v>
      </c>
      <c r="L2177" s="61" t="e">
        <f>VLOOKUP(K2177,[1]Mapping!$J$3:$Q$351,8,FALSE)</f>
        <v>#N/A</v>
      </c>
      <c r="M2177" t="s">
        <v>83</v>
      </c>
    </row>
    <row r="2178" spans="5:13" hidden="1" x14ac:dyDescent="0.35">
      <c r="E2178" s="81"/>
      <c r="I2178" s="83" t="e">
        <f>VLOOKUP(E2178,[1]Mapping!$A$3:$B$14,2,FALSE)</f>
        <v>#N/A</v>
      </c>
      <c r="J2178" s="84">
        <f t="shared" si="68"/>
        <v>0</v>
      </c>
      <c r="K2178" s="84">
        <f t="shared" si="69"/>
        <v>0</v>
      </c>
      <c r="L2178" s="61" t="e">
        <f>VLOOKUP(K2178,[1]Mapping!$J$3:$Q$351,8,FALSE)</f>
        <v>#N/A</v>
      </c>
      <c r="M2178" t="s">
        <v>83</v>
      </c>
    </row>
    <row r="2179" spans="5:13" hidden="1" x14ac:dyDescent="0.35">
      <c r="E2179" s="81"/>
      <c r="I2179" s="83" t="e">
        <f>VLOOKUP(E2179,[1]Mapping!$A$3:$B$14,2,FALSE)</f>
        <v>#N/A</v>
      </c>
      <c r="J2179" s="84">
        <f t="shared" si="68"/>
        <v>0</v>
      </c>
      <c r="K2179" s="84">
        <f t="shared" si="69"/>
        <v>0</v>
      </c>
      <c r="L2179" s="61" t="e">
        <f>VLOOKUP(K2179,[1]Mapping!$J$3:$Q$351,8,FALSE)</f>
        <v>#N/A</v>
      </c>
      <c r="M2179" t="s">
        <v>83</v>
      </c>
    </row>
    <row r="2180" spans="5:13" hidden="1" x14ac:dyDescent="0.35">
      <c r="E2180" s="81"/>
      <c r="I2180" s="83" t="e">
        <f>VLOOKUP(E2180,[1]Mapping!$A$3:$B$14,2,FALSE)</f>
        <v>#N/A</v>
      </c>
      <c r="J2180" s="84">
        <f t="shared" ref="J2180:J2243" si="70">VALUE(A2180)</f>
        <v>0</v>
      </c>
      <c r="K2180" s="84">
        <f t="shared" ref="K2180:K2243" si="71">VALUE(C2180)</f>
        <v>0</v>
      </c>
      <c r="L2180" s="61" t="e">
        <f>VLOOKUP(K2180,[1]Mapping!$J$3:$Q$351,8,FALSE)</f>
        <v>#N/A</v>
      </c>
      <c r="M2180" t="s">
        <v>83</v>
      </c>
    </row>
    <row r="2181" spans="5:13" hidden="1" x14ac:dyDescent="0.35">
      <c r="E2181" s="81"/>
      <c r="I2181" s="83" t="e">
        <f>VLOOKUP(E2181,[1]Mapping!$A$3:$B$14,2,FALSE)</f>
        <v>#N/A</v>
      </c>
      <c r="J2181" s="84">
        <f t="shared" si="70"/>
        <v>0</v>
      </c>
      <c r="K2181" s="84">
        <f t="shared" si="71"/>
        <v>0</v>
      </c>
      <c r="L2181" s="61" t="e">
        <f>VLOOKUP(K2181,[1]Mapping!$J$3:$Q$351,8,FALSE)</f>
        <v>#N/A</v>
      </c>
      <c r="M2181" t="s">
        <v>83</v>
      </c>
    </row>
    <row r="2182" spans="5:13" hidden="1" x14ac:dyDescent="0.35">
      <c r="E2182" s="81"/>
      <c r="I2182" s="83" t="e">
        <f>VLOOKUP(E2182,[1]Mapping!$A$3:$B$14,2,FALSE)</f>
        <v>#N/A</v>
      </c>
      <c r="J2182" s="84">
        <f t="shared" si="70"/>
        <v>0</v>
      </c>
      <c r="K2182" s="84">
        <f t="shared" si="71"/>
        <v>0</v>
      </c>
      <c r="L2182" s="61" t="e">
        <f>VLOOKUP(K2182,[1]Mapping!$J$3:$Q$351,8,FALSE)</f>
        <v>#N/A</v>
      </c>
      <c r="M2182" t="s">
        <v>83</v>
      </c>
    </row>
    <row r="2183" spans="5:13" hidden="1" x14ac:dyDescent="0.35">
      <c r="E2183" s="81"/>
      <c r="I2183" s="83" t="e">
        <f>VLOOKUP(E2183,[1]Mapping!$A$3:$B$14,2,FALSE)</f>
        <v>#N/A</v>
      </c>
      <c r="J2183" s="84">
        <f t="shared" si="70"/>
        <v>0</v>
      </c>
      <c r="K2183" s="84">
        <f t="shared" si="71"/>
        <v>0</v>
      </c>
      <c r="L2183" s="61" t="e">
        <f>VLOOKUP(K2183,[1]Mapping!$J$3:$Q$351,8,FALSE)</f>
        <v>#N/A</v>
      </c>
      <c r="M2183" t="s">
        <v>83</v>
      </c>
    </row>
    <row r="2184" spans="5:13" hidden="1" x14ac:dyDescent="0.35">
      <c r="E2184" s="81"/>
      <c r="I2184" s="83" t="e">
        <f>VLOOKUP(E2184,[1]Mapping!$A$3:$B$14,2,FALSE)</f>
        <v>#N/A</v>
      </c>
      <c r="J2184" s="84">
        <f t="shared" si="70"/>
        <v>0</v>
      </c>
      <c r="K2184" s="84">
        <f t="shared" si="71"/>
        <v>0</v>
      </c>
      <c r="L2184" s="61" t="e">
        <f>VLOOKUP(K2184,[1]Mapping!$J$3:$Q$351,8,FALSE)</f>
        <v>#N/A</v>
      </c>
      <c r="M2184" t="s">
        <v>83</v>
      </c>
    </row>
    <row r="2185" spans="5:13" hidden="1" x14ac:dyDescent="0.35">
      <c r="E2185" s="81"/>
      <c r="I2185" s="83" t="e">
        <f>VLOOKUP(E2185,[1]Mapping!$A$3:$B$14,2,FALSE)</f>
        <v>#N/A</v>
      </c>
      <c r="J2185" s="84">
        <f t="shared" si="70"/>
        <v>0</v>
      </c>
      <c r="K2185" s="84">
        <f t="shared" si="71"/>
        <v>0</v>
      </c>
      <c r="L2185" s="61" t="e">
        <f>VLOOKUP(K2185,[1]Mapping!$J$3:$Q$351,8,FALSE)</f>
        <v>#N/A</v>
      </c>
      <c r="M2185" t="s">
        <v>83</v>
      </c>
    </row>
    <row r="2186" spans="5:13" hidden="1" x14ac:dyDescent="0.35">
      <c r="E2186" s="81"/>
      <c r="I2186" s="83" t="e">
        <f>VLOOKUP(E2186,[1]Mapping!$A$3:$B$14,2,FALSE)</f>
        <v>#N/A</v>
      </c>
      <c r="J2186" s="84">
        <f t="shared" si="70"/>
        <v>0</v>
      </c>
      <c r="K2186" s="84">
        <f t="shared" si="71"/>
        <v>0</v>
      </c>
      <c r="L2186" s="61" t="e">
        <f>VLOOKUP(K2186,[1]Mapping!$J$3:$Q$351,8,FALSE)</f>
        <v>#N/A</v>
      </c>
      <c r="M2186" t="s">
        <v>83</v>
      </c>
    </row>
    <row r="2187" spans="5:13" hidden="1" x14ac:dyDescent="0.35">
      <c r="E2187" s="81"/>
      <c r="I2187" s="83" t="e">
        <f>VLOOKUP(E2187,[1]Mapping!$A$3:$B$14,2,FALSE)</f>
        <v>#N/A</v>
      </c>
      <c r="J2187" s="84">
        <f t="shared" si="70"/>
        <v>0</v>
      </c>
      <c r="K2187" s="84">
        <f t="shared" si="71"/>
        <v>0</v>
      </c>
      <c r="L2187" s="61" t="e">
        <f>VLOOKUP(K2187,[1]Mapping!$J$3:$Q$351,8,FALSE)</f>
        <v>#N/A</v>
      </c>
      <c r="M2187" t="s">
        <v>83</v>
      </c>
    </row>
    <row r="2188" spans="5:13" hidden="1" x14ac:dyDescent="0.35">
      <c r="E2188" s="81"/>
      <c r="I2188" s="83" t="e">
        <f>VLOOKUP(E2188,[1]Mapping!$A$3:$B$14,2,FALSE)</f>
        <v>#N/A</v>
      </c>
      <c r="J2188" s="84">
        <f t="shared" si="70"/>
        <v>0</v>
      </c>
      <c r="K2188" s="84">
        <f t="shared" si="71"/>
        <v>0</v>
      </c>
      <c r="L2188" s="61" t="e">
        <f>VLOOKUP(K2188,[1]Mapping!$J$3:$Q$351,8,FALSE)</f>
        <v>#N/A</v>
      </c>
      <c r="M2188" t="s">
        <v>83</v>
      </c>
    </row>
    <row r="2189" spans="5:13" hidden="1" x14ac:dyDescent="0.35">
      <c r="E2189" s="81"/>
      <c r="I2189" s="83" t="e">
        <f>VLOOKUP(E2189,[1]Mapping!$A$3:$B$14,2,FALSE)</f>
        <v>#N/A</v>
      </c>
      <c r="J2189" s="84">
        <f t="shared" si="70"/>
        <v>0</v>
      </c>
      <c r="K2189" s="84">
        <f t="shared" si="71"/>
        <v>0</v>
      </c>
      <c r="L2189" s="61" t="e">
        <f>VLOOKUP(K2189,[1]Mapping!$J$3:$Q$351,8,FALSE)</f>
        <v>#N/A</v>
      </c>
      <c r="M2189" t="s">
        <v>83</v>
      </c>
    </row>
    <row r="2190" spans="5:13" hidden="1" x14ac:dyDescent="0.35">
      <c r="E2190" s="81"/>
      <c r="I2190" s="83" t="e">
        <f>VLOOKUP(E2190,[1]Mapping!$A$3:$B$14,2,FALSE)</f>
        <v>#N/A</v>
      </c>
      <c r="J2190" s="84">
        <f t="shared" si="70"/>
        <v>0</v>
      </c>
      <c r="K2190" s="84">
        <f t="shared" si="71"/>
        <v>0</v>
      </c>
      <c r="L2190" s="61" t="e">
        <f>VLOOKUP(K2190,[1]Mapping!$J$3:$Q$351,8,FALSE)</f>
        <v>#N/A</v>
      </c>
      <c r="M2190" t="s">
        <v>83</v>
      </c>
    </row>
    <row r="2191" spans="5:13" hidden="1" x14ac:dyDescent="0.35">
      <c r="E2191" s="81"/>
      <c r="I2191" s="83" t="e">
        <f>VLOOKUP(E2191,[1]Mapping!$A$3:$B$14,2,FALSE)</f>
        <v>#N/A</v>
      </c>
      <c r="J2191" s="84">
        <f t="shared" si="70"/>
        <v>0</v>
      </c>
      <c r="K2191" s="84">
        <f t="shared" si="71"/>
        <v>0</v>
      </c>
      <c r="L2191" s="61" t="e">
        <f>VLOOKUP(K2191,[1]Mapping!$J$3:$Q$351,8,FALSE)</f>
        <v>#N/A</v>
      </c>
      <c r="M2191" t="s">
        <v>83</v>
      </c>
    </row>
    <row r="2192" spans="5:13" hidden="1" x14ac:dyDescent="0.35">
      <c r="E2192" s="81"/>
      <c r="I2192" s="83" t="e">
        <f>VLOOKUP(E2192,[1]Mapping!$A$3:$B$14,2,FALSE)</f>
        <v>#N/A</v>
      </c>
      <c r="J2192" s="84">
        <f t="shared" si="70"/>
        <v>0</v>
      </c>
      <c r="K2192" s="84">
        <f t="shared" si="71"/>
        <v>0</v>
      </c>
      <c r="L2192" s="61" t="e">
        <f>VLOOKUP(K2192,[1]Mapping!$J$3:$Q$351,8,FALSE)</f>
        <v>#N/A</v>
      </c>
      <c r="M2192" t="s">
        <v>83</v>
      </c>
    </row>
    <row r="2193" spans="5:13" hidden="1" x14ac:dyDescent="0.35">
      <c r="E2193" s="81"/>
      <c r="I2193" s="83" t="e">
        <f>VLOOKUP(E2193,[1]Mapping!$A$3:$B$14,2,FALSE)</f>
        <v>#N/A</v>
      </c>
      <c r="J2193" s="84">
        <f t="shared" si="70"/>
        <v>0</v>
      </c>
      <c r="K2193" s="84">
        <f t="shared" si="71"/>
        <v>0</v>
      </c>
      <c r="L2193" s="61" t="e">
        <f>VLOOKUP(K2193,[1]Mapping!$J$3:$Q$351,8,FALSE)</f>
        <v>#N/A</v>
      </c>
      <c r="M2193" t="s">
        <v>83</v>
      </c>
    </row>
    <row r="2194" spans="5:13" hidden="1" x14ac:dyDescent="0.35">
      <c r="E2194" s="81"/>
      <c r="I2194" s="83" t="e">
        <f>VLOOKUP(E2194,[1]Mapping!$A$3:$B$14,2,FALSE)</f>
        <v>#N/A</v>
      </c>
      <c r="J2194" s="84">
        <f t="shared" si="70"/>
        <v>0</v>
      </c>
      <c r="K2194" s="84">
        <f t="shared" si="71"/>
        <v>0</v>
      </c>
      <c r="L2194" s="61" t="e">
        <f>VLOOKUP(K2194,[1]Mapping!$J$3:$Q$351,8,FALSE)</f>
        <v>#N/A</v>
      </c>
      <c r="M2194" t="s">
        <v>83</v>
      </c>
    </row>
    <row r="2195" spans="5:13" hidden="1" x14ac:dyDescent="0.35">
      <c r="E2195" s="81"/>
      <c r="I2195" s="83" t="e">
        <f>VLOOKUP(E2195,[1]Mapping!$A$3:$B$14,2,FALSE)</f>
        <v>#N/A</v>
      </c>
      <c r="J2195" s="84">
        <f t="shared" si="70"/>
        <v>0</v>
      </c>
      <c r="K2195" s="84">
        <f t="shared" si="71"/>
        <v>0</v>
      </c>
      <c r="L2195" s="61" t="e">
        <f>VLOOKUP(K2195,[1]Mapping!$J$3:$Q$351,8,FALSE)</f>
        <v>#N/A</v>
      </c>
      <c r="M2195" t="s">
        <v>83</v>
      </c>
    </row>
    <row r="2196" spans="5:13" hidden="1" x14ac:dyDescent="0.35">
      <c r="E2196" s="81"/>
      <c r="I2196" s="83" t="e">
        <f>VLOOKUP(E2196,[1]Mapping!$A$3:$B$14,2,FALSE)</f>
        <v>#N/A</v>
      </c>
      <c r="J2196" s="84">
        <f t="shared" si="70"/>
        <v>0</v>
      </c>
      <c r="K2196" s="84">
        <f t="shared" si="71"/>
        <v>0</v>
      </c>
      <c r="L2196" s="61" t="e">
        <f>VLOOKUP(K2196,[1]Mapping!$J$3:$Q$351,8,FALSE)</f>
        <v>#N/A</v>
      </c>
      <c r="M2196" t="s">
        <v>83</v>
      </c>
    </row>
    <row r="2197" spans="5:13" hidden="1" x14ac:dyDescent="0.35">
      <c r="E2197" s="81"/>
      <c r="I2197" s="83" t="e">
        <f>VLOOKUP(E2197,[1]Mapping!$A$3:$B$14,2,FALSE)</f>
        <v>#N/A</v>
      </c>
      <c r="J2197" s="84">
        <f t="shared" si="70"/>
        <v>0</v>
      </c>
      <c r="K2197" s="84">
        <f t="shared" si="71"/>
        <v>0</v>
      </c>
      <c r="L2197" s="61" t="e">
        <f>VLOOKUP(K2197,[1]Mapping!$J$3:$Q$351,8,FALSE)</f>
        <v>#N/A</v>
      </c>
      <c r="M2197" t="s">
        <v>83</v>
      </c>
    </row>
    <row r="2198" spans="5:13" hidden="1" x14ac:dyDescent="0.35">
      <c r="E2198" s="81"/>
      <c r="I2198" s="83" t="e">
        <f>VLOOKUP(E2198,[1]Mapping!$A$3:$B$14,2,FALSE)</f>
        <v>#N/A</v>
      </c>
      <c r="J2198" s="84">
        <f t="shared" si="70"/>
        <v>0</v>
      </c>
      <c r="K2198" s="84">
        <f t="shared" si="71"/>
        <v>0</v>
      </c>
      <c r="L2198" s="61" t="e">
        <f>VLOOKUP(K2198,[1]Mapping!$J$3:$Q$351,8,FALSE)</f>
        <v>#N/A</v>
      </c>
      <c r="M2198" t="s">
        <v>83</v>
      </c>
    </row>
    <row r="2199" spans="5:13" hidden="1" x14ac:dyDescent="0.35">
      <c r="E2199" s="81"/>
      <c r="I2199" s="83" t="e">
        <f>VLOOKUP(E2199,[1]Mapping!$A$3:$B$14,2,FALSE)</f>
        <v>#N/A</v>
      </c>
      <c r="J2199" s="84">
        <f t="shared" si="70"/>
        <v>0</v>
      </c>
      <c r="K2199" s="84">
        <f t="shared" si="71"/>
        <v>0</v>
      </c>
      <c r="L2199" s="61" t="e">
        <f>VLOOKUP(K2199,[1]Mapping!$J$3:$Q$351,8,FALSE)</f>
        <v>#N/A</v>
      </c>
      <c r="M2199" t="s">
        <v>83</v>
      </c>
    </row>
    <row r="2200" spans="5:13" hidden="1" x14ac:dyDescent="0.35">
      <c r="E2200" s="81"/>
      <c r="I2200" s="83" t="e">
        <f>VLOOKUP(E2200,[1]Mapping!$A$3:$B$14,2,FALSE)</f>
        <v>#N/A</v>
      </c>
      <c r="J2200" s="84">
        <f t="shared" si="70"/>
        <v>0</v>
      </c>
      <c r="K2200" s="84">
        <f t="shared" si="71"/>
        <v>0</v>
      </c>
      <c r="L2200" s="61" t="e">
        <f>VLOOKUP(K2200,[1]Mapping!$J$3:$Q$351,8,FALSE)</f>
        <v>#N/A</v>
      </c>
      <c r="M2200" t="s">
        <v>83</v>
      </c>
    </row>
    <row r="2201" spans="5:13" hidden="1" x14ac:dyDescent="0.35">
      <c r="E2201" s="81"/>
      <c r="I2201" s="83" t="e">
        <f>VLOOKUP(E2201,[1]Mapping!$A$3:$B$14,2,FALSE)</f>
        <v>#N/A</v>
      </c>
      <c r="J2201" s="84">
        <f t="shared" si="70"/>
        <v>0</v>
      </c>
      <c r="K2201" s="84">
        <f t="shared" si="71"/>
        <v>0</v>
      </c>
      <c r="L2201" s="61" t="e">
        <f>VLOOKUP(K2201,[1]Mapping!$J$3:$Q$351,8,FALSE)</f>
        <v>#N/A</v>
      </c>
      <c r="M2201" t="s">
        <v>83</v>
      </c>
    </row>
    <row r="2202" spans="5:13" hidden="1" x14ac:dyDescent="0.35">
      <c r="E2202" s="81"/>
      <c r="I2202" s="83" t="e">
        <f>VLOOKUP(E2202,[1]Mapping!$A$3:$B$14,2,FALSE)</f>
        <v>#N/A</v>
      </c>
      <c r="J2202" s="84">
        <f t="shared" si="70"/>
        <v>0</v>
      </c>
      <c r="K2202" s="84">
        <f t="shared" si="71"/>
        <v>0</v>
      </c>
      <c r="L2202" s="61" t="e">
        <f>VLOOKUP(K2202,[1]Mapping!$J$3:$Q$351,8,FALSE)</f>
        <v>#N/A</v>
      </c>
      <c r="M2202" t="s">
        <v>83</v>
      </c>
    </row>
    <row r="2203" spans="5:13" hidden="1" x14ac:dyDescent="0.35">
      <c r="E2203" s="81"/>
      <c r="I2203" s="83" t="e">
        <f>VLOOKUP(E2203,[1]Mapping!$A$3:$B$14,2,FALSE)</f>
        <v>#N/A</v>
      </c>
      <c r="J2203" s="84">
        <f t="shared" si="70"/>
        <v>0</v>
      </c>
      <c r="K2203" s="84">
        <f t="shared" si="71"/>
        <v>0</v>
      </c>
      <c r="L2203" s="61" t="e">
        <f>VLOOKUP(K2203,[1]Mapping!$J$3:$Q$351,8,FALSE)</f>
        <v>#N/A</v>
      </c>
      <c r="M2203" t="s">
        <v>83</v>
      </c>
    </row>
    <row r="2204" spans="5:13" hidden="1" x14ac:dyDescent="0.35">
      <c r="E2204" s="81"/>
      <c r="I2204" s="83" t="e">
        <f>VLOOKUP(E2204,[1]Mapping!$A$3:$B$14,2,FALSE)</f>
        <v>#N/A</v>
      </c>
      <c r="J2204" s="84">
        <f t="shared" si="70"/>
        <v>0</v>
      </c>
      <c r="K2204" s="84">
        <f t="shared" si="71"/>
        <v>0</v>
      </c>
      <c r="L2204" s="61" t="e">
        <f>VLOOKUP(K2204,[1]Mapping!$J$3:$Q$351,8,FALSE)</f>
        <v>#N/A</v>
      </c>
      <c r="M2204" t="s">
        <v>83</v>
      </c>
    </row>
    <row r="2205" spans="5:13" hidden="1" x14ac:dyDescent="0.35">
      <c r="E2205" s="81"/>
      <c r="I2205" s="83" t="e">
        <f>VLOOKUP(E2205,[1]Mapping!$A$3:$B$14,2,FALSE)</f>
        <v>#N/A</v>
      </c>
      <c r="J2205" s="84">
        <f t="shared" si="70"/>
        <v>0</v>
      </c>
      <c r="K2205" s="84">
        <f t="shared" si="71"/>
        <v>0</v>
      </c>
      <c r="L2205" s="61" t="e">
        <f>VLOOKUP(K2205,[1]Mapping!$J$3:$Q$351,8,FALSE)</f>
        <v>#N/A</v>
      </c>
      <c r="M2205" t="s">
        <v>83</v>
      </c>
    </row>
    <row r="2206" spans="5:13" hidden="1" x14ac:dyDescent="0.35">
      <c r="E2206" s="81"/>
      <c r="I2206" s="83" t="e">
        <f>VLOOKUP(E2206,[1]Mapping!$A$3:$B$14,2,FALSE)</f>
        <v>#N/A</v>
      </c>
      <c r="J2206" s="84">
        <f t="shared" si="70"/>
        <v>0</v>
      </c>
      <c r="K2206" s="84">
        <f t="shared" si="71"/>
        <v>0</v>
      </c>
      <c r="L2206" s="61" t="e">
        <f>VLOOKUP(K2206,[1]Mapping!$J$3:$Q$351,8,FALSE)</f>
        <v>#N/A</v>
      </c>
      <c r="M2206" t="s">
        <v>83</v>
      </c>
    </row>
    <row r="2207" spans="5:13" hidden="1" x14ac:dyDescent="0.35">
      <c r="E2207" s="81"/>
      <c r="I2207" s="83" t="e">
        <f>VLOOKUP(E2207,[1]Mapping!$A$3:$B$14,2,FALSE)</f>
        <v>#N/A</v>
      </c>
      <c r="J2207" s="84">
        <f t="shared" si="70"/>
        <v>0</v>
      </c>
      <c r="K2207" s="84">
        <f t="shared" si="71"/>
        <v>0</v>
      </c>
      <c r="L2207" s="61" t="e">
        <f>VLOOKUP(K2207,[1]Mapping!$J$3:$Q$351,8,FALSE)</f>
        <v>#N/A</v>
      </c>
      <c r="M2207" t="s">
        <v>83</v>
      </c>
    </row>
    <row r="2208" spans="5:13" hidden="1" x14ac:dyDescent="0.35">
      <c r="E2208" s="81"/>
      <c r="I2208" s="83" t="e">
        <f>VLOOKUP(E2208,[1]Mapping!$A$3:$B$14,2,FALSE)</f>
        <v>#N/A</v>
      </c>
      <c r="J2208" s="84">
        <f t="shared" si="70"/>
        <v>0</v>
      </c>
      <c r="K2208" s="84">
        <f t="shared" si="71"/>
        <v>0</v>
      </c>
      <c r="L2208" s="61" t="e">
        <f>VLOOKUP(K2208,[1]Mapping!$J$3:$Q$351,8,FALSE)</f>
        <v>#N/A</v>
      </c>
      <c r="M2208" t="s">
        <v>83</v>
      </c>
    </row>
    <row r="2209" spans="5:13" hidden="1" x14ac:dyDescent="0.35">
      <c r="E2209" s="81"/>
      <c r="I2209" s="83" t="e">
        <f>VLOOKUP(E2209,[1]Mapping!$A$3:$B$14,2,FALSE)</f>
        <v>#N/A</v>
      </c>
      <c r="J2209" s="84">
        <f t="shared" si="70"/>
        <v>0</v>
      </c>
      <c r="K2209" s="84">
        <f t="shared" si="71"/>
        <v>0</v>
      </c>
      <c r="L2209" s="61" t="e">
        <f>VLOOKUP(K2209,[1]Mapping!$J$3:$Q$351,8,FALSE)</f>
        <v>#N/A</v>
      </c>
      <c r="M2209" t="s">
        <v>83</v>
      </c>
    </row>
    <row r="2210" spans="5:13" hidden="1" x14ac:dyDescent="0.35">
      <c r="E2210" s="81"/>
      <c r="I2210" s="83" t="e">
        <f>VLOOKUP(E2210,[1]Mapping!$A$3:$B$14,2,FALSE)</f>
        <v>#N/A</v>
      </c>
      <c r="J2210" s="84">
        <f t="shared" si="70"/>
        <v>0</v>
      </c>
      <c r="K2210" s="84">
        <f t="shared" si="71"/>
        <v>0</v>
      </c>
      <c r="L2210" s="61" t="e">
        <f>VLOOKUP(K2210,[1]Mapping!$J$3:$Q$351,8,FALSE)</f>
        <v>#N/A</v>
      </c>
      <c r="M2210" t="s">
        <v>83</v>
      </c>
    </row>
    <row r="2211" spans="5:13" hidden="1" x14ac:dyDescent="0.35">
      <c r="E2211" s="81"/>
      <c r="I2211" s="83" t="e">
        <f>VLOOKUP(E2211,[1]Mapping!$A$3:$B$14,2,FALSE)</f>
        <v>#N/A</v>
      </c>
      <c r="J2211" s="84">
        <f t="shared" si="70"/>
        <v>0</v>
      </c>
      <c r="K2211" s="84">
        <f t="shared" si="71"/>
        <v>0</v>
      </c>
      <c r="L2211" s="61" t="e">
        <f>VLOOKUP(K2211,[1]Mapping!$J$3:$Q$351,8,FALSE)</f>
        <v>#N/A</v>
      </c>
      <c r="M2211" t="s">
        <v>83</v>
      </c>
    </row>
    <row r="2212" spans="5:13" hidden="1" x14ac:dyDescent="0.35">
      <c r="E2212" s="81"/>
      <c r="I2212" s="83" t="e">
        <f>VLOOKUP(E2212,[1]Mapping!$A$3:$B$14,2,FALSE)</f>
        <v>#N/A</v>
      </c>
      <c r="J2212" s="84">
        <f t="shared" si="70"/>
        <v>0</v>
      </c>
      <c r="K2212" s="84">
        <f t="shared" si="71"/>
        <v>0</v>
      </c>
      <c r="L2212" s="61" t="e">
        <f>VLOOKUP(K2212,[1]Mapping!$J$3:$Q$351,8,FALSE)</f>
        <v>#N/A</v>
      </c>
      <c r="M2212" t="s">
        <v>83</v>
      </c>
    </row>
    <row r="2213" spans="5:13" hidden="1" x14ac:dyDescent="0.35">
      <c r="E2213" s="81"/>
      <c r="I2213" s="83" t="e">
        <f>VLOOKUP(E2213,[1]Mapping!$A$3:$B$14,2,FALSE)</f>
        <v>#N/A</v>
      </c>
      <c r="J2213" s="84">
        <f t="shared" si="70"/>
        <v>0</v>
      </c>
      <c r="K2213" s="84">
        <f t="shared" si="71"/>
        <v>0</v>
      </c>
      <c r="L2213" s="61" t="e">
        <f>VLOOKUP(K2213,[1]Mapping!$J$3:$Q$351,8,FALSE)</f>
        <v>#N/A</v>
      </c>
      <c r="M2213" t="s">
        <v>83</v>
      </c>
    </row>
    <row r="2214" spans="5:13" hidden="1" x14ac:dyDescent="0.35">
      <c r="E2214" s="81"/>
      <c r="I2214" s="83" t="e">
        <f>VLOOKUP(E2214,[1]Mapping!$A$3:$B$14,2,FALSE)</f>
        <v>#N/A</v>
      </c>
      <c r="J2214" s="84">
        <f t="shared" si="70"/>
        <v>0</v>
      </c>
      <c r="K2214" s="84">
        <f t="shared" si="71"/>
        <v>0</v>
      </c>
      <c r="L2214" s="61" t="e">
        <f>VLOOKUP(K2214,[1]Mapping!$J$3:$Q$351,8,FALSE)</f>
        <v>#N/A</v>
      </c>
      <c r="M2214" t="s">
        <v>83</v>
      </c>
    </row>
    <row r="2215" spans="5:13" hidden="1" x14ac:dyDescent="0.35">
      <c r="E2215" s="81"/>
      <c r="I2215" s="83" t="e">
        <f>VLOOKUP(E2215,[1]Mapping!$A$3:$B$14,2,FALSE)</f>
        <v>#N/A</v>
      </c>
      <c r="J2215" s="84">
        <f t="shared" si="70"/>
        <v>0</v>
      </c>
      <c r="K2215" s="84">
        <f t="shared" si="71"/>
        <v>0</v>
      </c>
      <c r="L2215" s="61" t="e">
        <f>VLOOKUP(K2215,[1]Mapping!$J$3:$Q$351,8,FALSE)</f>
        <v>#N/A</v>
      </c>
      <c r="M2215" t="s">
        <v>83</v>
      </c>
    </row>
    <row r="2216" spans="5:13" hidden="1" x14ac:dyDescent="0.35">
      <c r="E2216" s="81"/>
      <c r="I2216" s="83" t="e">
        <f>VLOOKUP(E2216,[1]Mapping!$A$3:$B$14,2,FALSE)</f>
        <v>#N/A</v>
      </c>
      <c r="J2216" s="84">
        <f t="shared" si="70"/>
        <v>0</v>
      </c>
      <c r="K2216" s="84">
        <f t="shared" si="71"/>
        <v>0</v>
      </c>
      <c r="L2216" s="61" t="e">
        <f>VLOOKUP(K2216,[1]Mapping!$J$3:$Q$351,8,FALSE)</f>
        <v>#N/A</v>
      </c>
      <c r="M2216" t="s">
        <v>83</v>
      </c>
    </row>
    <row r="2217" spans="5:13" hidden="1" x14ac:dyDescent="0.35">
      <c r="E2217" s="81"/>
      <c r="I2217" s="83" t="e">
        <f>VLOOKUP(E2217,[1]Mapping!$A$3:$B$14,2,FALSE)</f>
        <v>#N/A</v>
      </c>
      <c r="J2217" s="84">
        <f t="shared" si="70"/>
        <v>0</v>
      </c>
      <c r="K2217" s="84">
        <f t="shared" si="71"/>
        <v>0</v>
      </c>
      <c r="L2217" s="61" t="e">
        <f>VLOOKUP(K2217,[1]Mapping!$J$3:$Q$351,8,FALSE)</f>
        <v>#N/A</v>
      </c>
      <c r="M2217" t="s">
        <v>83</v>
      </c>
    </row>
    <row r="2218" spans="5:13" hidden="1" x14ac:dyDescent="0.35">
      <c r="E2218" s="81"/>
      <c r="I2218" s="83" t="e">
        <f>VLOOKUP(E2218,[1]Mapping!$A$3:$B$14,2,FALSE)</f>
        <v>#N/A</v>
      </c>
      <c r="J2218" s="84">
        <f t="shared" si="70"/>
        <v>0</v>
      </c>
      <c r="K2218" s="84">
        <f t="shared" si="71"/>
        <v>0</v>
      </c>
      <c r="L2218" s="61" t="e">
        <f>VLOOKUP(K2218,[1]Mapping!$J$3:$Q$351,8,FALSE)</f>
        <v>#N/A</v>
      </c>
      <c r="M2218" t="s">
        <v>83</v>
      </c>
    </row>
    <row r="2219" spans="5:13" hidden="1" x14ac:dyDescent="0.35">
      <c r="E2219" s="81"/>
      <c r="I2219" s="83" t="e">
        <f>VLOOKUP(E2219,[1]Mapping!$A$3:$B$14,2,FALSE)</f>
        <v>#N/A</v>
      </c>
      <c r="J2219" s="84">
        <f t="shared" si="70"/>
        <v>0</v>
      </c>
      <c r="K2219" s="84">
        <f t="shared" si="71"/>
        <v>0</v>
      </c>
      <c r="L2219" s="61" t="e">
        <f>VLOOKUP(K2219,[1]Mapping!$J$3:$Q$351,8,FALSE)</f>
        <v>#N/A</v>
      </c>
      <c r="M2219" t="s">
        <v>83</v>
      </c>
    </row>
    <row r="2220" spans="5:13" hidden="1" x14ac:dyDescent="0.35">
      <c r="E2220" s="81"/>
      <c r="I2220" s="83" t="e">
        <f>VLOOKUP(E2220,[1]Mapping!$A$3:$B$14,2,FALSE)</f>
        <v>#N/A</v>
      </c>
      <c r="J2220" s="84">
        <f t="shared" si="70"/>
        <v>0</v>
      </c>
      <c r="K2220" s="84">
        <f t="shared" si="71"/>
        <v>0</v>
      </c>
      <c r="L2220" s="61" t="e">
        <f>VLOOKUP(K2220,[1]Mapping!$J$3:$Q$351,8,FALSE)</f>
        <v>#N/A</v>
      </c>
      <c r="M2220" t="s">
        <v>83</v>
      </c>
    </row>
    <row r="2221" spans="5:13" hidden="1" x14ac:dyDescent="0.35">
      <c r="E2221" s="81"/>
      <c r="I2221" s="83" t="e">
        <f>VLOOKUP(E2221,[1]Mapping!$A$3:$B$14,2,FALSE)</f>
        <v>#N/A</v>
      </c>
      <c r="J2221" s="84">
        <f t="shared" si="70"/>
        <v>0</v>
      </c>
      <c r="K2221" s="84">
        <f t="shared" si="71"/>
        <v>0</v>
      </c>
      <c r="L2221" s="61" t="e">
        <f>VLOOKUP(K2221,[1]Mapping!$J$3:$Q$351,8,FALSE)</f>
        <v>#N/A</v>
      </c>
      <c r="M2221" t="s">
        <v>83</v>
      </c>
    </row>
    <row r="2222" spans="5:13" hidden="1" x14ac:dyDescent="0.35">
      <c r="E2222" s="81"/>
      <c r="I2222" s="83" t="e">
        <f>VLOOKUP(E2222,[1]Mapping!$A$3:$B$14,2,FALSE)</f>
        <v>#N/A</v>
      </c>
      <c r="J2222" s="84">
        <f t="shared" si="70"/>
        <v>0</v>
      </c>
      <c r="K2222" s="84">
        <f t="shared" si="71"/>
        <v>0</v>
      </c>
      <c r="L2222" s="61" t="e">
        <f>VLOOKUP(K2222,[1]Mapping!$J$3:$Q$351,8,FALSE)</f>
        <v>#N/A</v>
      </c>
      <c r="M2222" t="s">
        <v>83</v>
      </c>
    </row>
    <row r="2223" spans="5:13" hidden="1" x14ac:dyDescent="0.35">
      <c r="E2223" s="81"/>
      <c r="I2223" s="83" t="e">
        <f>VLOOKUP(E2223,[1]Mapping!$A$3:$B$14,2,FALSE)</f>
        <v>#N/A</v>
      </c>
      <c r="J2223" s="84">
        <f t="shared" si="70"/>
        <v>0</v>
      </c>
      <c r="K2223" s="84">
        <f t="shared" si="71"/>
        <v>0</v>
      </c>
      <c r="L2223" s="61" t="e">
        <f>VLOOKUP(K2223,[1]Mapping!$J$3:$Q$351,8,FALSE)</f>
        <v>#N/A</v>
      </c>
      <c r="M2223" t="s">
        <v>83</v>
      </c>
    </row>
    <row r="2224" spans="5:13" hidden="1" x14ac:dyDescent="0.35">
      <c r="E2224" s="81"/>
      <c r="I2224" s="83" t="e">
        <f>VLOOKUP(E2224,[1]Mapping!$A$3:$B$14,2,FALSE)</f>
        <v>#N/A</v>
      </c>
      <c r="J2224" s="84">
        <f t="shared" si="70"/>
        <v>0</v>
      </c>
      <c r="K2224" s="84">
        <f t="shared" si="71"/>
        <v>0</v>
      </c>
      <c r="L2224" s="61" t="e">
        <f>VLOOKUP(K2224,[1]Mapping!$J$3:$Q$351,8,FALSE)</f>
        <v>#N/A</v>
      </c>
      <c r="M2224" t="s">
        <v>83</v>
      </c>
    </row>
    <row r="2225" spans="5:13" hidden="1" x14ac:dyDescent="0.35">
      <c r="E2225" s="81"/>
      <c r="I2225" s="83" t="e">
        <f>VLOOKUP(E2225,[1]Mapping!$A$3:$B$14,2,FALSE)</f>
        <v>#N/A</v>
      </c>
      <c r="J2225" s="84">
        <f t="shared" si="70"/>
        <v>0</v>
      </c>
      <c r="K2225" s="84">
        <f t="shared" si="71"/>
        <v>0</v>
      </c>
      <c r="L2225" s="61" t="e">
        <f>VLOOKUP(K2225,[1]Mapping!$J$3:$Q$351,8,FALSE)</f>
        <v>#N/A</v>
      </c>
      <c r="M2225" t="s">
        <v>83</v>
      </c>
    </row>
    <row r="2226" spans="5:13" hidden="1" x14ac:dyDescent="0.35">
      <c r="E2226" s="81"/>
      <c r="I2226" s="83" t="e">
        <f>VLOOKUP(E2226,[1]Mapping!$A$3:$B$14,2,FALSE)</f>
        <v>#N/A</v>
      </c>
      <c r="J2226" s="84">
        <f t="shared" si="70"/>
        <v>0</v>
      </c>
      <c r="K2226" s="84">
        <f t="shared" si="71"/>
        <v>0</v>
      </c>
      <c r="L2226" s="61" t="e">
        <f>VLOOKUP(K2226,[1]Mapping!$J$3:$Q$351,8,FALSE)</f>
        <v>#N/A</v>
      </c>
      <c r="M2226" t="s">
        <v>83</v>
      </c>
    </row>
    <row r="2227" spans="5:13" hidden="1" x14ac:dyDescent="0.35">
      <c r="E2227" s="81"/>
      <c r="I2227" s="83" t="e">
        <f>VLOOKUP(E2227,[1]Mapping!$A$3:$B$14,2,FALSE)</f>
        <v>#N/A</v>
      </c>
      <c r="J2227" s="84">
        <f t="shared" si="70"/>
        <v>0</v>
      </c>
      <c r="K2227" s="84">
        <f t="shared" si="71"/>
        <v>0</v>
      </c>
      <c r="L2227" s="61" t="e">
        <f>VLOOKUP(K2227,[1]Mapping!$J$3:$Q$351,8,FALSE)</f>
        <v>#N/A</v>
      </c>
      <c r="M2227" t="s">
        <v>83</v>
      </c>
    </row>
    <row r="2228" spans="5:13" hidden="1" x14ac:dyDescent="0.35">
      <c r="E2228" s="81"/>
      <c r="I2228" s="83" t="e">
        <f>VLOOKUP(E2228,[1]Mapping!$A$3:$B$14,2,FALSE)</f>
        <v>#N/A</v>
      </c>
      <c r="J2228" s="84">
        <f t="shared" si="70"/>
        <v>0</v>
      </c>
      <c r="K2228" s="84">
        <f t="shared" si="71"/>
        <v>0</v>
      </c>
      <c r="L2228" s="61" t="e">
        <f>VLOOKUP(K2228,[1]Mapping!$J$3:$Q$351,8,FALSE)</f>
        <v>#N/A</v>
      </c>
      <c r="M2228" t="s">
        <v>83</v>
      </c>
    </row>
    <row r="2229" spans="5:13" hidden="1" x14ac:dyDescent="0.35">
      <c r="E2229" s="81"/>
      <c r="I2229" s="83" t="e">
        <f>VLOOKUP(E2229,[1]Mapping!$A$3:$B$14,2,FALSE)</f>
        <v>#N/A</v>
      </c>
      <c r="J2229" s="84">
        <f t="shared" si="70"/>
        <v>0</v>
      </c>
      <c r="K2229" s="84">
        <f t="shared" si="71"/>
        <v>0</v>
      </c>
      <c r="L2229" s="61" t="e">
        <f>VLOOKUP(K2229,[1]Mapping!$J$3:$Q$351,8,FALSE)</f>
        <v>#N/A</v>
      </c>
      <c r="M2229" t="s">
        <v>83</v>
      </c>
    </row>
    <row r="2230" spans="5:13" hidden="1" x14ac:dyDescent="0.35">
      <c r="E2230" s="81"/>
      <c r="I2230" s="83" t="e">
        <f>VLOOKUP(E2230,[1]Mapping!$A$3:$B$14,2,FALSE)</f>
        <v>#N/A</v>
      </c>
      <c r="J2230" s="84">
        <f t="shared" si="70"/>
        <v>0</v>
      </c>
      <c r="K2230" s="84">
        <f t="shared" si="71"/>
        <v>0</v>
      </c>
      <c r="L2230" s="61" t="e">
        <f>VLOOKUP(K2230,[1]Mapping!$J$3:$Q$351,8,FALSE)</f>
        <v>#N/A</v>
      </c>
      <c r="M2230" t="s">
        <v>83</v>
      </c>
    </row>
    <row r="2231" spans="5:13" hidden="1" x14ac:dyDescent="0.35">
      <c r="E2231" s="81"/>
      <c r="I2231" s="83" t="e">
        <f>VLOOKUP(E2231,[1]Mapping!$A$3:$B$14,2,FALSE)</f>
        <v>#N/A</v>
      </c>
      <c r="J2231" s="84">
        <f t="shared" si="70"/>
        <v>0</v>
      </c>
      <c r="K2231" s="84">
        <f t="shared" si="71"/>
        <v>0</v>
      </c>
      <c r="L2231" s="61" t="e">
        <f>VLOOKUP(K2231,[1]Mapping!$J$3:$Q$351,8,FALSE)</f>
        <v>#N/A</v>
      </c>
      <c r="M2231" t="s">
        <v>83</v>
      </c>
    </row>
    <row r="2232" spans="5:13" hidden="1" x14ac:dyDescent="0.35">
      <c r="E2232" s="81"/>
      <c r="I2232" s="83" t="e">
        <f>VLOOKUP(E2232,[1]Mapping!$A$3:$B$14,2,FALSE)</f>
        <v>#N/A</v>
      </c>
      <c r="J2232" s="84">
        <f t="shared" si="70"/>
        <v>0</v>
      </c>
      <c r="K2232" s="84">
        <f t="shared" si="71"/>
        <v>0</v>
      </c>
      <c r="L2232" s="61" t="e">
        <f>VLOOKUP(K2232,[1]Mapping!$J$3:$Q$351,8,FALSE)</f>
        <v>#N/A</v>
      </c>
      <c r="M2232" t="s">
        <v>83</v>
      </c>
    </row>
    <row r="2233" spans="5:13" hidden="1" x14ac:dyDescent="0.35">
      <c r="E2233" s="81"/>
      <c r="I2233" s="83" t="e">
        <f>VLOOKUP(E2233,[1]Mapping!$A$3:$B$14,2,FALSE)</f>
        <v>#N/A</v>
      </c>
      <c r="J2233" s="84">
        <f t="shared" si="70"/>
        <v>0</v>
      </c>
      <c r="K2233" s="84">
        <f t="shared" si="71"/>
        <v>0</v>
      </c>
      <c r="L2233" s="61" t="e">
        <f>VLOOKUP(K2233,[1]Mapping!$J$3:$Q$351,8,FALSE)</f>
        <v>#N/A</v>
      </c>
      <c r="M2233" t="s">
        <v>83</v>
      </c>
    </row>
    <row r="2234" spans="5:13" hidden="1" x14ac:dyDescent="0.35">
      <c r="E2234" s="81"/>
      <c r="I2234" s="83" t="e">
        <f>VLOOKUP(E2234,[1]Mapping!$A$3:$B$14,2,FALSE)</f>
        <v>#N/A</v>
      </c>
      <c r="J2234" s="84">
        <f t="shared" si="70"/>
        <v>0</v>
      </c>
      <c r="K2234" s="84">
        <f t="shared" si="71"/>
        <v>0</v>
      </c>
      <c r="L2234" s="61" t="e">
        <f>VLOOKUP(K2234,[1]Mapping!$J$3:$Q$351,8,FALSE)</f>
        <v>#N/A</v>
      </c>
      <c r="M2234" t="s">
        <v>83</v>
      </c>
    </row>
    <row r="2235" spans="5:13" hidden="1" x14ac:dyDescent="0.35">
      <c r="E2235" s="81"/>
      <c r="I2235" s="83" t="e">
        <f>VLOOKUP(E2235,[1]Mapping!$A$3:$B$14,2,FALSE)</f>
        <v>#N/A</v>
      </c>
      <c r="J2235" s="84">
        <f t="shared" si="70"/>
        <v>0</v>
      </c>
      <c r="K2235" s="84">
        <f t="shared" si="71"/>
        <v>0</v>
      </c>
      <c r="L2235" s="61" t="e">
        <f>VLOOKUP(K2235,[1]Mapping!$J$3:$Q$351,8,FALSE)</f>
        <v>#N/A</v>
      </c>
      <c r="M2235" t="s">
        <v>83</v>
      </c>
    </row>
    <row r="2236" spans="5:13" hidden="1" x14ac:dyDescent="0.35">
      <c r="E2236" s="81"/>
      <c r="I2236" s="83" t="e">
        <f>VLOOKUP(E2236,[1]Mapping!$A$3:$B$14,2,FALSE)</f>
        <v>#N/A</v>
      </c>
      <c r="J2236" s="84">
        <f t="shared" si="70"/>
        <v>0</v>
      </c>
      <c r="K2236" s="84">
        <f t="shared" si="71"/>
        <v>0</v>
      </c>
      <c r="L2236" s="61" t="e">
        <f>VLOOKUP(K2236,[1]Mapping!$J$3:$Q$351,8,FALSE)</f>
        <v>#N/A</v>
      </c>
      <c r="M2236" t="s">
        <v>83</v>
      </c>
    </row>
    <row r="2237" spans="5:13" hidden="1" x14ac:dyDescent="0.35">
      <c r="E2237" s="81"/>
      <c r="I2237" s="83" t="e">
        <f>VLOOKUP(E2237,[1]Mapping!$A$3:$B$14,2,FALSE)</f>
        <v>#N/A</v>
      </c>
      <c r="J2237" s="84">
        <f t="shared" si="70"/>
        <v>0</v>
      </c>
      <c r="K2237" s="84">
        <f t="shared" si="71"/>
        <v>0</v>
      </c>
      <c r="L2237" s="61" t="e">
        <f>VLOOKUP(K2237,[1]Mapping!$J$3:$Q$351,8,FALSE)</f>
        <v>#N/A</v>
      </c>
      <c r="M2237" t="s">
        <v>83</v>
      </c>
    </row>
    <row r="2238" spans="5:13" hidden="1" x14ac:dyDescent="0.35">
      <c r="E2238" s="81"/>
      <c r="I2238" s="83" t="e">
        <f>VLOOKUP(E2238,[1]Mapping!$A$3:$B$14,2,FALSE)</f>
        <v>#N/A</v>
      </c>
      <c r="J2238" s="84">
        <f t="shared" si="70"/>
        <v>0</v>
      </c>
      <c r="K2238" s="84">
        <f t="shared" si="71"/>
        <v>0</v>
      </c>
      <c r="L2238" s="61" t="e">
        <f>VLOOKUP(K2238,[1]Mapping!$J$3:$Q$351,8,FALSE)</f>
        <v>#N/A</v>
      </c>
      <c r="M2238" t="s">
        <v>83</v>
      </c>
    </row>
    <row r="2239" spans="5:13" hidden="1" x14ac:dyDescent="0.35">
      <c r="E2239" s="81"/>
      <c r="I2239" s="83" t="e">
        <f>VLOOKUP(E2239,[1]Mapping!$A$3:$B$14,2,FALSE)</f>
        <v>#N/A</v>
      </c>
      <c r="J2239" s="84">
        <f t="shared" si="70"/>
        <v>0</v>
      </c>
      <c r="K2239" s="84">
        <f t="shared" si="71"/>
        <v>0</v>
      </c>
      <c r="L2239" s="61" t="e">
        <f>VLOOKUP(K2239,[1]Mapping!$J$3:$Q$351,8,FALSE)</f>
        <v>#N/A</v>
      </c>
      <c r="M2239" t="s">
        <v>83</v>
      </c>
    </row>
    <row r="2240" spans="5:13" hidden="1" x14ac:dyDescent="0.35">
      <c r="E2240" s="81"/>
      <c r="I2240" s="83" t="e">
        <f>VLOOKUP(E2240,[1]Mapping!$A$3:$B$14,2,FALSE)</f>
        <v>#N/A</v>
      </c>
      <c r="J2240" s="84">
        <f t="shared" si="70"/>
        <v>0</v>
      </c>
      <c r="K2240" s="84">
        <f t="shared" si="71"/>
        <v>0</v>
      </c>
      <c r="L2240" s="61" t="e">
        <f>VLOOKUP(K2240,[1]Mapping!$J$3:$Q$351,8,FALSE)</f>
        <v>#N/A</v>
      </c>
      <c r="M2240" t="s">
        <v>83</v>
      </c>
    </row>
    <row r="2241" spans="5:13" hidden="1" x14ac:dyDescent="0.35">
      <c r="E2241" s="81"/>
      <c r="I2241" s="83" t="e">
        <f>VLOOKUP(E2241,[1]Mapping!$A$3:$B$14,2,FALSE)</f>
        <v>#N/A</v>
      </c>
      <c r="J2241" s="84">
        <f t="shared" si="70"/>
        <v>0</v>
      </c>
      <c r="K2241" s="84">
        <f t="shared" si="71"/>
        <v>0</v>
      </c>
      <c r="L2241" s="61" t="e">
        <f>VLOOKUP(K2241,[1]Mapping!$J$3:$Q$351,8,FALSE)</f>
        <v>#N/A</v>
      </c>
      <c r="M2241" t="s">
        <v>83</v>
      </c>
    </row>
    <row r="2242" spans="5:13" hidden="1" x14ac:dyDescent="0.35">
      <c r="E2242" s="81"/>
      <c r="I2242" s="83" t="e">
        <f>VLOOKUP(E2242,[1]Mapping!$A$3:$B$14,2,FALSE)</f>
        <v>#N/A</v>
      </c>
      <c r="J2242" s="84">
        <f t="shared" si="70"/>
        <v>0</v>
      </c>
      <c r="K2242" s="84">
        <f t="shared" si="71"/>
        <v>0</v>
      </c>
      <c r="L2242" s="61" t="e">
        <f>VLOOKUP(K2242,[1]Mapping!$J$3:$Q$351,8,FALSE)</f>
        <v>#N/A</v>
      </c>
      <c r="M2242" t="s">
        <v>83</v>
      </c>
    </row>
    <row r="2243" spans="5:13" hidden="1" x14ac:dyDescent="0.35">
      <c r="E2243" s="81"/>
      <c r="I2243" s="83" t="e">
        <f>VLOOKUP(E2243,[1]Mapping!$A$3:$B$14,2,FALSE)</f>
        <v>#N/A</v>
      </c>
      <c r="J2243" s="84">
        <f t="shared" si="70"/>
        <v>0</v>
      </c>
      <c r="K2243" s="84">
        <f t="shared" si="71"/>
        <v>0</v>
      </c>
      <c r="L2243" s="61" t="e">
        <f>VLOOKUP(K2243,[1]Mapping!$J$3:$Q$351,8,FALSE)</f>
        <v>#N/A</v>
      </c>
      <c r="M2243" t="s">
        <v>83</v>
      </c>
    </row>
    <row r="2244" spans="5:13" hidden="1" x14ac:dyDescent="0.35">
      <c r="E2244" s="81"/>
      <c r="I2244" s="83" t="e">
        <f>VLOOKUP(E2244,[1]Mapping!$A$3:$B$14,2,FALSE)</f>
        <v>#N/A</v>
      </c>
      <c r="J2244" s="84">
        <f t="shared" ref="J2244:J2307" si="72">VALUE(A2244)</f>
        <v>0</v>
      </c>
      <c r="K2244" s="84">
        <f t="shared" ref="K2244:K2307" si="73">VALUE(C2244)</f>
        <v>0</v>
      </c>
      <c r="L2244" s="61" t="e">
        <f>VLOOKUP(K2244,[1]Mapping!$J$3:$Q$351,8,FALSE)</f>
        <v>#N/A</v>
      </c>
      <c r="M2244" t="s">
        <v>83</v>
      </c>
    </row>
    <row r="2245" spans="5:13" hidden="1" x14ac:dyDescent="0.35">
      <c r="E2245" s="81"/>
      <c r="I2245" s="83" t="e">
        <f>VLOOKUP(E2245,[1]Mapping!$A$3:$B$14,2,FALSE)</f>
        <v>#N/A</v>
      </c>
      <c r="J2245" s="84">
        <f t="shared" si="72"/>
        <v>0</v>
      </c>
      <c r="K2245" s="84">
        <f t="shared" si="73"/>
        <v>0</v>
      </c>
      <c r="L2245" s="61" t="e">
        <f>VLOOKUP(K2245,[1]Mapping!$J$3:$Q$351,8,FALSE)</f>
        <v>#N/A</v>
      </c>
      <c r="M2245" t="s">
        <v>83</v>
      </c>
    </row>
    <row r="2246" spans="5:13" hidden="1" x14ac:dyDescent="0.35">
      <c r="E2246" s="81"/>
      <c r="I2246" s="83" t="e">
        <f>VLOOKUP(E2246,[1]Mapping!$A$3:$B$14,2,FALSE)</f>
        <v>#N/A</v>
      </c>
      <c r="J2246" s="84">
        <f t="shared" si="72"/>
        <v>0</v>
      </c>
      <c r="K2246" s="84">
        <f t="shared" si="73"/>
        <v>0</v>
      </c>
      <c r="L2246" s="61" t="e">
        <f>VLOOKUP(K2246,[1]Mapping!$J$3:$Q$351,8,FALSE)</f>
        <v>#N/A</v>
      </c>
      <c r="M2246" t="s">
        <v>83</v>
      </c>
    </row>
    <row r="2247" spans="5:13" hidden="1" x14ac:dyDescent="0.35">
      <c r="E2247" s="81"/>
      <c r="I2247" s="83" t="e">
        <f>VLOOKUP(E2247,[1]Mapping!$A$3:$B$14,2,FALSE)</f>
        <v>#N/A</v>
      </c>
      <c r="J2247" s="84">
        <f t="shared" si="72"/>
        <v>0</v>
      </c>
      <c r="K2247" s="84">
        <f t="shared" si="73"/>
        <v>0</v>
      </c>
      <c r="L2247" s="61" t="e">
        <f>VLOOKUP(K2247,[1]Mapping!$J$3:$Q$351,8,FALSE)</f>
        <v>#N/A</v>
      </c>
      <c r="M2247" t="s">
        <v>83</v>
      </c>
    </row>
    <row r="2248" spans="5:13" hidden="1" x14ac:dyDescent="0.35">
      <c r="E2248" s="81"/>
      <c r="I2248" s="83" t="e">
        <f>VLOOKUP(E2248,[1]Mapping!$A$3:$B$14,2,FALSE)</f>
        <v>#N/A</v>
      </c>
      <c r="J2248" s="84">
        <f t="shared" si="72"/>
        <v>0</v>
      </c>
      <c r="K2248" s="84">
        <f t="shared" si="73"/>
        <v>0</v>
      </c>
      <c r="L2248" s="61" t="e">
        <f>VLOOKUP(K2248,[1]Mapping!$J$3:$Q$351,8,FALSE)</f>
        <v>#N/A</v>
      </c>
      <c r="M2248" t="s">
        <v>83</v>
      </c>
    </row>
    <row r="2249" spans="5:13" hidden="1" x14ac:dyDescent="0.35">
      <c r="E2249" s="81"/>
      <c r="I2249" s="83" t="e">
        <f>VLOOKUP(E2249,[1]Mapping!$A$3:$B$14,2,FALSE)</f>
        <v>#N/A</v>
      </c>
      <c r="J2249" s="84">
        <f t="shared" si="72"/>
        <v>0</v>
      </c>
      <c r="K2249" s="84">
        <f t="shared" si="73"/>
        <v>0</v>
      </c>
      <c r="L2249" s="61" t="e">
        <f>VLOOKUP(K2249,[1]Mapping!$J$3:$Q$351,8,FALSE)</f>
        <v>#N/A</v>
      </c>
      <c r="M2249" t="s">
        <v>83</v>
      </c>
    </row>
    <row r="2250" spans="5:13" hidden="1" x14ac:dyDescent="0.35">
      <c r="E2250" s="81"/>
      <c r="I2250" s="83" t="e">
        <f>VLOOKUP(E2250,[1]Mapping!$A$3:$B$14,2,FALSE)</f>
        <v>#N/A</v>
      </c>
      <c r="J2250" s="84">
        <f t="shared" si="72"/>
        <v>0</v>
      </c>
      <c r="K2250" s="84">
        <f t="shared" si="73"/>
        <v>0</v>
      </c>
      <c r="L2250" s="61" t="e">
        <f>VLOOKUP(K2250,[1]Mapping!$J$3:$Q$351,8,FALSE)</f>
        <v>#N/A</v>
      </c>
      <c r="M2250" t="s">
        <v>83</v>
      </c>
    </row>
    <row r="2251" spans="5:13" hidden="1" x14ac:dyDescent="0.35">
      <c r="E2251" s="81"/>
      <c r="I2251" s="83" t="e">
        <f>VLOOKUP(E2251,[1]Mapping!$A$3:$B$14,2,FALSE)</f>
        <v>#N/A</v>
      </c>
      <c r="J2251" s="84">
        <f t="shared" si="72"/>
        <v>0</v>
      </c>
      <c r="K2251" s="84">
        <f t="shared" si="73"/>
        <v>0</v>
      </c>
      <c r="L2251" s="61" t="e">
        <f>VLOOKUP(K2251,[1]Mapping!$J$3:$Q$351,8,FALSE)</f>
        <v>#N/A</v>
      </c>
      <c r="M2251" t="s">
        <v>83</v>
      </c>
    </row>
    <row r="2252" spans="5:13" hidden="1" x14ac:dyDescent="0.35">
      <c r="E2252" s="81"/>
      <c r="I2252" s="83" t="e">
        <f>VLOOKUP(E2252,[1]Mapping!$A$3:$B$14,2,FALSE)</f>
        <v>#N/A</v>
      </c>
      <c r="J2252" s="84">
        <f t="shared" si="72"/>
        <v>0</v>
      </c>
      <c r="K2252" s="84">
        <f t="shared" si="73"/>
        <v>0</v>
      </c>
      <c r="L2252" s="61" t="e">
        <f>VLOOKUP(K2252,[1]Mapping!$J$3:$Q$351,8,FALSE)</f>
        <v>#N/A</v>
      </c>
      <c r="M2252" t="s">
        <v>83</v>
      </c>
    </row>
    <row r="2253" spans="5:13" hidden="1" x14ac:dyDescent="0.35">
      <c r="E2253" s="81"/>
      <c r="I2253" s="83" t="e">
        <f>VLOOKUP(E2253,[1]Mapping!$A$3:$B$14,2,FALSE)</f>
        <v>#N/A</v>
      </c>
      <c r="J2253" s="84">
        <f t="shared" si="72"/>
        <v>0</v>
      </c>
      <c r="K2253" s="84">
        <f t="shared" si="73"/>
        <v>0</v>
      </c>
      <c r="L2253" s="61" t="e">
        <f>VLOOKUP(K2253,[1]Mapping!$J$3:$Q$351,8,FALSE)</f>
        <v>#N/A</v>
      </c>
      <c r="M2253" t="s">
        <v>83</v>
      </c>
    </row>
    <row r="2254" spans="5:13" hidden="1" x14ac:dyDescent="0.35">
      <c r="E2254" s="81"/>
      <c r="I2254" s="83" t="e">
        <f>VLOOKUP(E2254,[1]Mapping!$A$3:$B$14,2,FALSE)</f>
        <v>#N/A</v>
      </c>
      <c r="J2254" s="84">
        <f t="shared" si="72"/>
        <v>0</v>
      </c>
      <c r="K2254" s="84">
        <f t="shared" si="73"/>
        <v>0</v>
      </c>
      <c r="L2254" s="61" t="e">
        <f>VLOOKUP(K2254,[1]Mapping!$J$3:$Q$351,8,FALSE)</f>
        <v>#N/A</v>
      </c>
      <c r="M2254" t="s">
        <v>83</v>
      </c>
    </row>
    <row r="2255" spans="5:13" hidden="1" x14ac:dyDescent="0.35">
      <c r="E2255" s="81"/>
      <c r="I2255" s="83" t="e">
        <f>VLOOKUP(E2255,[1]Mapping!$A$3:$B$14,2,FALSE)</f>
        <v>#N/A</v>
      </c>
      <c r="J2255" s="84">
        <f t="shared" si="72"/>
        <v>0</v>
      </c>
      <c r="K2255" s="84">
        <f t="shared" si="73"/>
        <v>0</v>
      </c>
      <c r="L2255" s="61" t="e">
        <f>VLOOKUP(K2255,[1]Mapping!$J$3:$Q$351,8,FALSE)</f>
        <v>#N/A</v>
      </c>
      <c r="M2255" t="s">
        <v>83</v>
      </c>
    </row>
    <row r="2256" spans="5:13" hidden="1" x14ac:dyDescent="0.35">
      <c r="E2256" s="81"/>
      <c r="I2256" s="83" t="e">
        <f>VLOOKUP(E2256,[1]Mapping!$A$3:$B$14,2,FALSE)</f>
        <v>#N/A</v>
      </c>
      <c r="J2256" s="84">
        <f t="shared" si="72"/>
        <v>0</v>
      </c>
      <c r="K2256" s="84">
        <f t="shared" si="73"/>
        <v>0</v>
      </c>
      <c r="L2256" s="61" t="e">
        <f>VLOOKUP(K2256,[1]Mapping!$J$3:$Q$351,8,FALSE)</f>
        <v>#N/A</v>
      </c>
      <c r="M2256" t="s">
        <v>83</v>
      </c>
    </row>
    <row r="2257" spans="5:13" hidden="1" x14ac:dyDescent="0.35">
      <c r="E2257" s="81"/>
      <c r="I2257" s="83" t="e">
        <f>VLOOKUP(E2257,[1]Mapping!$A$3:$B$14,2,FALSE)</f>
        <v>#N/A</v>
      </c>
      <c r="J2257" s="84">
        <f t="shared" si="72"/>
        <v>0</v>
      </c>
      <c r="K2257" s="84">
        <f t="shared" si="73"/>
        <v>0</v>
      </c>
      <c r="L2257" s="61" t="e">
        <f>VLOOKUP(K2257,[1]Mapping!$J$3:$Q$351,8,FALSE)</f>
        <v>#N/A</v>
      </c>
      <c r="M2257" t="s">
        <v>83</v>
      </c>
    </row>
    <row r="2258" spans="5:13" hidden="1" x14ac:dyDescent="0.35">
      <c r="E2258" s="81"/>
      <c r="I2258" s="83" t="e">
        <f>VLOOKUP(E2258,[1]Mapping!$A$3:$B$14,2,FALSE)</f>
        <v>#N/A</v>
      </c>
      <c r="J2258" s="84">
        <f t="shared" si="72"/>
        <v>0</v>
      </c>
      <c r="K2258" s="84">
        <f t="shared" si="73"/>
        <v>0</v>
      </c>
      <c r="L2258" s="61" t="e">
        <f>VLOOKUP(K2258,[1]Mapping!$J$3:$Q$351,8,FALSE)</f>
        <v>#N/A</v>
      </c>
      <c r="M2258" t="s">
        <v>83</v>
      </c>
    </row>
    <row r="2259" spans="5:13" hidden="1" x14ac:dyDescent="0.35">
      <c r="E2259" s="81"/>
      <c r="I2259" s="83" t="e">
        <f>VLOOKUP(E2259,[1]Mapping!$A$3:$B$14,2,FALSE)</f>
        <v>#N/A</v>
      </c>
      <c r="J2259" s="84">
        <f t="shared" si="72"/>
        <v>0</v>
      </c>
      <c r="K2259" s="84">
        <f t="shared" si="73"/>
        <v>0</v>
      </c>
      <c r="L2259" s="61" t="e">
        <f>VLOOKUP(K2259,[1]Mapping!$J$3:$Q$351,8,FALSE)</f>
        <v>#N/A</v>
      </c>
      <c r="M2259" t="s">
        <v>83</v>
      </c>
    </row>
    <row r="2260" spans="5:13" hidden="1" x14ac:dyDescent="0.35">
      <c r="E2260" s="81"/>
      <c r="I2260" s="83" t="e">
        <f>VLOOKUP(E2260,[1]Mapping!$A$3:$B$14,2,FALSE)</f>
        <v>#N/A</v>
      </c>
      <c r="J2260" s="84">
        <f t="shared" si="72"/>
        <v>0</v>
      </c>
      <c r="K2260" s="84">
        <f t="shared" si="73"/>
        <v>0</v>
      </c>
      <c r="L2260" s="61" t="e">
        <f>VLOOKUP(K2260,[1]Mapping!$J$3:$Q$351,8,FALSE)</f>
        <v>#N/A</v>
      </c>
      <c r="M2260" t="s">
        <v>83</v>
      </c>
    </row>
    <row r="2261" spans="5:13" hidden="1" x14ac:dyDescent="0.35">
      <c r="E2261" s="81"/>
      <c r="I2261" s="83" t="e">
        <f>VLOOKUP(E2261,[1]Mapping!$A$3:$B$14,2,FALSE)</f>
        <v>#N/A</v>
      </c>
      <c r="J2261" s="84">
        <f t="shared" si="72"/>
        <v>0</v>
      </c>
      <c r="K2261" s="84">
        <f t="shared" si="73"/>
        <v>0</v>
      </c>
      <c r="L2261" s="61" t="e">
        <f>VLOOKUP(K2261,[1]Mapping!$J$3:$Q$351,8,FALSE)</f>
        <v>#N/A</v>
      </c>
      <c r="M2261" t="s">
        <v>83</v>
      </c>
    </row>
    <row r="2262" spans="5:13" hidden="1" x14ac:dyDescent="0.35">
      <c r="E2262" s="81"/>
      <c r="I2262" s="83" t="e">
        <f>VLOOKUP(E2262,[1]Mapping!$A$3:$B$14,2,FALSE)</f>
        <v>#N/A</v>
      </c>
      <c r="J2262" s="84">
        <f t="shared" si="72"/>
        <v>0</v>
      </c>
      <c r="K2262" s="84">
        <f t="shared" si="73"/>
        <v>0</v>
      </c>
      <c r="L2262" s="61" t="e">
        <f>VLOOKUP(K2262,[1]Mapping!$J$3:$Q$351,8,FALSE)</f>
        <v>#N/A</v>
      </c>
      <c r="M2262" t="s">
        <v>83</v>
      </c>
    </row>
    <row r="2263" spans="5:13" hidden="1" x14ac:dyDescent="0.35">
      <c r="E2263" s="81"/>
      <c r="I2263" s="83" t="e">
        <f>VLOOKUP(E2263,[1]Mapping!$A$3:$B$14,2,FALSE)</f>
        <v>#N/A</v>
      </c>
      <c r="J2263" s="84">
        <f t="shared" si="72"/>
        <v>0</v>
      </c>
      <c r="K2263" s="84">
        <f t="shared" si="73"/>
        <v>0</v>
      </c>
      <c r="L2263" s="61" t="e">
        <f>VLOOKUP(K2263,[1]Mapping!$J$3:$Q$351,8,FALSE)</f>
        <v>#N/A</v>
      </c>
      <c r="M2263" t="s">
        <v>83</v>
      </c>
    </row>
    <row r="2264" spans="5:13" hidden="1" x14ac:dyDescent="0.35">
      <c r="E2264" s="81"/>
      <c r="I2264" s="83" t="e">
        <f>VLOOKUP(E2264,[1]Mapping!$A$3:$B$14,2,FALSE)</f>
        <v>#N/A</v>
      </c>
      <c r="J2264" s="84">
        <f t="shared" si="72"/>
        <v>0</v>
      </c>
      <c r="K2264" s="84">
        <f t="shared" si="73"/>
        <v>0</v>
      </c>
      <c r="L2264" s="61" t="e">
        <f>VLOOKUP(K2264,[1]Mapping!$J$3:$Q$351,8,FALSE)</f>
        <v>#N/A</v>
      </c>
      <c r="M2264" t="s">
        <v>83</v>
      </c>
    </row>
    <row r="2265" spans="5:13" hidden="1" x14ac:dyDescent="0.35">
      <c r="E2265" s="81"/>
      <c r="I2265" s="83" t="e">
        <f>VLOOKUP(E2265,[1]Mapping!$A$3:$B$14,2,FALSE)</f>
        <v>#N/A</v>
      </c>
      <c r="J2265" s="84">
        <f t="shared" si="72"/>
        <v>0</v>
      </c>
      <c r="K2265" s="84">
        <f t="shared" si="73"/>
        <v>0</v>
      </c>
      <c r="L2265" s="61" t="e">
        <f>VLOOKUP(K2265,[1]Mapping!$J$3:$Q$351,8,FALSE)</f>
        <v>#N/A</v>
      </c>
      <c r="M2265" t="s">
        <v>83</v>
      </c>
    </row>
    <row r="2266" spans="5:13" hidden="1" x14ac:dyDescent="0.35">
      <c r="E2266" s="81"/>
      <c r="I2266" s="83" t="e">
        <f>VLOOKUP(E2266,[1]Mapping!$A$3:$B$14,2,FALSE)</f>
        <v>#N/A</v>
      </c>
      <c r="J2266" s="84">
        <f t="shared" si="72"/>
        <v>0</v>
      </c>
      <c r="K2266" s="84">
        <f t="shared" si="73"/>
        <v>0</v>
      </c>
      <c r="L2266" s="61" t="e">
        <f>VLOOKUP(K2266,[1]Mapping!$J$3:$Q$351,8,FALSE)</f>
        <v>#N/A</v>
      </c>
      <c r="M2266" t="s">
        <v>83</v>
      </c>
    </row>
    <row r="2267" spans="5:13" hidden="1" x14ac:dyDescent="0.35">
      <c r="E2267" s="81"/>
      <c r="I2267" s="83" t="e">
        <f>VLOOKUP(E2267,[1]Mapping!$A$3:$B$14,2,FALSE)</f>
        <v>#N/A</v>
      </c>
      <c r="J2267" s="84">
        <f t="shared" si="72"/>
        <v>0</v>
      </c>
      <c r="K2267" s="84">
        <f t="shared" si="73"/>
        <v>0</v>
      </c>
      <c r="L2267" s="61" t="e">
        <f>VLOOKUP(K2267,[1]Mapping!$J$3:$Q$351,8,FALSE)</f>
        <v>#N/A</v>
      </c>
      <c r="M2267" t="s">
        <v>83</v>
      </c>
    </row>
    <row r="2268" spans="5:13" hidden="1" x14ac:dyDescent="0.35">
      <c r="E2268" s="81"/>
      <c r="I2268" s="83" t="e">
        <f>VLOOKUP(E2268,[1]Mapping!$A$3:$B$14,2,FALSE)</f>
        <v>#N/A</v>
      </c>
      <c r="J2268" s="84">
        <f t="shared" si="72"/>
        <v>0</v>
      </c>
      <c r="K2268" s="84">
        <f t="shared" si="73"/>
        <v>0</v>
      </c>
      <c r="L2268" s="61" t="e">
        <f>VLOOKUP(K2268,[1]Mapping!$J$3:$Q$351,8,FALSE)</f>
        <v>#N/A</v>
      </c>
      <c r="M2268" t="s">
        <v>83</v>
      </c>
    </row>
    <row r="2269" spans="5:13" hidden="1" x14ac:dyDescent="0.35">
      <c r="E2269" s="81"/>
      <c r="I2269" s="83" t="e">
        <f>VLOOKUP(E2269,[1]Mapping!$A$3:$B$14,2,FALSE)</f>
        <v>#N/A</v>
      </c>
      <c r="J2269" s="84">
        <f t="shared" si="72"/>
        <v>0</v>
      </c>
      <c r="K2269" s="84">
        <f t="shared" si="73"/>
        <v>0</v>
      </c>
      <c r="L2269" s="61" t="e">
        <f>VLOOKUP(K2269,[1]Mapping!$J$3:$Q$351,8,FALSE)</f>
        <v>#N/A</v>
      </c>
      <c r="M2269" t="s">
        <v>83</v>
      </c>
    </row>
    <row r="2270" spans="5:13" hidden="1" x14ac:dyDescent="0.35">
      <c r="E2270" s="81"/>
      <c r="I2270" s="83" t="e">
        <f>VLOOKUP(E2270,[1]Mapping!$A$3:$B$14,2,FALSE)</f>
        <v>#N/A</v>
      </c>
      <c r="J2270" s="84">
        <f t="shared" si="72"/>
        <v>0</v>
      </c>
      <c r="K2270" s="84">
        <f t="shared" si="73"/>
        <v>0</v>
      </c>
      <c r="L2270" s="61" t="e">
        <f>VLOOKUP(K2270,[1]Mapping!$J$3:$Q$351,8,FALSE)</f>
        <v>#N/A</v>
      </c>
      <c r="M2270" t="s">
        <v>83</v>
      </c>
    </row>
    <row r="2271" spans="5:13" hidden="1" x14ac:dyDescent="0.35">
      <c r="E2271" s="81"/>
      <c r="I2271" s="83" t="e">
        <f>VLOOKUP(E2271,[1]Mapping!$A$3:$B$14,2,FALSE)</f>
        <v>#N/A</v>
      </c>
      <c r="J2271" s="84">
        <f t="shared" si="72"/>
        <v>0</v>
      </c>
      <c r="K2271" s="84">
        <f t="shared" si="73"/>
        <v>0</v>
      </c>
      <c r="L2271" s="61" t="e">
        <f>VLOOKUP(K2271,[1]Mapping!$J$3:$Q$351,8,FALSE)</f>
        <v>#N/A</v>
      </c>
      <c r="M2271" t="s">
        <v>83</v>
      </c>
    </row>
    <row r="2272" spans="5:13" hidden="1" x14ac:dyDescent="0.35">
      <c r="E2272" s="81"/>
      <c r="I2272" s="83" t="e">
        <f>VLOOKUP(E2272,[1]Mapping!$A$3:$B$14,2,FALSE)</f>
        <v>#N/A</v>
      </c>
      <c r="J2272" s="84">
        <f t="shared" si="72"/>
        <v>0</v>
      </c>
      <c r="K2272" s="84">
        <f t="shared" si="73"/>
        <v>0</v>
      </c>
      <c r="L2272" s="61" t="e">
        <f>VLOOKUP(K2272,[1]Mapping!$J$3:$Q$351,8,FALSE)</f>
        <v>#N/A</v>
      </c>
      <c r="M2272" t="s">
        <v>83</v>
      </c>
    </row>
    <row r="2273" spans="5:13" hidden="1" x14ac:dyDescent="0.35">
      <c r="E2273" s="81"/>
      <c r="I2273" s="83" t="e">
        <f>VLOOKUP(E2273,[1]Mapping!$A$3:$B$14,2,FALSE)</f>
        <v>#N/A</v>
      </c>
      <c r="J2273" s="84">
        <f t="shared" si="72"/>
        <v>0</v>
      </c>
      <c r="K2273" s="84">
        <f t="shared" si="73"/>
        <v>0</v>
      </c>
      <c r="L2273" s="61" t="e">
        <f>VLOOKUP(K2273,[1]Mapping!$J$3:$Q$351,8,FALSE)</f>
        <v>#N/A</v>
      </c>
      <c r="M2273" t="s">
        <v>83</v>
      </c>
    </row>
    <row r="2274" spans="5:13" hidden="1" x14ac:dyDescent="0.35">
      <c r="E2274" s="81"/>
      <c r="I2274" s="83" t="e">
        <f>VLOOKUP(E2274,[1]Mapping!$A$3:$B$14,2,FALSE)</f>
        <v>#N/A</v>
      </c>
      <c r="J2274" s="84">
        <f t="shared" si="72"/>
        <v>0</v>
      </c>
      <c r="K2274" s="84">
        <f t="shared" si="73"/>
        <v>0</v>
      </c>
      <c r="L2274" s="61" t="e">
        <f>VLOOKUP(K2274,[1]Mapping!$J$3:$Q$351,8,FALSE)</f>
        <v>#N/A</v>
      </c>
      <c r="M2274" t="s">
        <v>83</v>
      </c>
    </row>
    <row r="2275" spans="5:13" hidden="1" x14ac:dyDescent="0.35">
      <c r="E2275" s="81"/>
      <c r="I2275" s="83" t="e">
        <f>VLOOKUP(E2275,[1]Mapping!$A$3:$B$14,2,FALSE)</f>
        <v>#N/A</v>
      </c>
      <c r="J2275" s="84">
        <f t="shared" si="72"/>
        <v>0</v>
      </c>
      <c r="K2275" s="84">
        <f t="shared" si="73"/>
        <v>0</v>
      </c>
      <c r="L2275" s="61" t="e">
        <f>VLOOKUP(K2275,[1]Mapping!$J$3:$Q$351,8,FALSE)</f>
        <v>#N/A</v>
      </c>
      <c r="M2275" t="s">
        <v>83</v>
      </c>
    </row>
    <row r="2276" spans="5:13" hidden="1" x14ac:dyDescent="0.35">
      <c r="E2276" s="81"/>
      <c r="I2276" s="83" t="e">
        <f>VLOOKUP(E2276,[1]Mapping!$A$3:$B$14,2,FALSE)</f>
        <v>#N/A</v>
      </c>
      <c r="J2276" s="84">
        <f t="shared" si="72"/>
        <v>0</v>
      </c>
      <c r="K2276" s="84">
        <f t="shared" si="73"/>
        <v>0</v>
      </c>
      <c r="L2276" s="61" t="e">
        <f>VLOOKUP(K2276,[1]Mapping!$J$3:$Q$351,8,FALSE)</f>
        <v>#N/A</v>
      </c>
      <c r="M2276" t="s">
        <v>83</v>
      </c>
    </row>
    <row r="2277" spans="5:13" hidden="1" x14ac:dyDescent="0.35">
      <c r="E2277" s="81"/>
      <c r="I2277" s="83" t="e">
        <f>VLOOKUP(E2277,[1]Mapping!$A$3:$B$14,2,FALSE)</f>
        <v>#N/A</v>
      </c>
      <c r="J2277" s="84">
        <f t="shared" si="72"/>
        <v>0</v>
      </c>
      <c r="K2277" s="84">
        <f t="shared" si="73"/>
        <v>0</v>
      </c>
      <c r="L2277" s="61" t="e">
        <f>VLOOKUP(K2277,[1]Mapping!$J$3:$Q$351,8,FALSE)</f>
        <v>#N/A</v>
      </c>
      <c r="M2277" t="s">
        <v>83</v>
      </c>
    </row>
    <row r="2278" spans="5:13" hidden="1" x14ac:dyDescent="0.35">
      <c r="E2278" s="81"/>
      <c r="I2278" s="83" t="e">
        <f>VLOOKUP(E2278,[1]Mapping!$A$3:$B$14,2,FALSE)</f>
        <v>#N/A</v>
      </c>
      <c r="J2278" s="84">
        <f t="shared" si="72"/>
        <v>0</v>
      </c>
      <c r="K2278" s="84">
        <f t="shared" si="73"/>
        <v>0</v>
      </c>
      <c r="L2278" s="61" t="e">
        <f>VLOOKUP(K2278,[1]Mapping!$J$3:$Q$351,8,FALSE)</f>
        <v>#N/A</v>
      </c>
      <c r="M2278" t="s">
        <v>83</v>
      </c>
    </row>
    <row r="2279" spans="5:13" hidden="1" x14ac:dyDescent="0.35">
      <c r="E2279" s="81"/>
      <c r="I2279" s="83" t="e">
        <f>VLOOKUP(E2279,[1]Mapping!$A$3:$B$14,2,FALSE)</f>
        <v>#N/A</v>
      </c>
      <c r="J2279" s="84">
        <f t="shared" si="72"/>
        <v>0</v>
      </c>
      <c r="K2279" s="84">
        <f t="shared" si="73"/>
        <v>0</v>
      </c>
      <c r="L2279" s="61" t="e">
        <f>VLOOKUP(K2279,[1]Mapping!$J$3:$Q$351,8,FALSE)</f>
        <v>#N/A</v>
      </c>
      <c r="M2279" t="s">
        <v>83</v>
      </c>
    </row>
    <row r="2280" spans="5:13" hidden="1" x14ac:dyDescent="0.35">
      <c r="E2280" s="81"/>
      <c r="I2280" s="83" t="e">
        <f>VLOOKUP(E2280,[1]Mapping!$A$3:$B$14,2,FALSE)</f>
        <v>#N/A</v>
      </c>
      <c r="J2280" s="84">
        <f t="shared" si="72"/>
        <v>0</v>
      </c>
      <c r="K2280" s="84">
        <f t="shared" si="73"/>
        <v>0</v>
      </c>
      <c r="L2280" s="61" t="e">
        <f>VLOOKUP(K2280,[1]Mapping!$J$3:$Q$351,8,FALSE)</f>
        <v>#N/A</v>
      </c>
      <c r="M2280" t="s">
        <v>83</v>
      </c>
    </row>
    <row r="2281" spans="5:13" hidden="1" x14ac:dyDescent="0.35">
      <c r="E2281" s="81"/>
      <c r="I2281" s="83" t="e">
        <f>VLOOKUP(E2281,[1]Mapping!$A$3:$B$14,2,FALSE)</f>
        <v>#N/A</v>
      </c>
      <c r="J2281" s="84">
        <f t="shared" si="72"/>
        <v>0</v>
      </c>
      <c r="K2281" s="84">
        <f t="shared" si="73"/>
        <v>0</v>
      </c>
      <c r="L2281" s="61" t="e">
        <f>VLOOKUP(K2281,[1]Mapping!$J$3:$Q$351,8,FALSE)</f>
        <v>#N/A</v>
      </c>
      <c r="M2281" t="s">
        <v>83</v>
      </c>
    </row>
    <row r="2282" spans="5:13" hidden="1" x14ac:dyDescent="0.35">
      <c r="E2282" s="81"/>
      <c r="I2282" s="83" t="e">
        <f>VLOOKUP(E2282,[1]Mapping!$A$3:$B$14,2,FALSE)</f>
        <v>#N/A</v>
      </c>
      <c r="J2282" s="84">
        <f t="shared" si="72"/>
        <v>0</v>
      </c>
      <c r="K2282" s="84">
        <f t="shared" si="73"/>
        <v>0</v>
      </c>
      <c r="L2282" s="61" t="e">
        <f>VLOOKUP(K2282,[1]Mapping!$J$3:$Q$351,8,FALSE)</f>
        <v>#N/A</v>
      </c>
      <c r="M2282" t="s">
        <v>83</v>
      </c>
    </row>
    <row r="2283" spans="5:13" hidden="1" x14ac:dyDescent="0.35">
      <c r="E2283" s="81"/>
      <c r="I2283" s="83" t="e">
        <f>VLOOKUP(E2283,[1]Mapping!$A$3:$B$14,2,FALSE)</f>
        <v>#N/A</v>
      </c>
      <c r="J2283" s="84">
        <f t="shared" si="72"/>
        <v>0</v>
      </c>
      <c r="K2283" s="84">
        <f t="shared" si="73"/>
        <v>0</v>
      </c>
      <c r="L2283" s="61" t="e">
        <f>VLOOKUP(K2283,[1]Mapping!$J$3:$Q$351,8,FALSE)</f>
        <v>#N/A</v>
      </c>
      <c r="M2283" t="s">
        <v>83</v>
      </c>
    </row>
    <row r="2284" spans="5:13" hidden="1" x14ac:dyDescent="0.35">
      <c r="E2284" s="81"/>
      <c r="I2284" s="83" t="e">
        <f>VLOOKUP(E2284,[1]Mapping!$A$3:$B$14,2,FALSE)</f>
        <v>#N/A</v>
      </c>
      <c r="J2284" s="84">
        <f t="shared" si="72"/>
        <v>0</v>
      </c>
      <c r="K2284" s="84">
        <f t="shared" si="73"/>
        <v>0</v>
      </c>
      <c r="L2284" s="61" t="e">
        <f>VLOOKUP(K2284,[1]Mapping!$J$3:$Q$351,8,FALSE)</f>
        <v>#N/A</v>
      </c>
      <c r="M2284" t="s">
        <v>83</v>
      </c>
    </row>
    <row r="2285" spans="5:13" hidden="1" x14ac:dyDescent="0.35">
      <c r="E2285" s="81"/>
      <c r="I2285" s="83" t="e">
        <f>VLOOKUP(E2285,[1]Mapping!$A$3:$B$14,2,FALSE)</f>
        <v>#N/A</v>
      </c>
      <c r="J2285" s="84">
        <f t="shared" si="72"/>
        <v>0</v>
      </c>
      <c r="K2285" s="84">
        <f t="shared" si="73"/>
        <v>0</v>
      </c>
      <c r="L2285" s="61" t="e">
        <f>VLOOKUP(K2285,[1]Mapping!$J$3:$Q$351,8,FALSE)</f>
        <v>#N/A</v>
      </c>
      <c r="M2285" t="s">
        <v>83</v>
      </c>
    </row>
    <row r="2286" spans="5:13" hidden="1" x14ac:dyDescent="0.35">
      <c r="E2286" s="81"/>
      <c r="I2286" s="83" t="e">
        <f>VLOOKUP(E2286,[1]Mapping!$A$3:$B$14,2,FALSE)</f>
        <v>#N/A</v>
      </c>
      <c r="J2286" s="84">
        <f t="shared" si="72"/>
        <v>0</v>
      </c>
      <c r="K2286" s="84">
        <f t="shared" si="73"/>
        <v>0</v>
      </c>
      <c r="L2286" s="61" t="e">
        <f>VLOOKUP(K2286,[1]Mapping!$J$3:$Q$351,8,FALSE)</f>
        <v>#N/A</v>
      </c>
      <c r="M2286" t="s">
        <v>83</v>
      </c>
    </row>
    <row r="2287" spans="5:13" hidden="1" x14ac:dyDescent="0.35">
      <c r="E2287" s="81"/>
      <c r="I2287" s="83" t="e">
        <f>VLOOKUP(E2287,[1]Mapping!$A$3:$B$14,2,FALSE)</f>
        <v>#N/A</v>
      </c>
      <c r="J2287" s="84">
        <f t="shared" si="72"/>
        <v>0</v>
      </c>
      <c r="K2287" s="84">
        <f t="shared" si="73"/>
        <v>0</v>
      </c>
      <c r="L2287" s="61" t="e">
        <f>VLOOKUP(K2287,[1]Mapping!$J$3:$Q$351,8,FALSE)</f>
        <v>#N/A</v>
      </c>
      <c r="M2287" t="s">
        <v>83</v>
      </c>
    </row>
    <row r="2288" spans="5:13" hidden="1" x14ac:dyDescent="0.35">
      <c r="E2288" s="81"/>
      <c r="I2288" s="83" t="e">
        <f>VLOOKUP(E2288,[1]Mapping!$A$3:$B$14,2,FALSE)</f>
        <v>#N/A</v>
      </c>
      <c r="J2288" s="84">
        <f t="shared" si="72"/>
        <v>0</v>
      </c>
      <c r="K2288" s="84">
        <f t="shared" si="73"/>
        <v>0</v>
      </c>
      <c r="L2288" s="61" t="e">
        <f>VLOOKUP(K2288,[1]Mapping!$J$3:$Q$351,8,FALSE)</f>
        <v>#N/A</v>
      </c>
      <c r="M2288" t="s">
        <v>83</v>
      </c>
    </row>
    <row r="2289" spans="5:13" hidden="1" x14ac:dyDescent="0.35">
      <c r="E2289" s="81"/>
      <c r="I2289" s="83" t="e">
        <f>VLOOKUP(E2289,[1]Mapping!$A$3:$B$14,2,FALSE)</f>
        <v>#N/A</v>
      </c>
      <c r="J2289" s="84">
        <f t="shared" si="72"/>
        <v>0</v>
      </c>
      <c r="K2289" s="84">
        <f t="shared" si="73"/>
        <v>0</v>
      </c>
      <c r="L2289" s="61" t="e">
        <f>VLOOKUP(K2289,[1]Mapping!$J$3:$Q$351,8,FALSE)</f>
        <v>#N/A</v>
      </c>
      <c r="M2289" t="s">
        <v>83</v>
      </c>
    </row>
    <row r="2290" spans="5:13" hidden="1" x14ac:dyDescent="0.35">
      <c r="E2290" s="81"/>
      <c r="I2290" s="83" t="e">
        <f>VLOOKUP(E2290,[1]Mapping!$A$3:$B$14,2,FALSE)</f>
        <v>#N/A</v>
      </c>
      <c r="J2290" s="84">
        <f t="shared" si="72"/>
        <v>0</v>
      </c>
      <c r="K2290" s="84">
        <f t="shared" si="73"/>
        <v>0</v>
      </c>
      <c r="L2290" s="61" t="e">
        <f>VLOOKUP(K2290,[1]Mapping!$J$3:$Q$351,8,FALSE)</f>
        <v>#N/A</v>
      </c>
      <c r="M2290" t="s">
        <v>83</v>
      </c>
    </row>
    <row r="2291" spans="5:13" hidden="1" x14ac:dyDescent="0.35">
      <c r="E2291" s="81"/>
      <c r="I2291" s="83" t="e">
        <f>VLOOKUP(E2291,[1]Mapping!$A$3:$B$14,2,FALSE)</f>
        <v>#N/A</v>
      </c>
      <c r="J2291" s="84">
        <f t="shared" si="72"/>
        <v>0</v>
      </c>
      <c r="K2291" s="84">
        <f t="shared" si="73"/>
        <v>0</v>
      </c>
      <c r="L2291" s="61" t="e">
        <f>VLOOKUP(K2291,[1]Mapping!$J$3:$Q$351,8,FALSE)</f>
        <v>#N/A</v>
      </c>
      <c r="M2291" t="s">
        <v>83</v>
      </c>
    </row>
    <row r="2292" spans="5:13" hidden="1" x14ac:dyDescent="0.35">
      <c r="E2292" s="81"/>
      <c r="I2292" s="83" t="e">
        <f>VLOOKUP(E2292,[1]Mapping!$A$3:$B$14,2,FALSE)</f>
        <v>#N/A</v>
      </c>
      <c r="J2292" s="84">
        <f t="shared" si="72"/>
        <v>0</v>
      </c>
      <c r="K2292" s="84">
        <f t="shared" si="73"/>
        <v>0</v>
      </c>
      <c r="L2292" s="61" t="e">
        <f>VLOOKUP(K2292,[1]Mapping!$J$3:$Q$351,8,FALSE)</f>
        <v>#N/A</v>
      </c>
      <c r="M2292" t="s">
        <v>83</v>
      </c>
    </row>
    <row r="2293" spans="5:13" hidden="1" x14ac:dyDescent="0.35">
      <c r="E2293" s="81"/>
      <c r="I2293" s="83" t="e">
        <f>VLOOKUP(E2293,[1]Mapping!$A$3:$B$14,2,FALSE)</f>
        <v>#N/A</v>
      </c>
      <c r="J2293" s="84">
        <f t="shared" si="72"/>
        <v>0</v>
      </c>
      <c r="K2293" s="84">
        <f t="shared" si="73"/>
        <v>0</v>
      </c>
      <c r="L2293" s="61" t="e">
        <f>VLOOKUP(K2293,[1]Mapping!$J$3:$Q$351,8,FALSE)</f>
        <v>#N/A</v>
      </c>
      <c r="M2293" t="s">
        <v>83</v>
      </c>
    </row>
    <row r="2294" spans="5:13" hidden="1" x14ac:dyDescent="0.35">
      <c r="E2294" s="81"/>
      <c r="I2294" s="83" t="e">
        <f>VLOOKUP(E2294,[1]Mapping!$A$3:$B$14,2,FALSE)</f>
        <v>#N/A</v>
      </c>
      <c r="J2294" s="84">
        <f t="shared" si="72"/>
        <v>0</v>
      </c>
      <c r="K2294" s="84">
        <f t="shared" si="73"/>
        <v>0</v>
      </c>
      <c r="L2294" s="61" t="e">
        <f>VLOOKUP(K2294,[1]Mapping!$J$3:$Q$351,8,FALSE)</f>
        <v>#N/A</v>
      </c>
      <c r="M2294" t="s">
        <v>83</v>
      </c>
    </row>
    <row r="2295" spans="5:13" hidden="1" x14ac:dyDescent="0.35">
      <c r="E2295" s="81"/>
      <c r="I2295" s="83" t="e">
        <f>VLOOKUP(E2295,[1]Mapping!$A$3:$B$14,2,FALSE)</f>
        <v>#N/A</v>
      </c>
      <c r="J2295" s="84">
        <f t="shared" si="72"/>
        <v>0</v>
      </c>
      <c r="K2295" s="84">
        <f t="shared" si="73"/>
        <v>0</v>
      </c>
      <c r="L2295" s="61" t="e">
        <f>VLOOKUP(K2295,[1]Mapping!$J$3:$Q$351,8,FALSE)</f>
        <v>#N/A</v>
      </c>
      <c r="M2295" t="s">
        <v>83</v>
      </c>
    </row>
    <row r="2296" spans="5:13" hidden="1" x14ac:dyDescent="0.35">
      <c r="E2296" s="81"/>
      <c r="I2296" s="83" t="e">
        <f>VLOOKUP(E2296,[1]Mapping!$A$3:$B$14,2,FALSE)</f>
        <v>#N/A</v>
      </c>
      <c r="J2296" s="84">
        <f t="shared" si="72"/>
        <v>0</v>
      </c>
      <c r="K2296" s="84">
        <f t="shared" si="73"/>
        <v>0</v>
      </c>
      <c r="L2296" s="61" t="e">
        <f>VLOOKUP(K2296,[1]Mapping!$J$3:$Q$351,8,FALSE)</f>
        <v>#N/A</v>
      </c>
      <c r="M2296" t="s">
        <v>83</v>
      </c>
    </row>
    <row r="2297" spans="5:13" hidden="1" x14ac:dyDescent="0.35">
      <c r="E2297" s="81"/>
      <c r="I2297" s="83" t="e">
        <f>VLOOKUP(E2297,[1]Mapping!$A$3:$B$14,2,FALSE)</f>
        <v>#N/A</v>
      </c>
      <c r="J2297" s="84">
        <f t="shared" si="72"/>
        <v>0</v>
      </c>
      <c r="K2297" s="84">
        <f t="shared" si="73"/>
        <v>0</v>
      </c>
      <c r="L2297" s="61" t="e">
        <f>VLOOKUP(K2297,[1]Mapping!$J$3:$Q$351,8,FALSE)</f>
        <v>#N/A</v>
      </c>
      <c r="M2297" t="s">
        <v>83</v>
      </c>
    </row>
    <row r="2298" spans="5:13" hidden="1" x14ac:dyDescent="0.35">
      <c r="E2298" s="81"/>
      <c r="I2298" s="83" t="e">
        <f>VLOOKUP(E2298,[1]Mapping!$A$3:$B$14,2,FALSE)</f>
        <v>#N/A</v>
      </c>
      <c r="J2298" s="84">
        <f t="shared" si="72"/>
        <v>0</v>
      </c>
      <c r="K2298" s="84">
        <f t="shared" si="73"/>
        <v>0</v>
      </c>
      <c r="L2298" s="61" t="e">
        <f>VLOOKUP(K2298,[1]Mapping!$J$3:$Q$351,8,FALSE)</f>
        <v>#N/A</v>
      </c>
      <c r="M2298" t="s">
        <v>83</v>
      </c>
    </row>
    <row r="2299" spans="5:13" hidden="1" x14ac:dyDescent="0.35">
      <c r="E2299" s="81"/>
      <c r="I2299" s="83" t="e">
        <f>VLOOKUP(E2299,[1]Mapping!$A$3:$B$14,2,FALSE)</f>
        <v>#N/A</v>
      </c>
      <c r="J2299" s="84">
        <f t="shared" si="72"/>
        <v>0</v>
      </c>
      <c r="K2299" s="84">
        <f t="shared" si="73"/>
        <v>0</v>
      </c>
      <c r="L2299" s="61" t="e">
        <f>VLOOKUP(K2299,[1]Mapping!$J$3:$Q$351,8,FALSE)</f>
        <v>#N/A</v>
      </c>
      <c r="M2299" t="s">
        <v>83</v>
      </c>
    </row>
    <row r="2300" spans="5:13" hidden="1" x14ac:dyDescent="0.35">
      <c r="E2300" s="81"/>
      <c r="I2300" s="83" t="e">
        <f>VLOOKUP(E2300,[1]Mapping!$A$3:$B$14,2,FALSE)</f>
        <v>#N/A</v>
      </c>
      <c r="J2300" s="84">
        <f t="shared" si="72"/>
        <v>0</v>
      </c>
      <c r="K2300" s="84">
        <f t="shared" si="73"/>
        <v>0</v>
      </c>
      <c r="L2300" s="61" t="e">
        <f>VLOOKUP(K2300,[1]Mapping!$J$3:$Q$351,8,FALSE)</f>
        <v>#N/A</v>
      </c>
      <c r="M2300" t="s">
        <v>83</v>
      </c>
    </row>
    <row r="2301" spans="5:13" hidden="1" x14ac:dyDescent="0.35">
      <c r="E2301" s="81"/>
      <c r="I2301" s="83" t="e">
        <f>VLOOKUP(E2301,[1]Mapping!$A$3:$B$14,2,FALSE)</f>
        <v>#N/A</v>
      </c>
      <c r="J2301" s="84">
        <f t="shared" si="72"/>
        <v>0</v>
      </c>
      <c r="K2301" s="84">
        <f t="shared" si="73"/>
        <v>0</v>
      </c>
      <c r="L2301" s="61" t="e">
        <f>VLOOKUP(K2301,[1]Mapping!$J$3:$Q$351,8,FALSE)</f>
        <v>#N/A</v>
      </c>
      <c r="M2301" t="s">
        <v>83</v>
      </c>
    </row>
    <row r="2302" spans="5:13" hidden="1" x14ac:dyDescent="0.35">
      <c r="E2302" s="81"/>
      <c r="I2302" s="83" t="e">
        <f>VLOOKUP(E2302,[1]Mapping!$A$3:$B$14,2,FALSE)</f>
        <v>#N/A</v>
      </c>
      <c r="J2302" s="84">
        <f t="shared" si="72"/>
        <v>0</v>
      </c>
      <c r="K2302" s="84">
        <f t="shared" si="73"/>
        <v>0</v>
      </c>
      <c r="L2302" s="61" t="e">
        <f>VLOOKUP(K2302,[1]Mapping!$J$3:$Q$351,8,FALSE)</f>
        <v>#N/A</v>
      </c>
      <c r="M2302" t="s">
        <v>83</v>
      </c>
    </row>
    <row r="2303" spans="5:13" hidden="1" x14ac:dyDescent="0.35">
      <c r="E2303" s="81"/>
      <c r="I2303" s="83" t="e">
        <f>VLOOKUP(E2303,[1]Mapping!$A$3:$B$14,2,FALSE)</f>
        <v>#N/A</v>
      </c>
      <c r="J2303" s="84">
        <f t="shared" si="72"/>
        <v>0</v>
      </c>
      <c r="K2303" s="84">
        <f t="shared" si="73"/>
        <v>0</v>
      </c>
      <c r="L2303" s="61" t="e">
        <f>VLOOKUP(K2303,[1]Mapping!$J$3:$Q$351,8,FALSE)</f>
        <v>#N/A</v>
      </c>
      <c r="M2303" t="s">
        <v>83</v>
      </c>
    </row>
    <row r="2304" spans="5:13" hidden="1" x14ac:dyDescent="0.35">
      <c r="E2304" s="81"/>
      <c r="I2304" s="83" t="e">
        <f>VLOOKUP(E2304,[1]Mapping!$A$3:$B$14,2,FALSE)</f>
        <v>#N/A</v>
      </c>
      <c r="J2304" s="84">
        <f t="shared" si="72"/>
        <v>0</v>
      </c>
      <c r="K2304" s="84">
        <f t="shared" si="73"/>
        <v>0</v>
      </c>
      <c r="L2304" s="61" t="e">
        <f>VLOOKUP(K2304,[1]Mapping!$J$3:$Q$351,8,FALSE)</f>
        <v>#N/A</v>
      </c>
      <c r="M2304" t="s">
        <v>83</v>
      </c>
    </row>
    <row r="2305" spans="5:13" hidden="1" x14ac:dyDescent="0.35">
      <c r="E2305" s="81"/>
      <c r="I2305" s="83" t="e">
        <f>VLOOKUP(E2305,[1]Mapping!$A$3:$B$14,2,FALSE)</f>
        <v>#N/A</v>
      </c>
      <c r="J2305" s="84">
        <f t="shared" si="72"/>
        <v>0</v>
      </c>
      <c r="K2305" s="84">
        <f t="shared" si="73"/>
        <v>0</v>
      </c>
      <c r="L2305" s="61" t="e">
        <f>VLOOKUP(K2305,[1]Mapping!$J$3:$Q$351,8,FALSE)</f>
        <v>#N/A</v>
      </c>
      <c r="M2305" t="s">
        <v>83</v>
      </c>
    </row>
    <row r="2306" spans="5:13" hidden="1" x14ac:dyDescent="0.35">
      <c r="E2306" s="81"/>
      <c r="I2306" s="83" t="e">
        <f>VLOOKUP(E2306,[1]Mapping!$A$3:$B$14,2,FALSE)</f>
        <v>#N/A</v>
      </c>
      <c r="J2306" s="84">
        <f t="shared" si="72"/>
        <v>0</v>
      </c>
      <c r="K2306" s="84">
        <f t="shared" si="73"/>
        <v>0</v>
      </c>
      <c r="L2306" s="61" t="e">
        <f>VLOOKUP(K2306,[1]Mapping!$J$3:$Q$351,8,FALSE)</f>
        <v>#N/A</v>
      </c>
      <c r="M2306" t="s">
        <v>83</v>
      </c>
    </row>
    <row r="2307" spans="5:13" hidden="1" x14ac:dyDescent="0.35">
      <c r="E2307" s="81"/>
      <c r="I2307" s="83" t="e">
        <f>VLOOKUP(E2307,[1]Mapping!$A$3:$B$14,2,FALSE)</f>
        <v>#N/A</v>
      </c>
      <c r="J2307" s="84">
        <f t="shared" si="72"/>
        <v>0</v>
      </c>
      <c r="K2307" s="84">
        <f t="shared" si="73"/>
        <v>0</v>
      </c>
      <c r="L2307" s="61" t="e">
        <f>VLOOKUP(K2307,[1]Mapping!$J$3:$Q$351,8,FALSE)</f>
        <v>#N/A</v>
      </c>
      <c r="M2307" t="s">
        <v>83</v>
      </c>
    </row>
    <row r="2308" spans="5:13" hidden="1" x14ac:dyDescent="0.35">
      <c r="E2308" s="81"/>
      <c r="I2308" s="83" t="e">
        <f>VLOOKUP(E2308,[1]Mapping!$A$3:$B$14,2,FALSE)</f>
        <v>#N/A</v>
      </c>
      <c r="J2308" s="84">
        <f t="shared" ref="J2308:J2371" si="74">VALUE(A2308)</f>
        <v>0</v>
      </c>
      <c r="K2308" s="84">
        <f t="shared" ref="K2308:K2371" si="75">VALUE(C2308)</f>
        <v>0</v>
      </c>
      <c r="L2308" s="61" t="e">
        <f>VLOOKUP(K2308,[1]Mapping!$J$3:$Q$351,8,FALSE)</f>
        <v>#N/A</v>
      </c>
      <c r="M2308" t="s">
        <v>83</v>
      </c>
    </row>
    <row r="2309" spans="5:13" hidden="1" x14ac:dyDescent="0.35">
      <c r="E2309" s="81"/>
      <c r="I2309" s="83" t="e">
        <f>VLOOKUP(E2309,[1]Mapping!$A$3:$B$14,2,FALSE)</f>
        <v>#N/A</v>
      </c>
      <c r="J2309" s="84">
        <f t="shared" si="74"/>
        <v>0</v>
      </c>
      <c r="K2309" s="84">
        <f t="shared" si="75"/>
        <v>0</v>
      </c>
      <c r="L2309" s="61" t="e">
        <f>VLOOKUP(K2309,[1]Mapping!$J$3:$Q$351,8,FALSE)</f>
        <v>#N/A</v>
      </c>
      <c r="M2309" t="s">
        <v>83</v>
      </c>
    </row>
    <row r="2310" spans="5:13" hidden="1" x14ac:dyDescent="0.35">
      <c r="E2310" s="81"/>
      <c r="I2310" s="83" t="e">
        <f>VLOOKUP(E2310,[1]Mapping!$A$3:$B$14,2,FALSE)</f>
        <v>#N/A</v>
      </c>
      <c r="J2310" s="84">
        <f t="shared" si="74"/>
        <v>0</v>
      </c>
      <c r="K2310" s="84">
        <f t="shared" si="75"/>
        <v>0</v>
      </c>
      <c r="L2310" s="61" t="e">
        <f>VLOOKUP(K2310,[1]Mapping!$J$3:$Q$351,8,FALSE)</f>
        <v>#N/A</v>
      </c>
      <c r="M2310" t="s">
        <v>83</v>
      </c>
    </row>
    <row r="2311" spans="5:13" hidden="1" x14ac:dyDescent="0.35">
      <c r="E2311" s="81"/>
      <c r="I2311" s="83" t="e">
        <f>VLOOKUP(E2311,[1]Mapping!$A$3:$B$14,2,FALSE)</f>
        <v>#N/A</v>
      </c>
      <c r="J2311" s="84">
        <f t="shared" si="74"/>
        <v>0</v>
      </c>
      <c r="K2311" s="84">
        <f t="shared" si="75"/>
        <v>0</v>
      </c>
      <c r="L2311" s="61" t="e">
        <f>VLOOKUP(K2311,[1]Mapping!$J$3:$Q$351,8,FALSE)</f>
        <v>#N/A</v>
      </c>
      <c r="M2311" t="s">
        <v>83</v>
      </c>
    </row>
    <row r="2312" spans="5:13" hidden="1" x14ac:dyDescent="0.35">
      <c r="E2312" s="81"/>
      <c r="I2312" s="83" t="e">
        <f>VLOOKUP(E2312,[1]Mapping!$A$3:$B$14,2,FALSE)</f>
        <v>#N/A</v>
      </c>
      <c r="J2312" s="84">
        <f t="shared" si="74"/>
        <v>0</v>
      </c>
      <c r="K2312" s="84">
        <f t="shared" si="75"/>
        <v>0</v>
      </c>
      <c r="L2312" s="61" t="e">
        <f>VLOOKUP(K2312,[1]Mapping!$J$3:$Q$351,8,FALSE)</f>
        <v>#N/A</v>
      </c>
      <c r="M2312" t="s">
        <v>83</v>
      </c>
    </row>
    <row r="2313" spans="5:13" hidden="1" x14ac:dyDescent="0.35">
      <c r="E2313" s="81"/>
      <c r="I2313" s="83" t="e">
        <f>VLOOKUP(E2313,[1]Mapping!$A$3:$B$14,2,FALSE)</f>
        <v>#N/A</v>
      </c>
      <c r="J2313" s="84">
        <f t="shared" si="74"/>
        <v>0</v>
      </c>
      <c r="K2313" s="84">
        <f t="shared" si="75"/>
        <v>0</v>
      </c>
      <c r="L2313" s="61" t="e">
        <f>VLOOKUP(K2313,[1]Mapping!$J$3:$Q$351,8,FALSE)</f>
        <v>#N/A</v>
      </c>
      <c r="M2313" t="s">
        <v>83</v>
      </c>
    </row>
    <row r="2314" spans="5:13" hidden="1" x14ac:dyDescent="0.35">
      <c r="E2314" s="81"/>
      <c r="I2314" s="83" t="e">
        <f>VLOOKUP(E2314,[1]Mapping!$A$3:$B$14,2,FALSE)</f>
        <v>#N/A</v>
      </c>
      <c r="J2314" s="84">
        <f t="shared" si="74"/>
        <v>0</v>
      </c>
      <c r="K2314" s="84">
        <f t="shared" si="75"/>
        <v>0</v>
      </c>
      <c r="L2314" s="61" t="e">
        <f>VLOOKUP(K2314,[1]Mapping!$J$3:$Q$351,8,FALSE)</f>
        <v>#N/A</v>
      </c>
      <c r="M2314" t="s">
        <v>83</v>
      </c>
    </row>
    <row r="2315" spans="5:13" hidden="1" x14ac:dyDescent="0.35">
      <c r="E2315" s="81"/>
      <c r="I2315" s="83" t="e">
        <f>VLOOKUP(E2315,[1]Mapping!$A$3:$B$14,2,FALSE)</f>
        <v>#N/A</v>
      </c>
      <c r="J2315" s="84">
        <f t="shared" si="74"/>
        <v>0</v>
      </c>
      <c r="K2315" s="84">
        <f t="shared" si="75"/>
        <v>0</v>
      </c>
      <c r="L2315" s="61" t="e">
        <f>VLOOKUP(K2315,[1]Mapping!$J$3:$Q$351,8,FALSE)</f>
        <v>#N/A</v>
      </c>
      <c r="M2315" t="s">
        <v>83</v>
      </c>
    </row>
    <row r="2316" spans="5:13" hidden="1" x14ac:dyDescent="0.35">
      <c r="E2316" s="81"/>
      <c r="I2316" s="83" t="e">
        <f>VLOOKUP(E2316,[1]Mapping!$A$3:$B$14,2,FALSE)</f>
        <v>#N/A</v>
      </c>
      <c r="J2316" s="84">
        <f t="shared" si="74"/>
        <v>0</v>
      </c>
      <c r="K2316" s="84">
        <f t="shared" si="75"/>
        <v>0</v>
      </c>
      <c r="L2316" s="61" t="e">
        <f>VLOOKUP(K2316,[1]Mapping!$J$3:$Q$351,8,FALSE)</f>
        <v>#N/A</v>
      </c>
      <c r="M2316" t="s">
        <v>83</v>
      </c>
    </row>
    <row r="2317" spans="5:13" hidden="1" x14ac:dyDescent="0.35">
      <c r="E2317" s="81"/>
      <c r="I2317" s="83" t="e">
        <f>VLOOKUP(E2317,[1]Mapping!$A$3:$B$14,2,FALSE)</f>
        <v>#N/A</v>
      </c>
      <c r="J2317" s="84">
        <f t="shared" si="74"/>
        <v>0</v>
      </c>
      <c r="K2317" s="84">
        <f t="shared" si="75"/>
        <v>0</v>
      </c>
      <c r="L2317" s="61" t="e">
        <f>VLOOKUP(K2317,[1]Mapping!$J$3:$Q$351,8,FALSE)</f>
        <v>#N/A</v>
      </c>
      <c r="M2317" t="s">
        <v>83</v>
      </c>
    </row>
    <row r="2318" spans="5:13" hidden="1" x14ac:dyDescent="0.35">
      <c r="E2318" s="81"/>
      <c r="I2318" s="83" t="e">
        <f>VLOOKUP(E2318,[1]Mapping!$A$3:$B$14,2,FALSE)</f>
        <v>#N/A</v>
      </c>
      <c r="J2318" s="84">
        <f t="shared" si="74"/>
        <v>0</v>
      </c>
      <c r="K2318" s="84">
        <f t="shared" si="75"/>
        <v>0</v>
      </c>
      <c r="L2318" s="61" t="e">
        <f>VLOOKUP(K2318,[1]Mapping!$J$3:$Q$351,8,FALSE)</f>
        <v>#N/A</v>
      </c>
      <c r="M2318" t="s">
        <v>83</v>
      </c>
    </row>
    <row r="2319" spans="5:13" hidden="1" x14ac:dyDescent="0.35">
      <c r="E2319" s="81"/>
      <c r="I2319" s="83" t="e">
        <f>VLOOKUP(E2319,[1]Mapping!$A$3:$B$14,2,FALSE)</f>
        <v>#N/A</v>
      </c>
      <c r="J2319" s="84">
        <f t="shared" si="74"/>
        <v>0</v>
      </c>
      <c r="K2319" s="84">
        <f t="shared" si="75"/>
        <v>0</v>
      </c>
      <c r="L2319" s="61" t="e">
        <f>VLOOKUP(K2319,[1]Mapping!$J$3:$Q$351,8,FALSE)</f>
        <v>#N/A</v>
      </c>
      <c r="M2319" t="s">
        <v>83</v>
      </c>
    </row>
    <row r="2320" spans="5:13" hidden="1" x14ac:dyDescent="0.35">
      <c r="E2320" s="81"/>
      <c r="I2320" s="83" t="e">
        <f>VLOOKUP(E2320,[1]Mapping!$A$3:$B$14,2,FALSE)</f>
        <v>#N/A</v>
      </c>
      <c r="J2320" s="84">
        <f t="shared" si="74"/>
        <v>0</v>
      </c>
      <c r="K2320" s="84">
        <f t="shared" si="75"/>
        <v>0</v>
      </c>
      <c r="L2320" s="61" t="e">
        <f>VLOOKUP(K2320,[1]Mapping!$J$3:$Q$351,8,FALSE)</f>
        <v>#N/A</v>
      </c>
      <c r="M2320" t="s">
        <v>83</v>
      </c>
    </row>
    <row r="2321" spans="5:15" hidden="1" x14ac:dyDescent="0.35">
      <c r="E2321" s="81"/>
      <c r="I2321" s="83" t="e">
        <f>VLOOKUP(E2321,[1]Mapping!$A$3:$B$14,2,FALSE)</f>
        <v>#N/A</v>
      </c>
      <c r="J2321" s="84">
        <f t="shared" si="74"/>
        <v>0</v>
      </c>
      <c r="K2321" s="84">
        <f t="shared" si="75"/>
        <v>0</v>
      </c>
      <c r="L2321" s="61" t="e">
        <f>VLOOKUP(K2321,[1]Mapping!$J$3:$Q$351,8,FALSE)</f>
        <v>#N/A</v>
      </c>
      <c r="M2321" t="s">
        <v>83</v>
      </c>
    </row>
    <row r="2322" spans="5:15" hidden="1" x14ac:dyDescent="0.35">
      <c r="E2322" s="81"/>
      <c r="I2322" s="83" t="e">
        <f>VLOOKUP(E2322,[1]Mapping!$A$3:$B$14,2,FALSE)</f>
        <v>#N/A</v>
      </c>
      <c r="J2322" s="84">
        <f t="shared" si="74"/>
        <v>0</v>
      </c>
      <c r="K2322" s="84">
        <f t="shared" si="75"/>
        <v>0</v>
      </c>
      <c r="L2322" s="61" t="e">
        <f>VLOOKUP(K2322,[1]Mapping!$J$3:$Q$351,8,FALSE)</f>
        <v>#N/A</v>
      </c>
      <c r="M2322" t="s">
        <v>83</v>
      </c>
    </row>
    <row r="2323" spans="5:15" hidden="1" x14ac:dyDescent="0.35">
      <c r="E2323" s="81"/>
      <c r="I2323" s="83" t="e">
        <f>VLOOKUP(E2323,[1]Mapping!$A$3:$B$14,2,FALSE)</f>
        <v>#N/A</v>
      </c>
      <c r="J2323" s="84">
        <f t="shared" si="74"/>
        <v>0</v>
      </c>
      <c r="K2323" s="84">
        <f t="shared" si="75"/>
        <v>0</v>
      </c>
      <c r="L2323" s="61" t="e">
        <f>VLOOKUP(K2323,[1]Mapping!$J$3:$Q$351,8,FALSE)</f>
        <v>#N/A</v>
      </c>
      <c r="M2323" t="s">
        <v>83</v>
      </c>
    </row>
    <row r="2324" spans="5:15" hidden="1" x14ac:dyDescent="0.35">
      <c r="E2324" s="81"/>
      <c r="I2324" s="83" t="e">
        <f>VLOOKUP(E2324,[1]Mapping!$A$3:$B$14,2,FALSE)</f>
        <v>#N/A</v>
      </c>
      <c r="J2324" s="84">
        <f t="shared" si="74"/>
        <v>0</v>
      </c>
      <c r="K2324" s="84">
        <f t="shared" si="75"/>
        <v>0</v>
      </c>
      <c r="L2324" s="61" t="e">
        <f>VLOOKUP(K2324,[1]Mapping!$J$3:$Q$351,8,FALSE)</f>
        <v>#N/A</v>
      </c>
      <c r="M2324" t="s">
        <v>83</v>
      </c>
    </row>
    <row r="2325" spans="5:15" hidden="1" x14ac:dyDescent="0.35">
      <c r="E2325" s="81"/>
      <c r="I2325" s="83" t="e">
        <f>VLOOKUP(E2325,[1]Mapping!$A$3:$B$14,2,FALSE)</f>
        <v>#N/A</v>
      </c>
      <c r="J2325" s="84">
        <f t="shared" si="74"/>
        <v>0</v>
      </c>
      <c r="K2325" s="84">
        <f t="shared" si="75"/>
        <v>0</v>
      </c>
      <c r="L2325" s="61" t="e">
        <f>VLOOKUP(K2325,[1]Mapping!$J$3:$Q$351,8,FALSE)</f>
        <v>#N/A</v>
      </c>
      <c r="M2325" t="s">
        <v>83</v>
      </c>
    </row>
    <row r="2326" spans="5:15" hidden="1" x14ac:dyDescent="0.35">
      <c r="E2326" s="81"/>
      <c r="I2326" s="83" t="e">
        <f>VLOOKUP(E2326,[1]Mapping!$A$3:$B$14,2,FALSE)</f>
        <v>#N/A</v>
      </c>
      <c r="J2326" s="84">
        <f t="shared" si="74"/>
        <v>0</v>
      </c>
      <c r="K2326" s="84">
        <f t="shared" si="75"/>
        <v>0</v>
      </c>
      <c r="L2326" s="61" t="e">
        <f>VLOOKUP(K2326,[1]Mapping!$J$3:$Q$351,8,FALSE)</f>
        <v>#N/A</v>
      </c>
      <c r="M2326" t="s">
        <v>83</v>
      </c>
    </row>
    <row r="2327" spans="5:15" hidden="1" x14ac:dyDescent="0.35">
      <c r="E2327" s="81"/>
      <c r="I2327" s="83" t="e">
        <f>VLOOKUP(E2327,[1]Mapping!$A$3:$B$14,2,FALSE)</f>
        <v>#N/A</v>
      </c>
      <c r="J2327" s="84">
        <f t="shared" si="74"/>
        <v>0</v>
      </c>
      <c r="K2327" s="84">
        <f t="shared" si="75"/>
        <v>0</v>
      </c>
      <c r="L2327" s="61" t="e">
        <f>VLOOKUP(K2327,[1]Mapping!$J$3:$Q$351,8,FALSE)</f>
        <v>#N/A</v>
      </c>
      <c r="M2327" t="s">
        <v>83</v>
      </c>
    </row>
    <row r="2328" spans="5:15" hidden="1" x14ac:dyDescent="0.35">
      <c r="E2328" s="81"/>
      <c r="I2328" s="83" t="e">
        <f>VLOOKUP(E2328,[1]Mapping!$A$3:$B$14,2,FALSE)</f>
        <v>#N/A</v>
      </c>
      <c r="J2328" s="84">
        <f t="shared" si="74"/>
        <v>0</v>
      </c>
      <c r="K2328" s="84">
        <f t="shared" si="75"/>
        <v>0</v>
      </c>
      <c r="L2328" s="61" t="e">
        <f>VLOOKUP(K2328,[1]Mapping!$J$3:$Q$351,8,FALSE)</f>
        <v>#N/A</v>
      </c>
      <c r="M2328" t="s">
        <v>83</v>
      </c>
    </row>
    <row r="2329" spans="5:15" hidden="1" x14ac:dyDescent="0.35">
      <c r="E2329" s="81"/>
      <c r="I2329" s="83" t="e">
        <f>VLOOKUP(E2329,[1]Mapping!$A$3:$B$14,2,FALSE)</f>
        <v>#N/A</v>
      </c>
      <c r="J2329" s="84">
        <f t="shared" si="74"/>
        <v>0</v>
      </c>
      <c r="K2329" s="84">
        <f t="shared" si="75"/>
        <v>0</v>
      </c>
      <c r="L2329" s="61" t="e">
        <f>VLOOKUP(K2329,[1]Mapping!$J$3:$Q$351,8,FALSE)</f>
        <v>#N/A</v>
      </c>
      <c r="M2329" t="s">
        <v>83</v>
      </c>
    </row>
    <row r="2330" spans="5:15" hidden="1" x14ac:dyDescent="0.35">
      <c r="E2330" s="81"/>
      <c r="H2330" s="82"/>
      <c r="I2330" s="83" t="e">
        <f>VLOOKUP(E2330,[1]Mapping!$A$3:$B$14,2,FALSE)</f>
        <v>#N/A</v>
      </c>
      <c r="J2330" s="84">
        <f t="shared" si="74"/>
        <v>0</v>
      </c>
      <c r="K2330" s="84">
        <f t="shared" si="75"/>
        <v>0</v>
      </c>
      <c r="L2330" s="61" t="e">
        <f>VLOOKUP(K2330,[1]Mapping!$J$3:$Q$351,8,FALSE)</f>
        <v>#N/A</v>
      </c>
      <c r="M2330" t="s">
        <v>83</v>
      </c>
      <c r="N2330" t="s">
        <v>177</v>
      </c>
      <c r="O2330" t="s">
        <v>178</v>
      </c>
    </row>
    <row r="2331" spans="5:15" hidden="1" x14ac:dyDescent="0.35">
      <c r="E2331" s="81"/>
      <c r="H2331" s="82"/>
      <c r="I2331" s="83" t="e">
        <f>VLOOKUP(E2331,[1]Mapping!$A$3:$B$14,2,FALSE)</f>
        <v>#N/A</v>
      </c>
      <c r="J2331" s="84">
        <f t="shared" si="74"/>
        <v>0</v>
      </c>
      <c r="K2331" s="84">
        <f t="shared" si="75"/>
        <v>0</v>
      </c>
      <c r="L2331" s="61" t="e">
        <f>VLOOKUP(K2331,[1]Mapping!$J$3:$Q$351,8,FALSE)</f>
        <v>#N/A</v>
      </c>
      <c r="M2331" t="s">
        <v>83</v>
      </c>
      <c r="N2331" t="s">
        <v>177</v>
      </c>
      <c r="O2331" t="s">
        <v>178</v>
      </c>
    </row>
    <row r="2332" spans="5:15" hidden="1" x14ac:dyDescent="0.35">
      <c r="E2332" s="81"/>
      <c r="H2332" s="82"/>
      <c r="I2332" s="83" t="e">
        <f>VLOOKUP(E2332,[1]Mapping!$A$3:$B$14,2,FALSE)</f>
        <v>#N/A</v>
      </c>
      <c r="J2332" s="84">
        <f t="shared" si="74"/>
        <v>0</v>
      </c>
      <c r="K2332" s="84">
        <f t="shared" si="75"/>
        <v>0</v>
      </c>
      <c r="L2332" s="61" t="e">
        <f>VLOOKUP(K2332,[1]Mapping!$J$3:$Q$351,8,FALSE)</f>
        <v>#N/A</v>
      </c>
      <c r="M2332" t="s">
        <v>83</v>
      </c>
      <c r="N2332" t="s">
        <v>177</v>
      </c>
      <c r="O2332" t="s">
        <v>178</v>
      </c>
    </row>
    <row r="2333" spans="5:15" hidden="1" x14ac:dyDescent="0.35">
      <c r="E2333" s="81"/>
      <c r="H2333" s="82"/>
      <c r="I2333" s="83" t="e">
        <f>VLOOKUP(E2333,[1]Mapping!$A$3:$B$14,2,FALSE)</f>
        <v>#N/A</v>
      </c>
      <c r="J2333" s="84">
        <f t="shared" si="74"/>
        <v>0</v>
      </c>
      <c r="K2333" s="84">
        <f t="shared" si="75"/>
        <v>0</v>
      </c>
      <c r="L2333" s="61" t="e">
        <f>VLOOKUP(K2333,[1]Mapping!$J$3:$Q$351,8,FALSE)</f>
        <v>#N/A</v>
      </c>
      <c r="M2333" t="s">
        <v>83</v>
      </c>
      <c r="N2333" t="s">
        <v>180</v>
      </c>
      <c r="O2333" t="s">
        <v>178</v>
      </c>
    </row>
    <row r="2334" spans="5:15" hidden="1" x14ac:dyDescent="0.35">
      <c r="E2334" s="81"/>
      <c r="H2334" s="82"/>
      <c r="I2334" s="83" t="e">
        <f>VLOOKUP(E2334,[1]Mapping!$A$3:$B$14,2,FALSE)</f>
        <v>#N/A</v>
      </c>
      <c r="J2334" s="84">
        <f t="shared" si="74"/>
        <v>0</v>
      </c>
      <c r="K2334" s="84">
        <f t="shared" si="75"/>
        <v>0</v>
      </c>
      <c r="L2334" s="61" t="e">
        <f>VLOOKUP(K2334,[1]Mapping!$J$3:$Q$351,8,FALSE)</f>
        <v>#N/A</v>
      </c>
      <c r="M2334" t="s">
        <v>83</v>
      </c>
      <c r="N2334" t="s">
        <v>180</v>
      </c>
      <c r="O2334" t="s">
        <v>178</v>
      </c>
    </row>
    <row r="2335" spans="5:15" hidden="1" x14ac:dyDescent="0.35">
      <c r="E2335" s="81"/>
      <c r="I2335" s="83" t="e">
        <f>VLOOKUP(E2335,[1]Mapping!$A$3:$B$14,2,FALSE)</f>
        <v>#N/A</v>
      </c>
      <c r="J2335" s="84">
        <f t="shared" si="74"/>
        <v>0</v>
      </c>
      <c r="K2335" s="84">
        <f t="shared" si="75"/>
        <v>0</v>
      </c>
      <c r="L2335" s="61" t="e">
        <f>VLOOKUP(K2335,[1]Mapping!$J$3:$Q$351,8,FALSE)</f>
        <v>#N/A</v>
      </c>
      <c r="M2335" t="s">
        <v>83</v>
      </c>
    </row>
    <row r="2336" spans="5:15" hidden="1" x14ac:dyDescent="0.35">
      <c r="E2336" s="81"/>
      <c r="I2336" s="83" t="e">
        <f>VLOOKUP(E2336,[1]Mapping!$A$3:$B$14,2,FALSE)</f>
        <v>#N/A</v>
      </c>
      <c r="J2336" s="84">
        <f t="shared" si="74"/>
        <v>0</v>
      </c>
      <c r="K2336" s="84">
        <f t="shared" si="75"/>
        <v>0</v>
      </c>
      <c r="L2336" s="61" t="e">
        <f>VLOOKUP(K2336,[1]Mapping!$J$3:$Q$351,8,FALSE)</f>
        <v>#N/A</v>
      </c>
      <c r="M2336" t="s">
        <v>83</v>
      </c>
    </row>
    <row r="2337" spans="5:13" hidden="1" x14ac:dyDescent="0.35">
      <c r="E2337" s="81"/>
      <c r="I2337" s="83" t="e">
        <f>VLOOKUP(E2337,[1]Mapping!$A$3:$B$14,2,FALSE)</f>
        <v>#N/A</v>
      </c>
      <c r="J2337" s="84">
        <f t="shared" si="74"/>
        <v>0</v>
      </c>
      <c r="K2337" s="84">
        <f t="shared" si="75"/>
        <v>0</v>
      </c>
      <c r="L2337" s="61" t="e">
        <f>VLOOKUP(K2337,[1]Mapping!$J$3:$Q$351,8,FALSE)</f>
        <v>#N/A</v>
      </c>
      <c r="M2337" t="s">
        <v>83</v>
      </c>
    </row>
    <row r="2338" spans="5:13" hidden="1" x14ac:dyDescent="0.35">
      <c r="E2338" s="81"/>
      <c r="I2338" s="83" t="e">
        <f>VLOOKUP(E2338,[1]Mapping!$A$3:$B$14,2,FALSE)</f>
        <v>#N/A</v>
      </c>
      <c r="J2338" s="84">
        <f t="shared" si="74"/>
        <v>0</v>
      </c>
      <c r="K2338" s="84">
        <f t="shared" si="75"/>
        <v>0</v>
      </c>
      <c r="L2338" s="61" t="e">
        <f>VLOOKUP(K2338,[1]Mapping!$J$3:$Q$351,8,FALSE)</f>
        <v>#N/A</v>
      </c>
      <c r="M2338" t="s">
        <v>83</v>
      </c>
    </row>
    <row r="2339" spans="5:13" hidden="1" x14ac:dyDescent="0.35">
      <c r="E2339" s="81"/>
      <c r="I2339" s="83" t="e">
        <f>VLOOKUP(E2339,[1]Mapping!$A$3:$B$14,2,FALSE)</f>
        <v>#N/A</v>
      </c>
      <c r="J2339" s="84">
        <f t="shared" si="74"/>
        <v>0</v>
      </c>
      <c r="K2339" s="84">
        <f t="shared" si="75"/>
        <v>0</v>
      </c>
      <c r="L2339" s="61" t="e">
        <f>VLOOKUP(K2339,[1]Mapping!$J$3:$Q$351,8,FALSE)</f>
        <v>#N/A</v>
      </c>
      <c r="M2339" t="s">
        <v>83</v>
      </c>
    </row>
    <row r="2340" spans="5:13" hidden="1" x14ac:dyDescent="0.35">
      <c r="E2340" s="81"/>
      <c r="I2340" s="83" t="e">
        <f>VLOOKUP(E2340,[1]Mapping!$A$3:$B$14,2,FALSE)</f>
        <v>#N/A</v>
      </c>
      <c r="J2340" s="84">
        <f t="shared" si="74"/>
        <v>0</v>
      </c>
      <c r="K2340" s="84">
        <f t="shared" si="75"/>
        <v>0</v>
      </c>
      <c r="L2340" s="61" t="e">
        <f>VLOOKUP(K2340,[1]Mapping!$J$3:$Q$351,8,FALSE)</f>
        <v>#N/A</v>
      </c>
      <c r="M2340" t="s">
        <v>83</v>
      </c>
    </row>
    <row r="2341" spans="5:13" hidden="1" x14ac:dyDescent="0.35">
      <c r="E2341" s="81"/>
      <c r="I2341" s="83" t="e">
        <f>VLOOKUP(E2341,[1]Mapping!$A$3:$B$14,2,FALSE)</f>
        <v>#N/A</v>
      </c>
      <c r="J2341" s="84">
        <f t="shared" si="74"/>
        <v>0</v>
      </c>
      <c r="K2341" s="84">
        <f t="shared" si="75"/>
        <v>0</v>
      </c>
      <c r="L2341" s="61" t="e">
        <f>VLOOKUP(K2341,[1]Mapping!$J$3:$Q$351,8,FALSE)</f>
        <v>#N/A</v>
      </c>
      <c r="M2341" t="s">
        <v>83</v>
      </c>
    </row>
    <row r="2342" spans="5:13" hidden="1" x14ac:dyDescent="0.35">
      <c r="E2342" s="81"/>
      <c r="I2342" s="83" t="e">
        <f>VLOOKUP(E2342,[1]Mapping!$A$3:$B$14,2,FALSE)</f>
        <v>#N/A</v>
      </c>
      <c r="J2342" s="84">
        <f t="shared" si="74"/>
        <v>0</v>
      </c>
      <c r="K2342" s="84">
        <f t="shared" si="75"/>
        <v>0</v>
      </c>
      <c r="L2342" s="61" t="e">
        <f>VLOOKUP(K2342,[1]Mapping!$J$3:$Q$351,8,FALSE)</f>
        <v>#N/A</v>
      </c>
      <c r="M2342" t="s">
        <v>83</v>
      </c>
    </row>
    <row r="2343" spans="5:13" hidden="1" x14ac:dyDescent="0.35">
      <c r="E2343" s="81"/>
      <c r="I2343" s="83" t="e">
        <f>VLOOKUP(E2343,[1]Mapping!$A$3:$B$14,2,FALSE)</f>
        <v>#N/A</v>
      </c>
      <c r="J2343" s="84">
        <f t="shared" si="74"/>
        <v>0</v>
      </c>
      <c r="K2343" s="84">
        <f t="shared" si="75"/>
        <v>0</v>
      </c>
      <c r="L2343" s="61" t="e">
        <f>VLOOKUP(K2343,[1]Mapping!$J$3:$Q$351,8,FALSE)</f>
        <v>#N/A</v>
      </c>
      <c r="M2343" t="s">
        <v>83</v>
      </c>
    </row>
    <row r="2344" spans="5:13" hidden="1" x14ac:dyDescent="0.35">
      <c r="E2344" s="81"/>
      <c r="I2344" s="83" t="e">
        <f>VLOOKUP(E2344,[1]Mapping!$A$3:$B$14,2,FALSE)</f>
        <v>#N/A</v>
      </c>
      <c r="J2344" s="84">
        <f t="shared" si="74"/>
        <v>0</v>
      </c>
      <c r="K2344" s="84">
        <f t="shared" si="75"/>
        <v>0</v>
      </c>
      <c r="L2344" s="61" t="e">
        <f>VLOOKUP(K2344,[1]Mapping!$J$3:$Q$351,8,FALSE)</f>
        <v>#N/A</v>
      </c>
      <c r="M2344" t="s">
        <v>83</v>
      </c>
    </row>
    <row r="2345" spans="5:13" hidden="1" x14ac:dyDescent="0.35">
      <c r="E2345" s="81"/>
      <c r="I2345" s="83" t="e">
        <f>VLOOKUP(E2345,[1]Mapping!$A$3:$B$14,2,FALSE)</f>
        <v>#N/A</v>
      </c>
      <c r="J2345" s="84">
        <f t="shared" si="74"/>
        <v>0</v>
      </c>
      <c r="K2345" s="84">
        <f t="shared" si="75"/>
        <v>0</v>
      </c>
      <c r="L2345" s="61" t="e">
        <f>VLOOKUP(K2345,[1]Mapping!$J$3:$Q$351,8,FALSE)</f>
        <v>#N/A</v>
      </c>
      <c r="M2345" t="s">
        <v>83</v>
      </c>
    </row>
    <row r="2346" spans="5:13" hidden="1" x14ac:dyDescent="0.35">
      <c r="E2346" s="81"/>
      <c r="I2346" s="83" t="e">
        <f>VLOOKUP(E2346,[1]Mapping!$A$3:$B$14,2,FALSE)</f>
        <v>#N/A</v>
      </c>
      <c r="J2346" s="84">
        <f t="shared" si="74"/>
        <v>0</v>
      </c>
      <c r="K2346" s="84">
        <f t="shared" si="75"/>
        <v>0</v>
      </c>
      <c r="L2346" s="61" t="e">
        <f>VLOOKUP(K2346,[1]Mapping!$J$3:$Q$351,8,FALSE)</f>
        <v>#N/A</v>
      </c>
      <c r="M2346" t="s">
        <v>83</v>
      </c>
    </row>
    <row r="2347" spans="5:13" hidden="1" x14ac:dyDescent="0.35">
      <c r="E2347" s="81"/>
      <c r="I2347" s="83" t="e">
        <f>VLOOKUP(E2347,[1]Mapping!$A$3:$B$14,2,FALSE)</f>
        <v>#N/A</v>
      </c>
      <c r="J2347" s="84">
        <f t="shared" si="74"/>
        <v>0</v>
      </c>
      <c r="K2347" s="84">
        <f t="shared" si="75"/>
        <v>0</v>
      </c>
      <c r="L2347" s="61" t="e">
        <f>VLOOKUP(K2347,[1]Mapping!$J$3:$Q$351,8,FALSE)</f>
        <v>#N/A</v>
      </c>
      <c r="M2347" t="s">
        <v>83</v>
      </c>
    </row>
    <row r="2348" spans="5:13" hidden="1" x14ac:dyDescent="0.35">
      <c r="E2348" s="81"/>
      <c r="I2348" s="83" t="e">
        <f>VLOOKUP(E2348,[1]Mapping!$A$3:$B$14,2,FALSE)</f>
        <v>#N/A</v>
      </c>
      <c r="J2348" s="84">
        <f t="shared" si="74"/>
        <v>0</v>
      </c>
      <c r="K2348" s="84">
        <f t="shared" si="75"/>
        <v>0</v>
      </c>
      <c r="L2348" s="61" t="e">
        <f>VLOOKUP(K2348,[1]Mapping!$J$3:$Q$351,8,FALSE)</f>
        <v>#N/A</v>
      </c>
      <c r="M2348" t="s">
        <v>83</v>
      </c>
    </row>
    <row r="2349" spans="5:13" hidden="1" x14ac:dyDescent="0.35">
      <c r="E2349" s="81"/>
      <c r="I2349" s="83" t="e">
        <f>VLOOKUP(E2349,[1]Mapping!$A$3:$B$14,2,FALSE)</f>
        <v>#N/A</v>
      </c>
      <c r="J2349" s="84">
        <f t="shared" si="74"/>
        <v>0</v>
      </c>
      <c r="K2349" s="84">
        <f t="shared" si="75"/>
        <v>0</v>
      </c>
      <c r="L2349" s="61" t="e">
        <f>VLOOKUP(K2349,[1]Mapping!$J$3:$Q$351,8,FALSE)</f>
        <v>#N/A</v>
      </c>
      <c r="M2349" t="s">
        <v>83</v>
      </c>
    </row>
    <row r="2350" spans="5:13" hidden="1" x14ac:dyDescent="0.35">
      <c r="E2350" s="81"/>
      <c r="I2350" s="83" t="e">
        <f>VLOOKUP(E2350,[1]Mapping!$A$3:$B$14,2,FALSE)</f>
        <v>#N/A</v>
      </c>
      <c r="J2350" s="84">
        <f t="shared" si="74"/>
        <v>0</v>
      </c>
      <c r="K2350" s="84">
        <f t="shared" si="75"/>
        <v>0</v>
      </c>
      <c r="L2350" s="61" t="e">
        <f>VLOOKUP(K2350,[1]Mapping!$J$3:$Q$351,8,FALSE)</f>
        <v>#N/A</v>
      </c>
      <c r="M2350" t="s">
        <v>83</v>
      </c>
    </row>
    <row r="2351" spans="5:13" hidden="1" x14ac:dyDescent="0.35">
      <c r="E2351" s="81"/>
      <c r="I2351" s="83" t="e">
        <f>VLOOKUP(E2351,[1]Mapping!$A$3:$B$14,2,FALSE)</f>
        <v>#N/A</v>
      </c>
      <c r="J2351" s="84">
        <f t="shared" si="74"/>
        <v>0</v>
      </c>
      <c r="K2351" s="84">
        <f t="shared" si="75"/>
        <v>0</v>
      </c>
      <c r="L2351" s="61" t="e">
        <f>VLOOKUP(K2351,[1]Mapping!$J$3:$Q$351,8,FALSE)</f>
        <v>#N/A</v>
      </c>
      <c r="M2351" t="s">
        <v>83</v>
      </c>
    </row>
    <row r="2352" spans="5:13" hidden="1" x14ac:dyDescent="0.35">
      <c r="E2352" s="81"/>
      <c r="I2352" s="83" t="e">
        <f>VLOOKUP(E2352,[1]Mapping!$A$3:$B$14,2,FALSE)</f>
        <v>#N/A</v>
      </c>
      <c r="J2352" s="84">
        <f t="shared" si="74"/>
        <v>0</v>
      </c>
      <c r="K2352" s="84">
        <f t="shared" si="75"/>
        <v>0</v>
      </c>
      <c r="L2352" s="61" t="e">
        <f>VLOOKUP(K2352,[1]Mapping!$J$3:$Q$351,8,FALSE)</f>
        <v>#N/A</v>
      </c>
      <c r="M2352" t="s">
        <v>83</v>
      </c>
    </row>
    <row r="2353" spans="5:13" hidden="1" x14ac:dyDescent="0.35">
      <c r="E2353" s="81"/>
      <c r="I2353" s="83" t="e">
        <f>VLOOKUP(E2353,[1]Mapping!$A$3:$B$14,2,FALSE)</f>
        <v>#N/A</v>
      </c>
      <c r="J2353" s="84">
        <f t="shared" si="74"/>
        <v>0</v>
      </c>
      <c r="K2353" s="84">
        <f t="shared" si="75"/>
        <v>0</v>
      </c>
      <c r="L2353" s="61" t="e">
        <f>VLOOKUP(K2353,[1]Mapping!$J$3:$Q$351,8,FALSE)</f>
        <v>#N/A</v>
      </c>
      <c r="M2353" t="s">
        <v>83</v>
      </c>
    </row>
    <row r="2354" spans="5:13" hidden="1" x14ac:dyDescent="0.35">
      <c r="E2354" s="81"/>
      <c r="I2354" s="83" t="e">
        <f>VLOOKUP(E2354,[1]Mapping!$A$3:$B$14,2,FALSE)</f>
        <v>#N/A</v>
      </c>
      <c r="J2354" s="84">
        <f t="shared" si="74"/>
        <v>0</v>
      </c>
      <c r="K2354" s="84">
        <f t="shared" si="75"/>
        <v>0</v>
      </c>
      <c r="L2354" s="61" t="e">
        <f>VLOOKUP(K2354,[1]Mapping!$J$3:$Q$351,8,FALSE)</f>
        <v>#N/A</v>
      </c>
      <c r="M2354" t="s">
        <v>83</v>
      </c>
    </row>
    <row r="2355" spans="5:13" hidden="1" x14ac:dyDescent="0.35">
      <c r="E2355" s="81"/>
      <c r="I2355" s="83" t="e">
        <f>VLOOKUP(E2355,[1]Mapping!$A$3:$B$14,2,FALSE)</f>
        <v>#N/A</v>
      </c>
      <c r="J2355" s="84">
        <f t="shared" si="74"/>
        <v>0</v>
      </c>
      <c r="K2355" s="84">
        <f t="shared" si="75"/>
        <v>0</v>
      </c>
      <c r="L2355" s="61" t="e">
        <f>VLOOKUP(K2355,[1]Mapping!$J$3:$Q$351,8,FALSE)</f>
        <v>#N/A</v>
      </c>
      <c r="M2355" t="s">
        <v>83</v>
      </c>
    </row>
    <row r="2356" spans="5:13" hidden="1" x14ac:dyDescent="0.35">
      <c r="E2356" s="81"/>
      <c r="I2356" s="83" t="e">
        <f>VLOOKUP(E2356,[1]Mapping!$A$3:$B$14,2,FALSE)</f>
        <v>#N/A</v>
      </c>
      <c r="J2356" s="84">
        <f t="shared" si="74"/>
        <v>0</v>
      </c>
      <c r="K2356" s="84">
        <f t="shared" si="75"/>
        <v>0</v>
      </c>
      <c r="L2356" s="61" t="e">
        <f>VLOOKUP(K2356,[1]Mapping!$J$3:$Q$351,8,FALSE)</f>
        <v>#N/A</v>
      </c>
      <c r="M2356" t="s">
        <v>83</v>
      </c>
    </row>
    <row r="2357" spans="5:13" hidden="1" x14ac:dyDescent="0.35">
      <c r="E2357" s="81"/>
      <c r="I2357" s="83" t="e">
        <f>VLOOKUP(E2357,[1]Mapping!$A$3:$B$14,2,FALSE)</f>
        <v>#N/A</v>
      </c>
      <c r="J2357" s="84">
        <f t="shared" si="74"/>
        <v>0</v>
      </c>
      <c r="K2357" s="84">
        <f t="shared" si="75"/>
        <v>0</v>
      </c>
      <c r="L2357" s="61" t="e">
        <f>VLOOKUP(K2357,[1]Mapping!$J$3:$Q$351,8,FALSE)</f>
        <v>#N/A</v>
      </c>
      <c r="M2357" t="s">
        <v>83</v>
      </c>
    </row>
    <row r="2358" spans="5:13" hidden="1" x14ac:dyDescent="0.35">
      <c r="E2358" s="81"/>
      <c r="I2358" s="83" t="e">
        <f>VLOOKUP(E2358,[1]Mapping!$A$3:$B$14,2,FALSE)</f>
        <v>#N/A</v>
      </c>
      <c r="J2358" s="84">
        <f t="shared" si="74"/>
        <v>0</v>
      </c>
      <c r="K2358" s="84">
        <f t="shared" si="75"/>
        <v>0</v>
      </c>
      <c r="L2358" s="61" t="e">
        <f>VLOOKUP(K2358,[1]Mapping!$J$3:$Q$351,8,FALSE)</f>
        <v>#N/A</v>
      </c>
      <c r="M2358" t="s">
        <v>83</v>
      </c>
    </row>
    <row r="2359" spans="5:13" hidden="1" x14ac:dyDescent="0.35">
      <c r="E2359" s="81"/>
      <c r="I2359" s="83" t="e">
        <f>VLOOKUP(E2359,[1]Mapping!$A$3:$B$14,2,FALSE)</f>
        <v>#N/A</v>
      </c>
      <c r="J2359" s="84">
        <f t="shared" si="74"/>
        <v>0</v>
      </c>
      <c r="K2359" s="84">
        <f t="shared" si="75"/>
        <v>0</v>
      </c>
      <c r="L2359" s="61" t="e">
        <f>VLOOKUP(K2359,[1]Mapping!$J$3:$Q$351,8,FALSE)</f>
        <v>#N/A</v>
      </c>
      <c r="M2359" t="s">
        <v>83</v>
      </c>
    </row>
    <row r="2360" spans="5:13" hidden="1" x14ac:dyDescent="0.35">
      <c r="E2360" s="81"/>
      <c r="I2360" s="83" t="e">
        <f>VLOOKUP(E2360,[1]Mapping!$A$3:$B$14,2,FALSE)</f>
        <v>#N/A</v>
      </c>
      <c r="J2360" s="84">
        <f t="shared" si="74"/>
        <v>0</v>
      </c>
      <c r="K2360" s="84">
        <f t="shared" si="75"/>
        <v>0</v>
      </c>
      <c r="L2360" s="61" t="e">
        <f>VLOOKUP(K2360,[1]Mapping!$J$3:$Q$351,8,FALSE)</f>
        <v>#N/A</v>
      </c>
      <c r="M2360" t="s">
        <v>83</v>
      </c>
    </row>
    <row r="2361" spans="5:13" hidden="1" x14ac:dyDescent="0.35">
      <c r="E2361" s="81"/>
      <c r="I2361" s="83" t="e">
        <f>VLOOKUP(E2361,[1]Mapping!$A$3:$B$14,2,FALSE)</f>
        <v>#N/A</v>
      </c>
      <c r="J2361" s="84">
        <f t="shared" si="74"/>
        <v>0</v>
      </c>
      <c r="K2361" s="84">
        <f t="shared" si="75"/>
        <v>0</v>
      </c>
      <c r="L2361" s="61" t="e">
        <f>VLOOKUP(K2361,[1]Mapping!$J$3:$Q$351,8,FALSE)</f>
        <v>#N/A</v>
      </c>
      <c r="M2361" t="s">
        <v>83</v>
      </c>
    </row>
    <row r="2362" spans="5:13" hidden="1" x14ac:dyDescent="0.35">
      <c r="E2362" s="81"/>
      <c r="I2362" s="83" t="e">
        <f>VLOOKUP(E2362,[1]Mapping!$A$3:$B$14,2,FALSE)</f>
        <v>#N/A</v>
      </c>
      <c r="J2362" s="84">
        <f t="shared" si="74"/>
        <v>0</v>
      </c>
      <c r="K2362" s="84">
        <f t="shared" si="75"/>
        <v>0</v>
      </c>
      <c r="L2362" s="61" t="e">
        <f>VLOOKUP(K2362,[1]Mapping!$J$3:$Q$351,8,FALSE)</f>
        <v>#N/A</v>
      </c>
      <c r="M2362" t="s">
        <v>83</v>
      </c>
    </row>
    <row r="2363" spans="5:13" hidden="1" x14ac:dyDescent="0.35">
      <c r="E2363" s="81"/>
      <c r="I2363" s="83" t="e">
        <f>VLOOKUP(E2363,[1]Mapping!$A$3:$B$14,2,FALSE)</f>
        <v>#N/A</v>
      </c>
      <c r="J2363" s="84">
        <f t="shared" si="74"/>
        <v>0</v>
      </c>
      <c r="K2363" s="84">
        <f t="shared" si="75"/>
        <v>0</v>
      </c>
      <c r="L2363" s="61" t="e">
        <f>VLOOKUP(K2363,[1]Mapping!$J$3:$Q$351,8,FALSE)</f>
        <v>#N/A</v>
      </c>
      <c r="M2363" t="s">
        <v>83</v>
      </c>
    </row>
    <row r="2364" spans="5:13" hidden="1" x14ac:dyDescent="0.35">
      <c r="E2364" s="81"/>
      <c r="I2364" s="83" t="e">
        <f>VLOOKUP(E2364,[1]Mapping!$A$3:$B$14,2,FALSE)</f>
        <v>#N/A</v>
      </c>
      <c r="J2364" s="84">
        <f t="shared" si="74"/>
        <v>0</v>
      </c>
      <c r="K2364" s="84">
        <f t="shared" si="75"/>
        <v>0</v>
      </c>
      <c r="L2364" s="61" t="e">
        <f>VLOOKUP(K2364,[1]Mapping!$J$3:$Q$351,8,FALSE)</f>
        <v>#N/A</v>
      </c>
      <c r="M2364" t="s">
        <v>83</v>
      </c>
    </row>
    <row r="2365" spans="5:13" hidden="1" x14ac:dyDescent="0.35">
      <c r="E2365" s="81"/>
      <c r="I2365" s="83" t="e">
        <f>VLOOKUP(E2365,[1]Mapping!$A$3:$B$14,2,FALSE)</f>
        <v>#N/A</v>
      </c>
      <c r="J2365" s="84">
        <f t="shared" si="74"/>
        <v>0</v>
      </c>
      <c r="K2365" s="84">
        <f t="shared" si="75"/>
        <v>0</v>
      </c>
      <c r="L2365" s="61" t="e">
        <f>VLOOKUP(K2365,[1]Mapping!$J$3:$Q$351,8,FALSE)</f>
        <v>#N/A</v>
      </c>
      <c r="M2365" t="s">
        <v>83</v>
      </c>
    </row>
    <row r="2366" spans="5:13" hidden="1" x14ac:dyDescent="0.35">
      <c r="E2366" s="81"/>
      <c r="I2366" s="83" t="e">
        <f>VLOOKUP(E2366,[1]Mapping!$A$3:$B$14,2,FALSE)</f>
        <v>#N/A</v>
      </c>
      <c r="J2366" s="84">
        <f t="shared" si="74"/>
        <v>0</v>
      </c>
      <c r="K2366" s="84">
        <f t="shared" si="75"/>
        <v>0</v>
      </c>
      <c r="L2366" s="61" t="e">
        <f>VLOOKUP(K2366,[1]Mapping!$J$3:$Q$351,8,FALSE)</f>
        <v>#N/A</v>
      </c>
      <c r="M2366" t="s">
        <v>83</v>
      </c>
    </row>
    <row r="2367" spans="5:13" hidden="1" x14ac:dyDescent="0.35">
      <c r="E2367" s="81"/>
      <c r="I2367" s="83" t="e">
        <f>VLOOKUP(E2367,[1]Mapping!$A$3:$B$14,2,FALSE)</f>
        <v>#N/A</v>
      </c>
      <c r="J2367" s="84">
        <f t="shared" si="74"/>
        <v>0</v>
      </c>
      <c r="K2367" s="84">
        <f t="shared" si="75"/>
        <v>0</v>
      </c>
      <c r="L2367" s="61" t="e">
        <f>VLOOKUP(K2367,[1]Mapping!$J$3:$Q$351,8,FALSE)</f>
        <v>#N/A</v>
      </c>
      <c r="M2367" t="s">
        <v>83</v>
      </c>
    </row>
    <row r="2368" spans="5:13" hidden="1" x14ac:dyDescent="0.35">
      <c r="E2368" s="81"/>
      <c r="I2368" s="83" t="e">
        <f>VLOOKUP(E2368,[1]Mapping!$A$3:$B$14,2,FALSE)</f>
        <v>#N/A</v>
      </c>
      <c r="J2368" s="84">
        <f t="shared" si="74"/>
        <v>0</v>
      </c>
      <c r="K2368" s="84">
        <f t="shared" si="75"/>
        <v>0</v>
      </c>
      <c r="L2368" s="61" t="e">
        <f>VLOOKUP(K2368,[1]Mapping!$J$3:$Q$351,8,FALSE)</f>
        <v>#N/A</v>
      </c>
      <c r="M2368" t="s">
        <v>83</v>
      </c>
    </row>
    <row r="2369" spans="5:13" hidden="1" x14ac:dyDescent="0.35">
      <c r="E2369" s="81"/>
      <c r="I2369" s="83" t="e">
        <f>VLOOKUP(E2369,[1]Mapping!$A$3:$B$14,2,FALSE)</f>
        <v>#N/A</v>
      </c>
      <c r="J2369" s="84">
        <f t="shared" si="74"/>
        <v>0</v>
      </c>
      <c r="K2369" s="84">
        <f t="shared" si="75"/>
        <v>0</v>
      </c>
      <c r="L2369" s="61" t="e">
        <f>VLOOKUP(K2369,[1]Mapping!$J$3:$Q$351,8,FALSE)</f>
        <v>#N/A</v>
      </c>
      <c r="M2369" t="s">
        <v>83</v>
      </c>
    </row>
    <row r="2370" spans="5:13" hidden="1" x14ac:dyDescent="0.35">
      <c r="E2370" s="81"/>
      <c r="I2370" s="83" t="e">
        <f>VLOOKUP(E2370,[1]Mapping!$A$3:$B$14,2,FALSE)</f>
        <v>#N/A</v>
      </c>
      <c r="J2370" s="84">
        <f t="shared" si="74"/>
        <v>0</v>
      </c>
      <c r="K2370" s="84">
        <f t="shared" si="75"/>
        <v>0</v>
      </c>
      <c r="L2370" s="61" t="e">
        <f>VLOOKUP(K2370,[1]Mapping!$J$3:$Q$351,8,FALSE)</f>
        <v>#N/A</v>
      </c>
      <c r="M2370" t="s">
        <v>83</v>
      </c>
    </row>
    <row r="2371" spans="5:13" hidden="1" x14ac:dyDescent="0.35">
      <c r="E2371" s="81"/>
      <c r="I2371" s="83" t="e">
        <f>VLOOKUP(E2371,[1]Mapping!$A$3:$B$14,2,FALSE)</f>
        <v>#N/A</v>
      </c>
      <c r="J2371" s="84">
        <f t="shared" si="74"/>
        <v>0</v>
      </c>
      <c r="K2371" s="84">
        <f t="shared" si="75"/>
        <v>0</v>
      </c>
      <c r="L2371" s="61" t="e">
        <f>VLOOKUP(K2371,[1]Mapping!$J$3:$Q$351,8,FALSE)</f>
        <v>#N/A</v>
      </c>
      <c r="M2371" t="s">
        <v>83</v>
      </c>
    </row>
    <row r="2372" spans="5:13" hidden="1" x14ac:dyDescent="0.35">
      <c r="E2372" s="81"/>
      <c r="I2372" s="83" t="e">
        <f>VLOOKUP(E2372,[1]Mapping!$A$3:$B$14,2,FALSE)</f>
        <v>#N/A</v>
      </c>
      <c r="J2372" s="84">
        <f t="shared" ref="J2372:J2435" si="76">VALUE(A2372)</f>
        <v>0</v>
      </c>
      <c r="K2372" s="84">
        <f t="shared" ref="K2372:K2435" si="77">VALUE(C2372)</f>
        <v>0</v>
      </c>
      <c r="L2372" s="61" t="e">
        <f>VLOOKUP(K2372,[1]Mapping!$J$3:$Q$351,8,FALSE)</f>
        <v>#N/A</v>
      </c>
      <c r="M2372" t="s">
        <v>83</v>
      </c>
    </row>
    <row r="2373" spans="5:13" hidden="1" x14ac:dyDescent="0.35">
      <c r="E2373" s="81"/>
      <c r="I2373" s="83" t="e">
        <f>VLOOKUP(E2373,[1]Mapping!$A$3:$B$14,2,FALSE)</f>
        <v>#N/A</v>
      </c>
      <c r="J2373" s="84">
        <f t="shared" si="76"/>
        <v>0</v>
      </c>
      <c r="K2373" s="84">
        <f t="shared" si="77"/>
        <v>0</v>
      </c>
      <c r="L2373" s="61" t="e">
        <f>VLOOKUP(K2373,[1]Mapping!$J$3:$Q$351,8,FALSE)</f>
        <v>#N/A</v>
      </c>
      <c r="M2373" t="s">
        <v>83</v>
      </c>
    </row>
    <row r="2374" spans="5:13" hidden="1" x14ac:dyDescent="0.35">
      <c r="E2374" s="81"/>
      <c r="I2374" s="83" t="e">
        <f>VLOOKUP(E2374,[1]Mapping!$A$3:$B$14,2,FALSE)</f>
        <v>#N/A</v>
      </c>
      <c r="J2374" s="84">
        <f t="shared" si="76"/>
        <v>0</v>
      </c>
      <c r="K2374" s="84">
        <f t="shared" si="77"/>
        <v>0</v>
      </c>
      <c r="L2374" s="61" t="e">
        <f>VLOOKUP(K2374,[1]Mapping!$J$3:$Q$351,8,FALSE)</f>
        <v>#N/A</v>
      </c>
      <c r="M2374" t="s">
        <v>83</v>
      </c>
    </row>
    <row r="2375" spans="5:13" hidden="1" x14ac:dyDescent="0.35">
      <c r="E2375" s="81"/>
      <c r="I2375" s="83" t="e">
        <f>VLOOKUP(E2375,[1]Mapping!$A$3:$B$14,2,FALSE)</f>
        <v>#N/A</v>
      </c>
      <c r="J2375" s="84">
        <f t="shared" si="76"/>
        <v>0</v>
      </c>
      <c r="K2375" s="84">
        <f t="shared" si="77"/>
        <v>0</v>
      </c>
      <c r="L2375" s="61" t="e">
        <f>VLOOKUP(K2375,[1]Mapping!$J$3:$Q$351,8,FALSE)</f>
        <v>#N/A</v>
      </c>
      <c r="M2375" t="s">
        <v>83</v>
      </c>
    </row>
    <row r="2376" spans="5:13" hidden="1" x14ac:dyDescent="0.35">
      <c r="E2376" s="81"/>
      <c r="I2376" s="83" t="e">
        <f>VLOOKUP(E2376,[1]Mapping!$A$3:$B$14,2,FALSE)</f>
        <v>#N/A</v>
      </c>
      <c r="J2376" s="84">
        <f t="shared" si="76"/>
        <v>0</v>
      </c>
      <c r="K2376" s="84">
        <f t="shared" si="77"/>
        <v>0</v>
      </c>
      <c r="L2376" s="61" t="e">
        <f>VLOOKUP(K2376,[1]Mapping!$J$3:$Q$351,8,FALSE)</f>
        <v>#N/A</v>
      </c>
      <c r="M2376" t="s">
        <v>83</v>
      </c>
    </row>
    <row r="2377" spans="5:13" hidden="1" x14ac:dyDescent="0.35">
      <c r="E2377" s="81"/>
      <c r="I2377" s="83" t="e">
        <f>VLOOKUP(E2377,[1]Mapping!$A$3:$B$14,2,FALSE)</f>
        <v>#N/A</v>
      </c>
      <c r="J2377" s="84">
        <f t="shared" si="76"/>
        <v>0</v>
      </c>
      <c r="K2377" s="84">
        <f t="shared" si="77"/>
        <v>0</v>
      </c>
      <c r="L2377" s="61" t="e">
        <f>VLOOKUP(K2377,[1]Mapping!$J$3:$Q$351,8,FALSE)</f>
        <v>#N/A</v>
      </c>
      <c r="M2377" t="s">
        <v>83</v>
      </c>
    </row>
    <row r="2378" spans="5:13" hidden="1" x14ac:dyDescent="0.35">
      <c r="E2378" s="81"/>
      <c r="I2378" s="83" t="e">
        <f>VLOOKUP(E2378,[1]Mapping!$A$3:$B$14,2,FALSE)</f>
        <v>#N/A</v>
      </c>
      <c r="J2378" s="84">
        <f t="shared" si="76"/>
        <v>0</v>
      </c>
      <c r="K2378" s="84">
        <f t="shared" si="77"/>
        <v>0</v>
      </c>
      <c r="L2378" s="61" t="e">
        <f>VLOOKUP(K2378,[1]Mapping!$J$3:$Q$351,8,FALSE)</f>
        <v>#N/A</v>
      </c>
      <c r="M2378" t="s">
        <v>83</v>
      </c>
    </row>
    <row r="2379" spans="5:13" hidden="1" x14ac:dyDescent="0.35">
      <c r="E2379" s="81"/>
      <c r="I2379" s="83" t="e">
        <f>VLOOKUP(E2379,[1]Mapping!$A$3:$B$14,2,FALSE)</f>
        <v>#N/A</v>
      </c>
      <c r="J2379" s="84">
        <f t="shared" si="76"/>
        <v>0</v>
      </c>
      <c r="K2379" s="84">
        <f t="shared" si="77"/>
        <v>0</v>
      </c>
      <c r="L2379" s="61" t="e">
        <f>VLOOKUP(K2379,[1]Mapping!$J$3:$Q$351,8,FALSE)</f>
        <v>#N/A</v>
      </c>
      <c r="M2379" t="s">
        <v>83</v>
      </c>
    </row>
    <row r="2380" spans="5:13" hidden="1" x14ac:dyDescent="0.35">
      <c r="E2380" s="81"/>
      <c r="I2380" s="83" t="e">
        <f>VLOOKUP(E2380,[1]Mapping!$A$3:$B$14,2,FALSE)</f>
        <v>#N/A</v>
      </c>
      <c r="J2380" s="84">
        <f t="shared" si="76"/>
        <v>0</v>
      </c>
      <c r="K2380" s="84">
        <f t="shared" si="77"/>
        <v>0</v>
      </c>
      <c r="L2380" s="61" t="e">
        <f>VLOOKUP(K2380,[1]Mapping!$J$3:$Q$351,8,FALSE)</f>
        <v>#N/A</v>
      </c>
      <c r="M2380" t="s">
        <v>83</v>
      </c>
    </row>
    <row r="2381" spans="5:13" hidden="1" x14ac:dyDescent="0.35">
      <c r="E2381" s="81"/>
      <c r="I2381" s="83" t="e">
        <f>VLOOKUP(E2381,[1]Mapping!$A$3:$B$14,2,FALSE)</f>
        <v>#N/A</v>
      </c>
      <c r="J2381" s="84">
        <f t="shared" si="76"/>
        <v>0</v>
      </c>
      <c r="K2381" s="84">
        <f t="shared" si="77"/>
        <v>0</v>
      </c>
      <c r="L2381" s="61" t="e">
        <f>VLOOKUP(K2381,[1]Mapping!$J$3:$Q$351,8,FALSE)</f>
        <v>#N/A</v>
      </c>
      <c r="M2381" t="s">
        <v>83</v>
      </c>
    </row>
    <row r="2382" spans="5:13" hidden="1" x14ac:dyDescent="0.35">
      <c r="E2382" s="81"/>
      <c r="I2382" s="83" t="e">
        <f>VLOOKUP(E2382,[1]Mapping!$A$3:$B$14,2,FALSE)</f>
        <v>#N/A</v>
      </c>
      <c r="J2382" s="84">
        <f t="shared" si="76"/>
        <v>0</v>
      </c>
      <c r="K2382" s="84">
        <f t="shared" si="77"/>
        <v>0</v>
      </c>
      <c r="L2382" s="61" t="e">
        <f>VLOOKUP(K2382,[1]Mapping!$J$3:$Q$351,8,FALSE)</f>
        <v>#N/A</v>
      </c>
      <c r="M2382" t="s">
        <v>83</v>
      </c>
    </row>
    <row r="2383" spans="5:13" hidden="1" x14ac:dyDescent="0.35">
      <c r="E2383" s="81"/>
      <c r="I2383" s="83" t="e">
        <f>VLOOKUP(E2383,[1]Mapping!$A$3:$B$14,2,FALSE)</f>
        <v>#N/A</v>
      </c>
      <c r="J2383" s="84">
        <f t="shared" si="76"/>
        <v>0</v>
      </c>
      <c r="K2383" s="84">
        <f t="shared" si="77"/>
        <v>0</v>
      </c>
      <c r="L2383" s="61" t="e">
        <f>VLOOKUP(K2383,[1]Mapping!$J$3:$Q$351,8,FALSE)</f>
        <v>#N/A</v>
      </c>
      <c r="M2383" t="s">
        <v>83</v>
      </c>
    </row>
    <row r="2384" spans="5:13" hidden="1" x14ac:dyDescent="0.35">
      <c r="E2384" s="81"/>
      <c r="I2384" s="83" t="e">
        <f>VLOOKUP(E2384,[1]Mapping!$A$3:$B$14,2,FALSE)</f>
        <v>#N/A</v>
      </c>
      <c r="J2384" s="84">
        <f t="shared" si="76"/>
        <v>0</v>
      </c>
      <c r="K2384" s="84">
        <f t="shared" si="77"/>
        <v>0</v>
      </c>
      <c r="L2384" s="61" t="e">
        <f>VLOOKUP(K2384,[1]Mapping!$J$3:$Q$351,8,FALSE)</f>
        <v>#N/A</v>
      </c>
      <c r="M2384" t="s">
        <v>83</v>
      </c>
    </row>
    <row r="2385" spans="5:13" hidden="1" x14ac:dyDescent="0.35">
      <c r="E2385" s="81"/>
      <c r="I2385" s="83" t="e">
        <f>VLOOKUP(E2385,[1]Mapping!$A$3:$B$14,2,FALSE)</f>
        <v>#N/A</v>
      </c>
      <c r="J2385" s="84">
        <f t="shared" si="76"/>
        <v>0</v>
      </c>
      <c r="K2385" s="84">
        <f t="shared" si="77"/>
        <v>0</v>
      </c>
      <c r="L2385" s="61" t="e">
        <f>VLOOKUP(K2385,[1]Mapping!$J$3:$Q$351,8,FALSE)</f>
        <v>#N/A</v>
      </c>
      <c r="M2385" t="s">
        <v>83</v>
      </c>
    </row>
    <row r="2386" spans="5:13" hidden="1" x14ac:dyDescent="0.35">
      <c r="E2386" s="81"/>
      <c r="I2386" s="83" t="e">
        <f>VLOOKUP(E2386,[1]Mapping!$A$3:$B$14,2,FALSE)</f>
        <v>#N/A</v>
      </c>
      <c r="J2386" s="84">
        <f t="shared" si="76"/>
        <v>0</v>
      </c>
      <c r="K2386" s="84">
        <f t="shared" si="77"/>
        <v>0</v>
      </c>
      <c r="L2386" s="61" t="e">
        <f>VLOOKUP(K2386,[1]Mapping!$J$3:$Q$351,8,FALSE)</f>
        <v>#N/A</v>
      </c>
      <c r="M2386" t="s">
        <v>83</v>
      </c>
    </row>
    <row r="2387" spans="5:13" hidden="1" x14ac:dyDescent="0.35">
      <c r="E2387" s="81"/>
      <c r="I2387" s="83" t="e">
        <f>VLOOKUP(E2387,[1]Mapping!$A$3:$B$14,2,FALSE)</f>
        <v>#N/A</v>
      </c>
      <c r="J2387" s="84">
        <f t="shared" si="76"/>
        <v>0</v>
      </c>
      <c r="K2387" s="84">
        <f t="shared" si="77"/>
        <v>0</v>
      </c>
      <c r="L2387" s="61" t="e">
        <f>VLOOKUP(K2387,[1]Mapping!$J$3:$Q$351,8,FALSE)</f>
        <v>#N/A</v>
      </c>
      <c r="M2387" t="s">
        <v>83</v>
      </c>
    </row>
    <row r="2388" spans="5:13" hidden="1" x14ac:dyDescent="0.35">
      <c r="E2388" s="81"/>
      <c r="I2388" s="83" t="e">
        <f>VLOOKUP(E2388,[1]Mapping!$A$3:$B$14,2,FALSE)</f>
        <v>#N/A</v>
      </c>
      <c r="J2388" s="84">
        <f t="shared" si="76"/>
        <v>0</v>
      </c>
      <c r="K2388" s="84">
        <f t="shared" si="77"/>
        <v>0</v>
      </c>
      <c r="L2388" s="61" t="e">
        <f>VLOOKUP(K2388,[1]Mapping!$J$3:$Q$351,8,FALSE)</f>
        <v>#N/A</v>
      </c>
      <c r="M2388" t="s">
        <v>83</v>
      </c>
    </row>
    <row r="2389" spans="5:13" hidden="1" x14ac:dyDescent="0.35">
      <c r="E2389" s="81"/>
      <c r="I2389" s="83" t="e">
        <f>VLOOKUP(E2389,[1]Mapping!$A$3:$B$14,2,FALSE)</f>
        <v>#N/A</v>
      </c>
      <c r="J2389" s="84">
        <f t="shared" si="76"/>
        <v>0</v>
      </c>
      <c r="K2389" s="84">
        <f t="shared" si="77"/>
        <v>0</v>
      </c>
      <c r="L2389" s="61" t="e">
        <f>VLOOKUP(K2389,[1]Mapping!$J$3:$Q$351,8,FALSE)</f>
        <v>#N/A</v>
      </c>
      <c r="M2389" t="s">
        <v>83</v>
      </c>
    </row>
    <row r="2390" spans="5:13" hidden="1" x14ac:dyDescent="0.35">
      <c r="E2390" s="81"/>
      <c r="I2390" s="83" t="e">
        <f>VLOOKUP(E2390,[1]Mapping!$A$3:$B$14,2,FALSE)</f>
        <v>#N/A</v>
      </c>
      <c r="J2390" s="84">
        <f t="shared" si="76"/>
        <v>0</v>
      </c>
      <c r="K2390" s="84">
        <f t="shared" si="77"/>
        <v>0</v>
      </c>
      <c r="L2390" s="61" t="e">
        <f>VLOOKUP(K2390,[1]Mapping!$J$3:$Q$351,8,FALSE)</f>
        <v>#N/A</v>
      </c>
      <c r="M2390" t="s">
        <v>83</v>
      </c>
    </row>
    <row r="2391" spans="5:13" hidden="1" x14ac:dyDescent="0.35">
      <c r="E2391" s="81"/>
      <c r="I2391" s="83" t="e">
        <f>VLOOKUP(E2391,[1]Mapping!$A$3:$B$14,2,FALSE)</f>
        <v>#N/A</v>
      </c>
      <c r="J2391" s="84">
        <f t="shared" si="76"/>
        <v>0</v>
      </c>
      <c r="K2391" s="84">
        <f t="shared" si="77"/>
        <v>0</v>
      </c>
      <c r="L2391" s="61" t="e">
        <f>VLOOKUP(K2391,[1]Mapping!$J$3:$Q$351,8,FALSE)</f>
        <v>#N/A</v>
      </c>
      <c r="M2391" t="s">
        <v>83</v>
      </c>
    </row>
    <row r="2392" spans="5:13" hidden="1" x14ac:dyDescent="0.35">
      <c r="E2392" s="81"/>
      <c r="I2392" s="83" t="e">
        <f>VLOOKUP(E2392,[1]Mapping!$A$3:$B$14,2,FALSE)</f>
        <v>#N/A</v>
      </c>
      <c r="J2392" s="84">
        <f t="shared" si="76"/>
        <v>0</v>
      </c>
      <c r="K2392" s="84">
        <f t="shared" si="77"/>
        <v>0</v>
      </c>
      <c r="L2392" s="61" t="e">
        <f>VLOOKUP(K2392,[1]Mapping!$J$3:$Q$351,8,FALSE)</f>
        <v>#N/A</v>
      </c>
      <c r="M2392" t="s">
        <v>83</v>
      </c>
    </row>
    <row r="2393" spans="5:13" hidden="1" x14ac:dyDescent="0.35">
      <c r="E2393" s="81"/>
      <c r="I2393" s="83" t="e">
        <f>VLOOKUP(E2393,[1]Mapping!$A$3:$B$14,2,FALSE)</f>
        <v>#N/A</v>
      </c>
      <c r="J2393" s="84">
        <f t="shared" si="76"/>
        <v>0</v>
      </c>
      <c r="K2393" s="84">
        <f t="shared" si="77"/>
        <v>0</v>
      </c>
      <c r="L2393" s="61" t="e">
        <f>VLOOKUP(K2393,[1]Mapping!$J$3:$Q$351,8,FALSE)</f>
        <v>#N/A</v>
      </c>
      <c r="M2393" t="s">
        <v>83</v>
      </c>
    </row>
    <row r="2394" spans="5:13" hidden="1" x14ac:dyDescent="0.35">
      <c r="E2394" s="81"/>
      <c r="I2394" s="83" t="e">
        <f>VLOOKUP(E2394,[1]Mapping!$A$3:$B$14,2,FALSE)</f>
        <v>#N/A</v>
      </c>
      <c r="J2394" s="84">
        <f t="shared" si="76"/>
        <v>0</v>
      </c>
      <c r="K2394" s="84">
        <f t="shared" si="77"/>
        <v>0</v>
      </c>
      <c r="L2394" s="61" t="e">
        <f>VLOOKUP(K2394,[1]Mapping!$J$3:$Q$351,8,FALSE)</f>
        <v>#N/A</v>
      </c>
      <c r="M2394" t="s">
        <v>83</v>
      </c>
    </row>
    <row r="2395" spans="5:13" hidden="1" x14ac:dyDescent="0.35">
      <c r="E2395" s="81"/>
      <c r="I2395" s="83" t="e">
        <f>VLOOKUP(E2395,[1]Mapping!$A$3:$B$14,2,FALSE)</f>
        <v>#N/A</v>
      </c>
      <c r="J2395" s="84">
        <f t="shared" si="76"/>
        <v>0</v>
      </c>
      <c r="K2395" s="84">
        <f t="shared" si="77"/>
        <v>0</v>
      </c>
      <c r="L2395" s="61" t="e">
        <f>VLOOKUP(K2395,[1]Mapping!$J$3:$Q$351,8,FALSE)</f>
        <v>#N/A</v>
      </c>
      <c r="M2395" t="s">
        <v>83</v>
      </c>
    </row>
    <row r="2396" spans="5:13" hidden="1" x14ac:dyDescent="0.35">
      <c r="E2396" s="81"/>
      <c r="I2396" s="83" t="e">
        <f>VLOOKUP(E2396,[1]Mapping!$A$3:$B$14,2,FALSE)</f>
        <v>#N/A</v>
      </c>
      <c r="J2396" s="84">
        <f t="shared" si="76"/>
        <v>0</v>
      </c>
      <c r="K2396" s="84">
        <f t="shared" si="77"/>
        <v>0</v>
      </c>
      <c r="L2396" s="61" t="e">
        <f>VLOOKUP(K2396,[1]Mapping!$J$3:$Q$351,8,FALSE)</f>
        <v>#N/A</v>
      </c>
      <c r="M2396" t="s">
        <v>83</v>
      </c>
    </row>
    <row r="2397" spans="5:13" hidden="1" x14ac:dyDescent="0.35">
      <c r="E2397" s="81"/>
      <c r="I2397" s="83" t="e">
        <f>VLOOKUP(E2397,[1]Mapping!$A$3:$B$14,2,FALSE)</f>
        <v>#N/A</v>
      </c>
      <c r="J2397" s="84">
        <f t="shared" si="76"/>
        <v>0</v>
      </c>
      <c r="K2397" s="84">
        <f t="shared" si="77"/>
        <v>0</v>
      </c>
      <c r="L2397" s="61" t="e">
        <f>VLOOKUP(K2397,[1]Mapping!$J$3:$Q$351,8,FALSE)</f>
        <v>#N/A</v>
      </c>
      <c r="M2397" t="s">
        <v>83</v>
      </c>
    </row>
    <row r="2398" spans="5:13" hidden="1" x14ac:dyDescent="0.35">
      <c r="E2398" s="81"/>
      <c r="I2398" s="83" t="e">
        <f>VLOOKUP(E2398,[1]Mapping!$A$3:$B$14,2,FALSE)</f>
        <v>#N/A</v>
      </c>
      <c r="J2398" s="84">
        <f t="shared" si="76"/>
        <v>0</v>
      </c>
      <c r="K2398" s="84">
        <f t="shared" si="77"/>
        <v>0</v>
      </c>
      <c r="L2398" s="61" t="e">
        <f>VLOOKUP(K2398,[1]Mapping!$J$3:$Q$351,8,FALSE)</f>
        <v>#N/A</v>
      </c>
      <c r="M2398" t="s">
        <v>83</v>
      </c>
    </row>
    <row r="2399" spans="5:13" hidden="1" x14ac:dyDescent="0.35">
      <c r="E2399" s="81"/>
      <c r="I2399" s="83" t="e">
        <f>VLOOKUP(E2399,[1]Mapping!$A$3:$B$14,2,FALSE)</f>
        <v>#N/A</v>
      </c>
      <c r="J2399" s="84">
        <f t="shared" si="76"/>
        <v>0</v>
      </c>
      <c r="K2399" s="84">
        <f t="shared" si="77"/>
        <v>0</v>
      </c>
      <c r="L2399" s="61" t="e">
        <f>VLOOKUP(K2399,[1]Mapping!$J$3:$Q$351,8,FALSE)</f>
        <v>#N/A</v>
      </c>
      <c r="M2399" t="s">
        <v>83</v>
      </c>
    </row>
    <row r="2400" spans="5:13" hidden="1" x14ac:dyDescent="0.35">
      <c r="E2400" s="81"/>
      <c r="I2400" s="83" t="e">
        <f>VLOOKUP(E2400,[1]Mapping!$A$3:$B$14,2,FALSE)</f>
        <v>#N/A</v>
      </c>
      <c r="J2400" s="84">
        <f t="shared" si="76"/>
        <v>0</v>
      </c>
      <c r="K2400" s="84">
        <f t="shared" si="77"/>
        <v>0</v>
      </c>
      <c r="L2400" s="61" t="e">
        <f>VLOOKUP(K2400,[1]Mapping!$J$3:$Q$351,8,FALSE)</f>
        <v>#N/A</v>
      </c>
      <c r="M2400" t="s">
        <v>83</v>
      </c>
    </row>
    <row r="2401" spans="5:13" hidden="1" x14ac:dyDescent="0.35">
      <c r="E2401" s="81"/>
      <c r="I2401" s="83" t="e">
        <f>VLOOKUP(E2401,[1]Mapping!$A$3:$B$14,2,FALSE)</f>
        <v>#N/A</v>
      </c>
      <c r="J2401" s="84">
        <f t="shared" si="76"/>
        <v>0</v>
      </c>
      <c r="K2401" s="84">
        <f t="shared" si="77"/>
        <v>0</v>
      </c>
      <c r="L2401" s="61" t="e">
        <f>VLOOKUP(K2401,[1]Mapping!$J$3:$Q$351,8,FALSE)</f>
        <v>#N/A</v>
      </c>
      <c r="M2401" t="s">
        <v>83</v>
      </c>
    </row>
    <row r="2402" spans="5:13" hidden="1" x14ac:dyDescent="0.35">
      <c r="E2402" s="81"/>
      <c r="I2402" s="83" t="e">
        <f>VLOOKUP(E2402,[1]Mapping!$A$3:$B$14,2,FALSE)</f>
        <v>#N/A</v>
      </c>
      <c r="J2402" s="84">
        <f t="shared" si="76"/>
        <v>0</v>
      </c>
      <c r="K2402" s="84">
        <f t="shared" si="77"/>
        <v>0</v>
      </c>
      <c r="L2402" s="61" t="e">
        <f>VLOOKUP(K2402,[1]Mapping!$J$3:$Q$351,8,FALSE)</f>
        <v>#N/A</v>
      </c>
      <c r="M2402" t="s">
        <v>83</v>
      </c>
    </row>
    <row r="2403" spans="5:13" hidden="1" x14ac:dyDescent="0.35">
      <c r="E2403" s="81"/>
      <c r="I2403" s="83" t="e">
        <f>VLOOKUP(E2403,[1]Mapping!$A$3:$B$14,2,FALSE)</f>
        <v>#N/A</v>
      </c>
      <c r="J2403" s="84">
        <f t="shared" si="76"/>
        <v>0</v>
      </c>
      <c r="K2403" s="84">
        <f t="shared" si="77"/>
        <v>0</v>
      </c>
      <c r="L2403" s="61" t="e">
        <f>VLOOKUP(K2403,[1]Mapping!$J$3:$Q$351,8,FALSE)</f>
        <v>#N/A</v>
      </c>
      <c r="M2403" t="s">
        <v>83</v>
      </c>
    </row>
    <row r="2404" spans="5:13" hidden="1" x14ac:dyDescent="0.35">
      <c r="E2404" s="81"/>
      <c r="I2404" s="83" t="e">
        <f>VLOOKUP(E2404,[1]Mapping!$A$3:$B$14,2,FALSE)</f>
        <v>#N/A</v>
      </c>
      <c r="J2404" s="84">
        <f t="shared" si="76"/>
        <v>0</v>
      </c>
      <c r="K2404" s="84">
        <f t="shared" si="77"/>
        <v>0</v>
      </c>
      <c r="L2404" s="61" t="e">
        <f>VLOOKUP(K2404,[1]Mapping!$J$3:$Q$351,8,FALSE)</f>
        <v>#N/A</v>
      </c>
      <c r="M2404" t="s">
        <v>83</v>
      </c>
    </row>
    <row r="2405" spans="5:13" hidden="1" x14ac:dyDescent="0.35">
      <c r="E2405" s="81"/>
      <c r="I2405" s="83" t="e">
        <f>VLOOKUP(E2405,[1]Mapping!$A$3:$B$14,2,FALSE)</f>
        <v>#N/A</v>
      </c>
      <c r="J2405" s="84">
        <f t="shared" si="76"/>
        <v>0</v>
      </c>
      <c r="K2405" s="84">
        <f t="shared" si="77"/>
        <v>0</v>
      </c>
      <c r="L2405" s="61" t="e">
        <f>VLOOKUP(K2405,[1]Mapping!$J$3:$Q$351,8,FALSE)</f>
        <v>#N/A</v>
      </c>
      <c r="M2405" t="s">
        <v>83</v>
      </c>
    </row>
    <row r="2406" spans="5:13" hidden="1" x14ac:dyDescent="0.35">
      <c r="E2406" s="81"/>
      <c r="I2406" s="83" t="e">
        <f>VLOOKUP(E2406,[1]Mapping!$A$3:$B$14,2,FALSE)</f>
        <v>#N/A</v>
      </c>
      <c r="J2406" s="84">
        <f t="shared" si="76"/>
        <v>0</v>
      </c>
      <c r="K2406" s="84">
        <f t="shared" si="77"/>
        <v>0</v>
      </c>
      <c r="L2406" s="61" t="e">
        <f>VLOOKUP(K2406,[1]Mapping!$J$3:$Q$351,8,FALSE)</f>
        <v>#N/A</v>
      </c>
      <c r="M2406" t="s">
        <v>83</v>
      </c>
    </row>
    <row r="2407" spans="5:13" hidden="1" x14ac:dyDescent="0.35">
      <c r="E2407" s="81"/>
      <c r="I2407" s="83" t="e">
        <f>VLOOKUP(E2407,[1]Mapping!$A$3:$B$14,2,FALSE)</f>
        <v>#N/A</v>
      </c>
      <c r="J2407" s="84">
        <f t="shared" si="76"/>
        <v>0</v>
      </c>
      <c r="K2407" s="84">
        <f t="shared" si="77"/>
        <v>0</v>
      </c>
      <c r="L2407" s="61" t="e">
        <f>VLOOKUP(K2407,[1]Mapping!$J$3:$Q$351,8,FALSE)</f>
        <v>#N/A</v>
      </c>
      <c r="M2407" t="s">
        <v>83</v>
      </c>
    </row>
    <row r="2408" spans="5:13" hidden="1" x14ac:dyDescent="0.35">
      <c r="E2408" s="81"/>
      <c r="I2408" s="83" t="e">
        <f>VLOOKUP(E2408,[1]Mapping!$A$3:$B$14,2,FALSE)</f>
        <v>#N/A</v>
      </c>
      <c r="J2408" s="84">
        <f t="shared" si="76"/>
        <v>0</v>
      </c>
      <c r="K2408" s="84">
        <f t="shared" si="77"/>
        <v>0</v>
      </c>
      <c r="L2408" s="61" t="e">
        <f>VLOOKUP(K2408,[1]Mapping!$J$3:$Q$351,8,FALSE)</f>
        <v>#N/A</v>
      </c>
      <c r="M2408" t="s">
        <v>83</v>
      </c>
    </row>
    <row r="2409" spans="5:13" hidden="1" x14ac:dyDescent="0.35">
      <c r="E2409" s="81"/>
      <c r="I2409" s="83" t="e">
        <f>VLOOKUP(E2409,[1]Mapping!$A$3:$B$14,2,FALSE)</f>
        <v>#N/A</v>
      </c>
      <c r="J2409" s="84">
        <f t="shared" si="76"/>
        <v>0</v>
      </c>
      <c r="K2409" s="84">
        <f t="shared" si="77"/>
        <v>0</v>
      </c>
      <c r="L2409" s="61" t="e">
        <f>VLOOKUP(K2409,[1]Mapping!$J$3:$Q$351,8,FALSE)</f>
        <v>#N/A</v>
      </c>
      <c r="M2409" t="s">
        <v>83</v>
      </c>
    </row>
    <row r="2410" spans="5:13" hidden="1" x14ac:dyDescent="0.35">
      <c r="E2410" s="81"/>
      <c r="I2410" s="83" t="e">
        <f>VLOOKUP(E2410,[1]Mapping!$A$3:$B$14,2,FALSE)</f>
        <v>#N/A</v>
      </c>
      <c r="J2410" s="84">
        <f t="shared" si="76"/>
        <v>0</v>
      </c>
      <c r="K2410" s="84">
        <f t="shared" si="77"/>
        <v>0</v>
      </c>
      <c r="L2410" s="61" t="e">
        <f>VLOOKUP(K2410,[1]Mapping!$J$3:$Q$351,8,FALSE)</f>
        <v>#N/A</v>
      </c>
      <c r="M2410" t="s">
        <v>83</v>
      </c>
    </row>
    <row r="2411" spans="5:13" hidden="1" x14ac:dyDescent="0.35">
      <c r="E2411" s="81"/>
      <c r="I2411" s="83" t="e">
        <f>VLOOKUP(E2411,[1]Mapping!$A$3:$B$14,2,FALSE)</f>
        <v>#N/A</v>
      </c>
      <c r="J2411" s="84">
        <f t="shared" si="76"/>
        <v>0</v>
      </c>
      <c r="K2411" s="84">
        <f t="shared" si="77"/>
        <v>0</v>
      </c>
      <c r="L2411" s="61" t="e">
        <f>VLOOKUP(K2411,[1]Mapping!$J$3:$Q$351,8,FALSE)</f>
        <v>#N/A</v>
      </c>
      <c r="M2411" t="s">
        <v>83</v>
      </c>
    </row>
    <row r="2412" spans="5:13" hidden="1" x14ac:dyDescent="0.35">
      <c r="E2412" s="81"/>
      <c r="I2412" s="83" t="e">
        <f>VLOOKUP(E2412,[1]Mapping!$A$3:$B$14,2,FALSE)</f>
        <v>#N/A</v>
      </c>
      <c r="J2412" s="84">
        <f t="shared" si="76"/>
        <v>0</v>
      </c>
      <c r="K2412" s="84">
        <f t="shared" si="77"/>
        <v>0</v>
      </c>
      <c r="L2412" s="61" t="e">
        <f>VLOOKUP(K2412,[1]Mapping!$J$3:$Q$351,8,FALSE)</f>
        <v>#N/A</v>
      </c>
      <c r="M2412" t="s">
        <v>83</v>
      </c>
    </row>
    <row r="2413" spans="5:13" hidden="1" x14ac:dyDescent="0.35">
      <c r="E2413" s="81"/>
      <c r="I2413" s="83" t="e">
        <f>VLOOKUP(E2413,[1]Mapping!$A$3:$B$14,2,FALSE)</f>
        <v>#N/A</v>
      </c>
      <c r="J2413" s="84">
        <f t="shared" si="76"/>
        <v>0</v>
      </c>
      <c r="K2413" s="84">
        <f t="shared" si="77"/>
        <v>0</v>
      </c>
      <c r="L2413" s="61" t="e">
        <f>VLOOKUP(K2413,[1]Mapping!$J$3:$Q$351,8,FALSE)</f>
        <v>#N/A</v>
      </c>
      <c r="M2413" t="s">
        <v>83</v>
      </c>
    </row>
    <row r="2414" spans="5:13" hidden="1" x14ac:dyDescent="0.35">
      <c r="E2414" s="81"/>
      <c r="I2414" s="83" t="e">
        <f>VLOOKUP(E2414,[1]Mapping!$A$3:$B$14,2,FALSE)</f>
        <v>#N/A</v>
      </c>
      <c r="J2414" s="84">
        <f t="shared" si="76"/>
        <v>0</v>
      </c>
      <c r="K2414" s="84">
        <f t="shared" si="77"/>
        <v>0</v>
      </c>
      <c r="L2414" s="61" t="e">
        <f>VLOOKUP(K2414,[1]Mapping!$J$3:$Q$351,8,FALSE)</f>
        <v>#N/A</v>
      </c>
      <c r="M2414" t="s">
        <v>83</v>
      </c>
    </row>
    <row r="2415" spans="5:13" hidden="1" x14ac:dyDescent="0.35">
      <c r="E2415" s="81"/>
      <c r="I2415" s="83" t="e">
        <f>VLOOKUP(E2415,[1]Mapping!$A$3:$B$14,2,FALSE)</f>
        <v>#N/A</v>
      </c>
      <c r="J2415" s="84">
        <f t="shared" si="76"/>
        <v>0</v>
      </c>
      <c r="K2415" s="84">
        <f t="shared" si="77"/>
        <v>0</v>
      </c>
      <c r="L2415" s="61" t="e">
        <f>VLOOKUP(K2415,[1]Mapping!$J$3:$Q$351,8,FALSE)</f>
        <v>#N/A</v>
      </c>
      <c r="M2415" t="s">
        <v>83</v>
      </c>
    </row>
    <row r="2416" spans="5:13" hidden="1" x14ac:dyDescent="0.35">
      <c r="E2416" s="81"/>
      <c r="I2416" s="83" t="e">
        <f>VLOOKUP(E2416,[1]Mapping!$A$3:$B$14,2,FALSE)</f>
        <v>#N/A</v>
      </c>
      <c r="J2416" s="84">
        <f t="shared" si="76"/>
        <v>0</v>
      </c>
      <c r="K2416" s="84">
        <f t="shared" si="77"/>
        <v>0</v>
      </c>
      <c r="L2416" s="61" t="e">
        <f>VLOOKUP(K2416,[1]Mapping!$J$3:$Q$351,8,FALSE)</f>
        <v>#N/A</v>
      </c>
      <c r="M2416" t="s">
        <v>83</v>
      </c>
    </row>
    <row r="2417" spans="5:13" hidden="1" x14ac:dyDescent="0.35">
      <c r="E2417" s="81"/>
      <c r="I2417" s="83" t="e">
        <f>VLOOKUP(E2417,[1]Mapping!$A$3:$B$14,2,FALSE)</f>
        <v>#N/A</v>
      </c>
      <c r="J2417" s="84">
        <f t="shared" si="76"/>
        <v>0</v>
      </c>
      <c r="K2417" s="84">
        <f t="shared" si="77"/>
        <v>0</v>
      </c>
      <c r="L2417" s="61" t="e">
        <f>VLOOKUP(K2417,[1]Mapping!$J$3:$Q$351,8,FALSE)</f>
        <v>#N/A</v>
      </c>
      <c r="M2417" t="s">
        <v>83</v>
      </c>
    </row>
    <row r="2418" spans="5:13" hidden="1" x14ac:dyDescent="0.35">
      <c r="E2418" s="81"/>
      <c r="I2418" s="83" t="e">
        <f>VLOOKUP(E2418,[1]Mapping!$A$3:$B$14,2,FALSE)</f>
        <v>#N/A</v>
      </c>
      <c r="J2418" s="84">
        <f t="shared" si="76"/>
        <v>0</v>
      </c>
      <c r="K2418" s="84">
        <f t="shared" si="77"/>
        <v>0</v>
      </c>
      <c r="L2418" s="61" t="e">
        <f>VLOOKUP(K2418,[1]Mapping!$J$3:$Q$351,8,FALSE)</f>
        <v>#N/A</v>
      </c>
      <c r="M2418" t="s">
        <v>83</v>
      </c>
    </row>
    <row r="2419" spans="5:13" hidden="1" x14ac:dyDescent="0.35">
      <c r="E2419" s="81"/>
      <c r="I2419" s="83" t="e">
        <f>VLOOKUP(E2419,[1]Mapping!$A$3:$B$14,2,FALSE)</f>
        <v>#N/A</v>
      </c>
      <c r="J2419" s="84">
        <f t="shared" si="76"/>
        <v>0</v>
      </c>
      <c r="K2419" s="84">
        <f t="shared" si="77"/>
        <v>0</v>
      </c>
      <c r="L2419" s="61" t="e">
        <f>VLOOKUP(K2419,[1]Mapping!$J$3:$Q$351,8,FALSE)</f>
        <v>#N/A</v>
      </c>
      <c r="M2419" t="s">
        <v>83</v>
      </c>
    </row>
    <row r="2420" spans="5:13" hidden="1" x14ac:dyDescent="0.35">
      <c r="E2420" s="81"/>
      <c r="I2420" s="83" t="e">
        <f>VLOOKUP(E2420,[1]Mapping!$A$3:$B$14,2,FALSE)</f>
        <v>#N/A</v>
      </c>
      <c r="J2420" s="84">
        <f t="shared" si="76"/>
        <v>0</v>
      </c>
      <c r="K2420" s="84">
        <f t="shared" si="77"/>
        <v>0</v>
      </c>
      <c r="L2420" s="61" t="e">
        <f>VLOOKUP(K2420,[1]Mapping!$J$3:$Q$351,8,FALSE)</f>
        <v>#N/A</v>
      </c>
      <c r="M2420" t="s">
        <v>83</v>
      </c>
    </row>
    <row r="2421" spans="5:13" hidden="1" x14ac:dyDescent="0.35">
      <c r="E2421" s="81"/>
      <c r="I2421" s="83" t="e">
        <f>VLOOKUP(E2421,[1]Mapping!$A$3:$B$14,2,FALSE)</f>
        <v>#N/A</v>
      </c>
      <c r="J2421" s="84">
        <f t="shared" si="76"/>
        <v>0</v>
      </c>
      <c r="K2421" s="84">
        <f t="shared" si="77"/>
        <v>0</v>
      </c>
      <c r="L2421" s="61" t="e">
        <f>VLOOKUP(K2421,[1]Mapping!$J$3:$Q$351,8,FALSE)</f>
        <v>#N/A</v>
      </c>
      <c r="M2421" t="s">
        <v>83</v>
      </c>
    </row>
    <row r="2422" spans="5:13" hidden="1" x14ac:dyDescent="0.35">
      <c r="E2422" s="81"/>
      <c r="I2422" s="83" t="e">
        <f>VLOOKUP(E2422,[1]Mapping!$A$3:$B$14,2,FALSE)</f>
        <v>#N/A</v>
      </c>
      <c r="J2422" s="84">
        <f t="shared" si="76"/>
        <v>0</v>
      </c>
      <c r="K2422" s="84">
        <f t="shared" si="77"/>
        <v>0</v>
      </c>
      <c r="L2422" s="61" t="e">
        <f>VLOOKUP(K2422,[1]Mapping!$J$3:$Q$351,8,FALSE)</f>
        <v>#N/A</v>
      </c>
      <c r="M2422" t="s">
        <v>83</v>
      </c>
    </row>
    <row r="2423" spans="5:13" hidden="1" x14ac:dyDescent="0.35">
      <c r="E2423" s="81"/>
      <c r="I2423" s="83" t="e">
        <f>VLOOKUP(E2423,[1]Mapping!$A$3:$B$14,2,FALSE)</f>
        <v>#N/A</v>
      </c>
      <c r="J2423" s="84">
        <f t="shared" si="76"/>
        <v>0</v>
      </c>
      <c r="K2423" s="84">
        <f t="shared" si="77"/>
        <v>0</v>
      </c>
      <c r="L2423" s="61" t="e">
        <f>VLOOKUP(K2423,[1]Mapping!$J$3:$Q$351,8,FALSE)</f>
        <v>#N/A</v>
      </c>
      <c r="M2423" t="s">
        <v>83</v>
      </c>
    </row>
    <row r="2424" spans="5:13" hidden="1" x14ac:dyDescent="0.35">
      <c r="E2424" s="81"/>
      <c r="I2424" s="83" t="e">
        <f>VLOOKUP(E2424,[1]Mapping!$A$3:$B$14,2,FALSE)</f>
        <v>#N/A</v>
      </c>
      <c r="J2424" s="84">
        <f t="shared" si="76"/>
        <v>0</v>
      </c>
      <c r="K2424" s="84">
        <f t="shared" si="77"/>
        <v>0</v>
      </c>
      <c r="L2424" s="61" t="e">
        <f>VLOOKUP(K2424,[1]Mapping!$J$3:$Q$351,8,FALSE)</f>
        <v>#N/A</v>
      </c>
      <c r="M2424" t="s">
        <v>83</v>
      </c>
    </row>
    <row r="2425" spans="5:13" hidden="1" x14ac:dyDescent="0.35">
      <c r="E2425" s="81"/>
      <c r="I2425" s="83" t="e">
        <f>VLOOKUP(E2425,[1]Mapping!$A$3:$B$14,2,FALSE)</f>
        <v>#N/A</v>
      </c>
      <c r="J2425" s="84">
        <f t="shared" si="76"/>
        <v>0</v>
      </c>
      <c r="K2425" s="84">
        <f t="shared" si="77"/>
        <v>0</v>
      </c>
      <c r="L2425" s="61" t="e">
        <f>VLOOKUP(K2425,[1]Mapping!$J$3:$Q$351,8,FALSE)</f>
        <v>#N/A</v>
      </c>
      <c r="M2425" t="s">
        <v>83</v>
      </c>
    </row>
    <row r="2426" spans="5:13" hidden="1" x14ac:dyDescent="0.35">
      <c r="E2426" s="81"/>
      <c r="I2426" s="83" t="e">
        <f>VLOOKUP(E2426,[1]Mapping!$A$3:$B$14,2,FALSE)</f>
        <v>#N/A</v>
      </c>
      <c r="J2426" s="84">
        <f t="shared" si="76"/>
        <v>0</v>
      </c>
      <c r="K2426" s="84">
        <f t="shared" si="77"/>
        <v>0</v>
      </c>
      <c r="L2426" s="61" t="e">
        <f>VLOOKUP(K2426,[1]Mapping!$J$3:$Q$351,8,FALSE)</f>
        <v>#N/A</v>
      </c>
      <c r="M2426" t="s">
        <v>83</v>
      </c>
    </row>
    <row r="2427" spans="5:13" hidden="1" x14ac:dyDescent="0.35">
      <c r="E2427" s="81"/>
      <c r="I2427" s="83" t="e">
        <f>VLOOKUP(E2427,[1]Mapping!$A$3:$B$14,2,FALSE)</f>
        <v>#N/A</v>
      </c>
      <c r="J2427" s="84">
        <f t="shared" si="76"/>
        <v>0</v>
      </c>
      <c r="K2427" s="84">
        <f t="shared" si="77"/>
        <v>0</v>
      </c>
      <c r="L2427" s="61" t="e">
        <f>VLOOKUP(K2427,[1]Mapping!$J$3:$Q$351,8,FALSE)</f>
        <v>#N/A</v>
      </c>
      <c r="M2427" t="s">
        <v>83</v>
      </c>
    </row>
    <row r="2428" spans="5:13" hidden="1" x14ac:dyDescent="0.35">
      <c r="E2428" s="81"/>
      <c r="I2428" s="83" t="e">
        <f>VLOOKUP(E2428,[1]Mapping!$A$3:$B$14,2,FALSE)</f>
        <v>#N/A</v>
      </c>
      <c r="J2428" s="84">
        <f t="shared" si="76"/>
        <v>0</v>
      </c>
      <c r="K2428" s="84">
        <f t="shared" si="77"/>
        <v>0</v>
      </c>
      <c r="L2428" s="61" t="e">
        <f>VLOOKUP(K2428,[1]Mapping!$J$3:$Q$351,8,FALSE)</f>
        <v>#N/A</v>
      </c>
      <c r="M2428" t="s">
        <v>83</v>
      </c>
    </row>
    <row r="2429" spans="5:13" hidden="1" x14ac:dyDescent="0.35">
      <c r="E2429" s="81"/>
      <c r="I2429" s="83" t="e">
        <f>VLOOKUP(E2429,[1]Mapping!$A$3:$B$14,2,FALSE)</f>
        <v>#N/A</v>
      </c>
      <c r="J2429" s="84">
        <f t="shared" si="76"/>
        <v>0</v>
      </c>
      <c r="K2429" s="84">
        <f t="shared" si="77"/>
        <v>0</v>
      </c>
      <c r="L2429" s="61" t="e">
        <f>VLOOKUP(K2429,[1]Mapping!$J$3:$Q$351,8,FALSE)</f>
        <v>#N/A</v>
      </c>
      <c r="M2429" t="s">
        <v>83</v>
      </c>
    </row>
    <row r="2430" spans="5:13" hidden="1" x14ac:dyDescent="0.35">
      <c r="E2430" s="81"/>
      <c r="I2430" s="83" t="e">
        <f>VLOOKUP(E2430,[1]Mapping!$A$3:$B$14,2,FALSE)</f>
        <v>#N/A</v>
      </c>
      <c r="J2430" s="84">
        <f t="shared" si="76"/>
        <v>0</v>
      </c>
      <c r="K2430" s="84">
        <f t="shared" si="77"/>
        <v>0</v>
      </c>
      <c r="L2430" s="61" t="e">
        <f>VLOOKUP(K2430,[1]Mapping!$J$3:$Q$351,8,FALSE)</f>
        <v>#N/A</v>
      </c>
      <c r="M2430" t="s">
        <v>83</v>
      </c>
    </row>
    <row r="2431" spans="5:13" hidden="1" x14ac:dyDescent="0.35">
      <c r="E2431" s="81"/>
      <c r="I2431" s="83" t="e">
        <f>VLOOKUP(E2431,[1]Mapping!$A$3:$B$14,2,FALSE)</f>
        <v>#N/A</v>
      </c>
      <c r="J2431" s="84">
        <f t="shared" si="76"/>
        <v>0</v>
      </c>
      <c r="K2431" s="84">
        <f t="shared" si="77"/>
        <v>0</v>
      </c>
      <c r="L2431" s="61" t="e">
        <f>VLOOKUP(K2431,[1]Mapping!$J$3:$Q$351,8,FALSE)</f>
        <v>#N/A</v>
      </c>
      <c r="M2431" t="s">
        <v>83</v>
      </c>
    </row>
    <row r="2432" spans="5:13" hidden="1" x14ac:dyDescent="0.35">
      <c r="E2432" s="81"/>
      <c r="I2432" s="83" t="e">
        <f>VLOOKUP(E2432,[1]Mapping!$A$3:$B$14,2,FALSE)</f>
        <v>#N/A</v>
      </c>
      <c r="J2432" s="84">
        <f t="shared" si="76"/>
        <v>0</v>
      </c>
      <c r="K2432" s="84">
        <f t="shared" si="77"/>
        <v>0</v>
      </c>
      <c r="L2432" s="61" t="e">
        <f>VLOOKUP(K2432,[1]Mapping!$J$3:$Q$351,8,FALSE)</f>
        <v>#N/A</v>
      </c>
      <c r="M2432" t="s">
        <v>83</v>
      </c>
    </row>
    <row r="2433" spans="5:15" hidden="1" x14ac:dyDescent="0.35">
      <c r="E2433" s="81"/>
      <c r="I2433" s="83" t="e">
        <f>VLOOKUP(E2433,[1]Mapping!$A$3:$B$14,2,FALSE)</f>
        <v>#N/A</v>
      </c>
      <c r="J2433" s="84">
        <f t="shared" si="76"/>
        <v>0</v>
      </c>
      <c r="K2433" s="84">
        <f t="shared" si="77"/>
        <v>0</v>
      </c>
      <c r="L2433" s="61" t="e">
        <f>VLOOKUP(K2433,[1]Mapping!$J$3:$Q$351,8,FALSE)</f>
        <v>#N/A</v>
      </c>
      <c r="M2433" t="s">
        <v>83</v>
      </c>
    </row>
    <row r="2434" spans="5:15" hidden="1" x14ac:dyDescent="0.35">
      <c r="E2434" s="81"/>
      <c r="I2434" s="83" t="e">
        <f>VLOOKUP(E2434,[1]Mapping!$A$3:$B$14,2,FALSE)</f>
        <v>#N/A</v>
      </c>
      <c r="J2434" s="84">
        <f t="shared" si="76"/>
        <v>0</v>
      </c>
      <c r="K2434" s="84">
        <f t="shared" si="77"/>
        <v>0</v>
      </c>
      <c r="L2434" s="61" t="e">
        <f>VLOOKUP(K2434,[1]Mapping!$J$3:$Q$351,8,FALSE)</f>
        <v>#N/A</v>
      </c>
      <c r="M2434" t="s">
        <v>83</v>
      </c>
    </row>
    <row r="2435" spans="5:15" hidden="1" x14ac:dyDescent="0.35">
      <c r="E2435" s="81"/>
      <c r="I2435" s="83" t="e">
        <f>VLOOKUP(E2435,[1]Mapping!$A$3:$B$14,2,FALSE)</f>
        <v>#N/A</v>
      </c>
      <c r="J2435" s="84">
        <f t="shared" si="76"/>
        <v>0</v>
      </c>
      <c r="K2435" s="84">
        <f t="shared" si="77"/>
        <v>0</v>
      </c>
      <c r="L2435" s="61" t="e">
        <f>VLOOKUP(K2435,[1]Mapping!$J$3:$Q$351,8,FALSE)</f>
        <v>#N/A</v>
      </c>
      <c r="M2435" t="s">
        <v>83</v>
      </c>
    </row>
    <row r="2436" spans="5:15" hidden="1" x14ac:dyDescent="0.35">
      <c r="E2436" s="81"/>
      <c r="I2436" s="83" t="e">
        <f>VLOOKUP(E2436,[1]Mapping!$A$3:$B$14,2,FALSE)</f>
        <v>#N/A</v>
      </c>
      <c r="J2436" s="84">
        <f t="shared" ref="J2436:J2499" si="78">VALUE(A2436)</f>
        <v>0</v>
      </c>
      <c r="K2436" s="84">
        <f t="shared" ref="K2436:K2499" si="79">VALUE(C2436)</f>
        <v>0</v>
      </c>
      <c r="L2436" s="61" t="e">
        <f>VLOOKUP(K2436,[1]Mapping!$J$3:$Q$351,8,FALSE)</f>
        <v>#N/A</v>
      </c>
      <c r="M2436" t="s">
        <v>83</v>
      </c>
    </row>
    <row r="2437" spans="5:15" hidden="1" x14ac:dyDescent="0.35">
      <c r="E2437" s="81"/>
      <c r="I2437" s="83" t="e">
        <f>VLOOKUP(E2437,[1]Mapping!$A$3:$B$14,2,FALSE)</f>
        <v>#N/A</v>
      </c>
      <c r="J2437" s="84">
        <f t="shared" si="78"/>
        <v>0</v>
      </c>
      <c r="K2437" s="84">
        <f t="shared" si="79"/>
        <v>0</v>
      </c>
      <c r="L2437" s="61" t="e">
        <f>VLOOKUP(K2437,[1]Mapping!$J$3:$Q$351,8,FALSE)</f>
        <v>#N/A</v>
      </c>
      <c r="M2437" t="s">
        <v>83</v>
      </c>
    </row>
    <row r="2438" spans="5:15" hidden="1" x14ac:dyDescent="0.35">
      <c r="E2438" s="81"/>
      <c r="I2438" s="83" t="e">
        <f>VLOOKUP(E2438,[1]Mapping!$A$3:$B$14,2,FALSE)</f>
        <v>#N/A</v>
      </c>
      <c r="J2438" s="84">
        <f t="shared" si="78"/>
        <v>0</v>
      </c>
      <c r="K2438" s="84">
        <f t="shared" si="79"/>
        <v>0</v>
      </c>
      <c r="L2438" s="61" t="e">
        <f>VLOOKUP(K2438,[1]Mapping!$J$3:$Q$351,8,FALSE)</f>
        <v>#N/A</v>
      </c>
      <c r="M2438" t="s">
        <v>83</v>
      </c>
    </row>
    <row r="2439" spans="5:15" hidden="1" x14ac:dyDescent="0.35">
      <c r="E2439" s="81"/>
      <c r="I2439" s="83" t="e">
        <f>VLOOKUP(E2439,[1]Mapping!$A$3:$B$14,2,FALSE)</f>
        <v>#N/A</v>
      </c>
      <c r="J2439" s="84">
        <f t="shared" si="78"/>
        <v>0</v>
      </c>
      <c r="K2439" s="84">
        <f t="shared" si="79"/>
        <v>0</v>
      </c>
      <c r="L2439" s="61" t="e">
        <f>VLOOKUP(K2439,[1]Mapping!$J$3:$Q$351,8,FALSE)</f>
        <v>#N/A</v>
      </c>
      <c r="M2439" t="s">
        <v>83</v>
      </c>
    </row>
    <row r="2440" spans="5:15" hidden="1" x14ac:dyDescent="0.35">
      <c r="E2440" s="81"/>
      <c r="H2440" s="82"/>
      <c r="I2440" s="83" t="e">
        <f>VLOOKUP(E2440,[1]Mapping!$A$3:$B$14,2,FALSE)</f>
        <v>#N/A</v>
      </c>
      <c r="J2440" s="84">
        <f t="shared" si="78"/>
        <v>0</v>
      </c>
      <c r="K2440" s="84">
        <f t="shared" si="79"/>
        <v>0</v>
      </c>
      <c r="L2440" s="61" t="e">
        <f>VLOOKUP(K2440,[1]Mapping!$J$3:$Q$351,8,FALSE)</f>
        <v>#N/A</v>
      </c>
      <c r="M2440" t="s">
        <v>83</v>
      </c>
      <c r="N2440" t="s">
        <v>177</v>
      </c>
      <c r="O2440" t="s">
        <v>178</v>
      </c>
    </row>
    <row r="2441" spans="5:15" hidden="1" x14ac:dyDescent="0.35">
      <c r="E2441" s="81"/>
      <c r="H2441" s="82"/>
      <c r="I2441" s="83" t="e">
        <f>VLOOKUP(E2441,[1]Mapping!$A$3:$B$14,2,FALSE)</f>
        <v>#N/A</v>
      </c>
      <c r="J2441" s="84">
        <f t="shared" si="78"/>
        <v>0</v>
      </c>
      <c r="K2441" s="84">
        <f t="shared" si="79"/>
        <v>0</v>
      </c>
      <c r="L2441" s="61" t="e">
        <f>VLOOKUP(K2441,[1]Mapping!$J$3:$Q$351,8,FALSE)</f>
        <v>#N/A</v>
      </c>
      <c r="M2441" t="s">
        <v>83</v>
      </c>
      <c r="N2441" t="s">
        <v>177</v>
      </c>
      <c r="O2441" t="s">
        <v>178</v>
      </c>
    </row>
    <row r="2442" spans="5:15" hidden="1" x14ac:dyDescent="0.35">
      <c r="E2442" s="81"/>
      <c r="H2442" s="82"/>
      <c r="I2442" s="83" t="e">
        <f>VLOOKUP(E2442,[1]Mapping!$A$3:$B$14,2,FALSE)</f>
        <v>#N/A</v>
      </c>
      <c r="J2442" s="84">
        <f t="shared" si="78"/>
        <v>0</v>
      </c>
      <c r="K2442" s="84">
        <f t="shared" si="79"/>
        <v>0</v>
      </c>
      <c r="L2442" s="61" t="e">
        <f>VLOOKUP(K2442,[1]Mapping!$J$3:$Q$351,8,FALSE)</f>
        <v>#N/A</v>
      </c>
      <c r="M2442" t="s">
        <v>83</v>
      </c>
      <c r="N2442" t="s">
        <v>177</v>
      </c>
      <c r="O2442" t="s">
        <v>178</v>
      </c>
    </row>
    <row r="2443" spans="5:15" hidden="1" x14ac:dyDescent="0.35">
      <c r="E2443" s="81"/>
      <c r="H2443" s="82"/>
      <c r="I2443" s="83" t="e">
        <f>VLOOKUP(E2443,[1]Mapping!$A$3:$B$14,2,FALSE)</f>
        <v>#N/A</v>
      </c>
      <c r="J2443" s="84">
        <f t="shared" si="78"/>
        <v>0</v>
      </c>
      <c r="K2443" s="84">
        <f t="shared" si="79"/>
        <v>0</v>
      </c>
      <c r="L2443" s="61" t="e">
        <f>VLOOKUP(K2443,[1]Mapping!$J$3:$Q$351,8,FALSE)</f>
        <v>#N/A</v>
      </c>
      <c r="M2443" t="s">
        <v>83</v>
      </c>
      <c r="N2443" t="s">
        <v>180</v>
      </c>
      <c r="O2443" t="s">
        <v>178</v>
      </c>
    </row>
    <row r="2444" spans="5:15" hidden="1" x14ac:dyDescent="0.35">
      <c r="E2444" s="81"/>
      <c r="H2444" s="82"/>
      <c r="I2444" s="83" t="e">
        <f>VLOOKUP(E2444,[1]Mapping!$A$3:$B$14,2,FALSE)</f>
        <v>#N/A</v>
      </c>
      <c r="J2444" s="84">
        <f t="shared" si="78"/>
        <v>0</v>
      </c>
      <c r="K2444" s="84">
        <f t="shared" si="79"/>
        <v>0</v>
      </c>
      <c r="L2444" s="61" t="e">
        <f>VLOOKUP(K2444,[1]Mapping!$J$3:$Q$351,8,FALSE)</f>
        <v>#N/A</v>
      </c>
      <c r="M2444" t="s">
        <v>83</v>
      </c>
      <c r="N2444" t="s">
        <v>180</v>
      </c>
      <c r="O2444" t="s">
        <v>178</v>
      </c>
    </row>
    <row r="2445" spans="5:15" hidden="1" x14ac:dyDescent="0.35">
      <c r="E2445" s="81"/>
      <c r="I2445" s="83" t="e">
        <f>VLOOKUP(E2445,[1]Mapping!$A$3:$B$14,2,FALSE)</f>
        <v>#N/A</v>
      </c>
      <c r="J2445" s="84">
        <f t="shared" si="78"/>
        <v>0</v>
      </c>
      <c r="K2445" s="84">
        <f t="shared" si="79"/>
        <v>0</v>
      </c>
      <c r="L2445" s="61" t="e">
        <f>VLOOKUP(K2445,[1]Mapping!$J$3:$Q$351,8,FALSE)</f>
        <v>#N/A</v>
      </c>
      <c r="M2445" t="s">
        <v>83</v>
      </c>
    </row>
    <row r="2446" spans="5:15" hidden="1" x14ac:dyDescent="0.35">
      <c r="E2446" s="81"/>
      <c r="I2446" s="83" t="e">
        <f>VLOOKUP(E2446,[1]Mapping!$A$3:$B$14,2,FALSE)</f>
        <v>#N/A</v>
      </c>
      <c r="J2446" s="84">
        <f t="shared" si="78"/>
        <v>0</v>
      </c>
      <c r="K2446" s="84">
        <f t="shared" si="79"/>
        <v>0</v>
      </c>
      <c r="L2446" s="61" t="e">
        <f>VLOOKUP(K2446,[1]Mapping!$J$3:$Q$351,8,FALSE)</f>
        <v>#N/A</v>
      </c>
      <c r="M2446" t="s">
        <v>83</v>
      </c>
    </row>
    <row r="2447" spans="5:15" hidden="1" x14ac:dyDescent="0.35">
      <c r="E2447" s="81"/>
      <c r="I2447" s="83" t="e">
        <f>VLOOKUP(E2447,[1]Mapping!$A$3:$B$14,2,FALSE)</f>
        <v>#N/A</v>
      </c>
      <c r="J2447" s="84">
        <f t="shared" si="78"/>
        <v>0</v>
      </c>
      <c r="K2447" s="84">
        <f t="shared" si="79"/>
        <v>0</v>
      </c>
      <c r="L2447" s="61" t="e">
        <f>VLOOKUP(K2447,[1]Mapping!$J$3:$Q$351,8,FALSE)</f>
        <v>#N/A</v>
      </c>
      <c r="M2447" t="s">
        <v>83</v>
      </c>
    </row>
    <row r="2448" spans="5:15" hidden="1" x14ac:dyDescent="0.35">
      <c r="E2448" s="81"/>
      <c r="I2448" s="83" t="e">
        <f>VLOOKUP(E2448,[1]Mapping!$A$3:$B$14,2,FALSE)</f>
        <v>#N/A</v>
      </c>
      <c r="J2448" s="84">
        <f t="shared" si="78"/>
        <v>0</v>
      </c>
      <c r="K2448" s="84">
        <f t="shared" si="79"/>
        <v>0</v>
      </c>
      <c r="L2448" s="61" t="e">
        <f>VLOOKUP(K2448,[1]Mapping!$J$3:$Q$351,8,FALSE)</f>
        <v>#N/A</v>
      </c>
      <c r="M2448" t="s">
        <v>83</v>
      </c>
    </row>
    <row r="2449" spans="5:13" hidden="1" x14ac:dyDescent="0.35">
      <c r="E2449" s="81"/>
      <c r="I2449" s="83" t="e">
        <f>VLOOKUP(E2449,[1]Mapping!$A$3:$B$14,2,FALSE)</f>
        <v>#N/A</v>
      </c>
      <c r="J2449" s="84">
        <f t="shared" si="78"/>
        <v>0</v>
      </c>
      <c r="K2449" s="84">
        <f t="shared" si="79"/>
        <v>0</v>
      </c>
      <c r="L2449" s="61" t="e">
        <f>VLOOKUP(K2449,[1]Mapping!$J$3:$Q$351,8,FALSE)</f>
        <v>#N/A</v>
      </c>
      <c r="M2449" t="s">
        <v>83</v>
      </c>
    </row>
    <row r="2450" spans="5:13" hidden="1" x14ac:dyDescent="0.35">
      <c r="E2450" s="81"/>
      <c r="I2450" s="83" t="e">
        <f>VLOOKUP(E2450,[1]Mapping!$A$3:$B$14,2,FALSE)</f>
        <v>#N/A</v>
      </c>
      <c r="J2450" s="84">
        <f t="shared" si="78"/>
        <v>0</v>
      </c>
      <c r="K2450" s="84">
        <f t="shared" si="79"/>
        <v>0</v>
      </c>
      <c r="L2450" s="61" t="e">
        <f>VLOOKUP(K2450,[1]Mapping!$J$3:$Q$351,8,FALSE)</f>
        <v>#N/A</v>
      </c>
      <c r="M2450" t="s">
        <v>83</v>
      </c>
    </row>
    <row r="2451" spans="5:13" hidden="1" x14ac:dyDescent="0.35">
      <c r="E2451" s="81"/>
      <c r="I2451" s="83" t="e">
        <f>VLOOKUP(E2451,[1]Mapping!$A$3:$B$14,2,FALSE)</f>
        <v>#N/A</v>
      </c>
      <c r="J2451" s="84">
        <f t="shared" si="78"/>
        <v>0</v>
      </c>
      <c r="K2451" s="84">
        <f t="shared" si="79"/>
        <v>0</v>
      </c>
      <c r="L2451" s="61" t="e">
        <f>VLOOKUP(K2451,[1]Mapping!$J$3:$Q$351,8,FALSE)</f>
        <v>#N/A</v>
      </c>
      <c r="M2451" t="s">
        <v>83</v>
      </c>
    </row>
    <row r="2452" spans="5:13" hidden="1" x14ac:dyDescent="0.35">
      <c r="E2452" s="81"/>
      <c r="I2452" s="83" t="e">
        <f>VLOOKUP(E2452,[1]Mapping!$A$3:$B$14,2,FALSE)</f>
        <v>#N/A</v>
      </c>
      <c r="J2452" s="84">
        <f t="shared" si="78"/>
        <v>0</v>
      </c>
      <c r="K2452" s="84">
        <f t="shared" si="79"/>
        <v>0</v>
      </c>
      <c r="L2452" s="61" t="e">
        <f>VLOOKUP(K2452,[1]Mapping!$J$3:$Q$351,8,FALSE)</f>
        <v>#N/A</v>
      </c>
      <c r="M2452" t="s">
        <v>83</v>
      </c>
    </row>
    <row r="2453" spans="5:13" hidden="1" x14ac:dyDescent="0.35">
      <c r="E2453" s="81"/>
      <c r="I2453" s="83" t="e">
        <f>VLOOKUP(E2453,[1]Mapping!$A$3:$B$14,2,FALSE)</f>
        <v>#N/A</v>
      </c>
      <c r="J2453" s="84">
        <f t="shared" si="78"/>
        <v>0</v>
      </c>
      <c r="K2453" s="84">
        <f t="shared" si="79"/>
        <v>0</v>
      </c>
      <c r="L2453" s="61" t="e">
        <f>VLOOKUP(K2453,[1]Mapping!$J$3:$Q$351,8,FALSE)</f>
        <v>#N/A</v>
      </c>
      <c r="M2453" t="s">
        <v>83</v>
      </c>
    </row>
    <row r="2454" spans="5:13" hidden="1" x14ac:dyDescent="0.35">
      <c r="E2454" s="81"/>
      <c r="I2454" s="83" t="e">
        <f>VLOOKUP(E2454,[1]Mapping!$A$3:$B$14,2,FALSE)</f>
        <v>#N/A</v>
      </c>
      <c r="J2454" s="84">
        <f t="shared" si="78"/>
        <v>0</v>
      </c>
      <c r="K2454" s="84">
        <f t="shared" si="79"/>
        <v>0</v>
      </c>
      <c r="L2454" s="61" t="e">
        <f>VLOOKUP(K2454,[1]Mapping!$J$3:$Q$351,8,FALSE)</f>
        <v>#N/A</v>
      </c>
      <c r="M2454" t="s">
        <v>83</v>
      </c>
    </row>
    <row r="2455" spans="5:13" hidden="1" x14ac:dyDescent="0.35">
      <c r="E2455" s="81"/>
      <c r="I2455" s="83" t="e">
        <f>VLOOKUP(E2455,[1]Mapping!$A$3:$B$14,2,FALSE)</f>
        <v>#N/A</v>
      </c>
      <c r="J2455" s="84">
        <f t="shared" si="78"/>
        <v>0</v>
      </c>
      <c r="K2455" s="84">
        <f t="shared" si="79"/>
        <v>0</v>
      </c>
      <c r="L2455" s="61" t="e">
        <f>VLOOKUP(K2455,[1]Mapping!$J$3:$Q$351,8,FALSE)</f>
        <v>#N/A</v>
      </c>
      <c r="M2455" t="s">
        <v>83</v>
      </c>
    </row>
    <row r="2456" spans="5:13" hidden="1" x14ac:dyDescent="0.35">
      <c r="E2456" s="81"/>
      <c r="I2456" s="83" t="e">
        <f>VLOOKUP(E2456,[1]Mapping!$A$3:$B$14,2,FALSE)</f>
        <v>#N/A</v>
      </c>
      <c r="J2456" s="84">
        <f t="shared" si="78"/>
        <v>0</v>
      </c>
      <c r="K2456" s="84">
        <f t="shared" si="79"/>
        <v>0</v>
      </c>
      <c r="L2456" s="61" t="e">
        <f>VLOOKUP(K2456,[1]Mapping!$J$3:$Q$351,8,FALSE)</f>
        <v>#N/A</v>
      </c>
      <c r="M2456" t="s">
        <v>83</v>
      </c>
    </row>
    <row r="2457" spans="5:13" hidden="1" x14ac:dyDescent="0.35">
      <c r="E2457" s="81"/>
      <c r="I2457" s="83" t="e">
        <f>VLOOKUP(E2457,[1]Mapping!$A$3:$B$14,2,FALSE)</f>
        <v>#N/A</v>
      </c>
      <c r="J2457" s="84">
        <f t="shared" si="78"/>
        <v>0</v>
      </c>
      <c r="K2457" s="84">
        <f t="shared" si="79"/>
        <v>0</v>
      </c>
      <c r="L2457" s="61" t="e">
        <f>VLOOKUP(K2457,[1]Mapping!$J$3:$Q$351,8,FALSE)</f>
        <v>#N/A</v>
      </c>
      <c r="M2457" t="s">
        <v>83</v>
      </c>
    </row>
    <row r="2458" spans="5:13" hidden="1" x14ac:dyDescent="0.35">
      <c r="E2458" s="81"/>
      <c r="I2458" s="83" t="e">
        <f>VLOOKUP(E2458,[1]Mapping!$A$3:$B$14,2,FALSE)</f>
        <v>#N/A</v>
      </c>
      <c r="J2458" s="84">
        <f t="shared" si="78"/>
        <v>0</v>
      </c>
      <c r="K2458" s="84">
        <f t="shared" si="79"/>
        <v>0</v>
      </c>
      <c r="L2458" s="61" t="e">
        <f>VLOOKUP(K2458,[1]Mapping!$J$3:$Q$351,8,FALSE)</f>
        <v>#N/A</v>
      </c>
      <c r="M2458" t="s">
        <v>83</v>
      </c>
    </row>
    <row r="2459" spans="5:13" hidden="1" x14ac:dyDescent="0.35">
      <c r="E2459" s="81"/>
      <c r="I2459" s="83" t="e">
        <f>VLOOKUP(E2459,[1]Mapping!$A$3:$B$14,2,FALSE)</f>
        <v>#N/A</v>
      </c>
      <c r="J2459" s="84">
        <f t="shared" si="78"/>
        <v>0</v>
      </c>
      <c r="K2459" s="84">
        <f t="shared" si="79"/>
        <v>0</v>
      </c>
      <c r="L2459" s="61" t="e">
        <f>VLOOKUP(K2459,[1]Mapping!$J$3:$Q$351,8,FALSE)</f>
        <v>#N/A</v>
      </c>
      <c r="M2459" t="s">
        <v>83</v>
      </c>
    </row>
    <row r="2460" spans="5:13" hidden="1" x14ac:dyDescent="0.35">
      <c r="E2460" s="81"/>
      <c r="I2460" s="83" t="e">
        <f>VLOOKUP(E2460,[1]Mapping!$A$3:$B$14,2,FALSE)</f>
        <v>#N/A</v>
      </c>
      <c r="J2460" s="84">
        <f t="shared" si="78"/>
        <v>0</v>
      </c>
      <c r="K2460" s="84">
        <f t="shared" si="79"/>
        <v>0</v>
      </c>
      <c r="L2460" s="61" t="e">
        <f>VLOOKUP(K2460,[1]Mapping!$J$3:$Q$351,8,FALSE)</f>
        <v>#N/A</v>
      </c>
      <c r="M2460" t="s">
        <v>83</v>
      </c>
    </row>
    <row r="2461" spans="5:13" hidden="1" x14ac:dyDescent="0.35">
      <c r="E2461" s="81"/>
      <c r="I2461" s="83" t="e">
        <f>VLOOKUP(E2461,[1]Mapping!$A$3:$B$14,2,FALSE)</f>
        <v>#N/A</v>
      </c>
      <c r="J2461" s="84">
        <f t="shared" si="78"/>
        <v>0</v>
      </c>
      <c r="K2461" s="84">
        <f t="shared" si="79"/>
        <v>0</v>
      </c>
      <c r="L2461" s="61" t="e">
        <f>VLOOKUP(K2461,[1]Mapping!$J$3:$Q$351,8,FALSE)</f>
        <v>#N/A</v>
      </c>
      <c r="M2461" t="s">
        <v>83</v>
      </c>
    </row>
    <row r="2462" spans="5:13" hidden="1" x14ac:dyDescent="0.35">
      <c r="E2462" s="81"/>
      <c r="I2462" s="83" t="e">
        <f>VLOOKUP(E2462,[1]Mapping!$A$3:$B$14,2,FALSE)</f>
        <v>#N/A</v>
      </c>
      <c r="J2462" s="84">
        <f t="shared" si="78"/>
        <v>0</v>
      </c>
      <c r="K2462" s="84">
        <f t="shared" si="79"/>
        <v>0</v>
      </c>
      <c r="L2462" s="61" t="e">
        <f>VLOOKUP(K2462,[1]Mapping!$J$3:$Q$351,8,FALSE)</f>
        <v>#N/A</v>
      </c>
      <c r="M2462" t="s">
        <v>83</v>
      </c>
    </row>
    <row r="2463" spans="5:13" hidden="1" x14ac:dyDescent="0.35">
      <c r="E2463" s="81"/>
      <c r="I2463" s="83" t="e">
        <f>VLOOKUP(E2463,[1]Mapping!$A$3:$B$14,2,FALSE)</f>
        <v>#N/A</v>
      </c>
      <c r="J2463" s="84">
        <f t="shared" si="78"/>
        <v>0</v>
      </c>
      <c r="K2463" s="84">
        <f t="shared" si="79"/>
        <v>0</v>
      </c>
      <c r="L2463" s="61" t="e">
        <f>VLOOKUP(K2463,[1]Mapping!$J$3:$Q$351,8,FALSE)</f>
        <v>#N/A</v>
      </c>
      <c r="M2463" t="s">
        <v>83</v>
      </c>
    </row>
    <row r="2464" spans="5:13" hidden="1" x14ac:dyDescent="0.35">
      <c r="E2464" s="81"/>
      <c r="I2464" s="83" t="e">
        <f>VLOOKUP(E2464,[1]Mapping!$A$3:$B$14,2,FALSE)</f>
        <v>#N/A</v>
      </c>
      <c r="J2464" s="84">
        <f t="shared" si="78"/>
        <v>0</v>
      </c>
      <c r="K2464" s="84">
        <f t="shared" si="79"/>
        <v>0</v>
      </c>
      <c r="L2464" s="61" t="e">
        <f>VLOOKUP(K2464,[1]Mapping!$J$3:$Q$351,8,FALSE)</f>
        <v>#N/A</v>
      </c>
      <c r="M2464" t="s">
        <v>83</v>
      </c>
    </row>
    <row r="2465" spans="5:13" hidden="1" x14ac:dyDescent="0.35">
      <c r="E2465" s="81"/>
      <c r="I2465" s="83" t="e">
        <f>VLOOKUP(E2465,[1]Mapping!$A$3:$B$14,2,FALSE)</f>
        <v>#N/A</v>
      </c>
      <c r="J2465" s="84">
        <f t="shared" si="78"/>
        <v>0</v>
      </c>
      <c r="K2465" s="84">
        <f t="shared" si="79"/>
        <v>0</v>
      </c>
      <c r="L2465" s="61" t="e">
        <f>VLOOKUP(K2465,[1]Mapping!$J$3:$Q$351,8,FALSE)</f>
        <v>#N/A</v>
      </c>
      <c r="M2465" t="s">
        <v>83</v>
      </c>
    </row>
    <row r="2466" spans="5:13" hidden="1" x14ac:dyDescent="0.35">
      <c r="E2466" s="81"/>
      <c r="I2466" s="83" t="e">
        <f>VLOOKUP(E2466,[1]Mapping!$A$3:$B$14,2,FALSE)</f>
        <v>#N/A</v>
      </c>
      <c r="J2466" s="84">
        <f t="shared" si="78"/>
        <v>0</v>
      </c>
      <c r="K2466" s="84">
        <f t="shared" si="79"/>
        <v>0</v>
      </c>
      <c r="L2466" s="61" t="e">
        <f>VLOOKUP(K2466,[1]Mapping!$J$3:$Q$351,8,FALSE)</f>
        <v>#N/A</v>
      </c>
      <c r="M2466" t="s">
        <v>83</v>
      </c>
    </row>
    <row r="2467" spans="5:13" hidden="1" x14ac:dyDescent="0.35">
      <c r="E2467" s="81"/>
      <c r="I2467" s="83" t="e">
        <f>VLOOKUP(E2467,[1]Mapping!$A$3:$B$14,2,FALSE)</f>
        <v>#N/A</v>
      </c>
      <c r="J2467" s="84">
        <f t="shared" si="78"/>
        <v>0</v>
      </c>
      <c r="K2467" s="84">
        <f t="shared" si="79"/>
        <v>0</v>
      </c>
      <c r="L2467" s="61" t="e">
        <f>VLOOKUP(K2467,[1]Mapping!$J$3:$Q$351,8,FALSE)</f>
        <v>#N/A</v>
      </c>
      <c r="M2467" t="s">
        <v>83</v>
      </c>
    </row>
    <row r="2468" spans="5:13" hidden="1" x14ac:dyDescent="0.35">
      <c r="E2468" s="81"/>
      <c r="I2468" s="83" t="e">
        <f>VLOOKUP(E2468,[1]Mapping!$A$3:$B$14,2,FALSE)</f>
        <v>#N/A</v>
      </c>
      <c r="J2468" s="84">
        <f t="shared" si="78"/>
        <v>0</v>
      </c>
      <c r="K2468" s="84">
        <f t="shared" si="79"/>
        <v>0</v>
      </c>
      <c r="L2468" s="61" t="e">
        <f>VLOOKUP(K2468,[1]Mapping!$J$3:$Q$351,8,FALSE)</f>
        <v>#N/A</v>
      </c>
      <c r="M2468" t="s">
        <v>83</v>
      </c>
    </row>
    <row r="2469" spans="5:13" hidden="1" x14ac:dyDescent="0.35">
      <c r="E2469" s="81"/>
      <c r="I2469" s="83" t="e">
        <f>VLOOKUP(E2469,[1]Mapping!$A$3:$B$14,2,FALSE)</f>
        <v>#N/A</v>
      </c>
      <c r="J2469" s="84">
        <f t="shared" si="78"/>
        <v>0</v>
      </c>
      <c r="K2469" s="84">
        <f t="shared" si="79"/>
        <v>0</v>
      </c>
      <c r="L2469" s="61" t="e">
        <f>VLOOKUP(K2469,[1]Mapping!$J$3:$Q$351,8,FALSE)</f>
        <v>#N/A</v>
      </c>
      <c r="M2469" t="s">
        <v>83</v>
      </c>
    </row>
    <row r="2470" spans="5:13" hidden="1" x14ac:dyDescent="0.35">
      <c r="E2470" s="81"/>
      <c r="I2470" s="83" t="e">
        <f>VLOOKUP(E2470,[1]Mapping!$A$3:$B$14,2,FALSE)</f>
        <v>#N/A</v>
      </c>
      <c r="J2470" s="84">
        <f t="shared" si="78"/>
        <v>0</v>
      </c>
      <c r="K2470" s="84">
        <f t="shared" si="79"/>
        <v>0</v>
      </c>
      <c r="L2470" s="61" t="e">
        <f>VLOOKUP(K2470,[1]Mapping!$J$3:$Q$351,8,FALSE)</f>
        <v>#N/A</v>
      </c>
      <c r="M2470" t="s">
        <v>83</v>
      </c>
    </row>
    <row r="2471" spans="5:13" hidden="1" x14ac:dyDescent="0.35">
      <c r="E2471" s="81"/>
      <c r="I2471" s="83" t="e">
        <f>VLOOKUP(E2471,[1]Mapping!$A$3:$B$14,2,FALSE)</f>
        <v>#N/A</v>
      </c>
      <c r="J2471" s="84">
        <f t="shared" si="78"/>
        <v>0</v>
      </c>
      <c r="K2471" s="84">
        <f t="shared" si="79"/>
        <v>0</v>
      </c>
      <c r="L2471" s="61" t="e">
        <f>VLOOKUP(K2471,[1]Mapping!$J$3:$Q$351,8,FALSE)</f>
        <v>#N/A</v>
      </c>
      <c r="M2471" t="s">
        <v>83</v>
      </c>
    </row>
    <row r="2472" spans="5:13" hidden="1" x14ac:dyDescent="0.35">
      <c r="E2472" s="81"/>
      <c r="I2472" s="83" t="e">
        <f>VLOOKUP(E2472,[1]Mapping!$A$3:$B$14,2,FALSE)</f>
        <v>#N/A</v>
      </c>
      <c r="J2472" s="84">
        <f t="shared" si="78"/>
        <v>0</v>
      </c>
      <c r="K2472" s="84">
        <f t="shared" si="79"/>
        <v>0</v>
      </c>
      <c r="L2472" s="61" t="e">
        <f>VLOOKUP(K2472,[1]Mapping!$J$3:$Q$351,8,FALSE)</f>
        <v>#N/A</v>
      </c>
      <c r="M2472" t="s">
        <v>83</v>
      </c>
    </row>
    <row r="2473" spans="5:13" hidden="1" x14ac:dyDescent="0.35">
      <c r="E2473" s="81"/>
      <c r="I2473" s="83" t="e">
        <f>VLOOKUP(E2473,[1]Mapping!$A$3:$B$14,2,FALSE)</f>
        <v>#N/A</v>
      </c>
      <c r="J2473" s="84">
        <f t="shared" si="78"/>
        <v>0</v>
      </c>
      <c r="K2473" s="84">
        <f t="shared" si="79"/>
        <v>0</v>
      </c>
      <c r="L2473" s="61" t="e">
        <f>VLOOKUP(K2473,[1]Mapping!$J$3:$Q$351,8,FALSE)</f>
        <v>#N/A</v>
      </c>
      <c r="M2473" t="s">
        <v>83</v>
      </c>
    </row>
    <row r="2474" spans="5:13" hidden="1" x14ac:dyDescent="0.35">
      <c r="E2474" s="81"/>
      <c r="I2474" s="83" t="e">
        <f>VLOOKUP(E2474,[1]Mapping!$A$3:$B$14,2,FALSE)</f>
        <v>#N/A</v>
      </c>
      <c r="J2474" s="84">
        <f t="shared" si="78"/>
        <v>0</v>
      </c>
      <c r="K2474" s="84">
        <f t="shared" si="79"/>
        <v>0</v>
      </c>
      <c r="L2474" s="61" t="e">
        <f>VLOOKUP(K2474,[1]Mapping!$J$3:$Q$351,8,FALSE)</f>
        <v>#N/A</v>
      </c>
      <c r="M2474" t="s">
        <v>83</v>
      </c>
    </row>
    <row r="2475" spans="5:13" hidden="1" x14ac:dyDescent="0.35">
      <c r="E2475" s="81"/>
      <c r="I2475" s="83" t="e">
        <f>VLOOKUP(E2475,[1]Mapping!$A$3:$B$14,2,FALSE)</f>
        <v>#N/A</v>
      </c>
      <c r="J2475" s="84">
        <f t="shared" si="78"/>
        <v>0</v>
      </c>
      <c r="K2475" s="84">
        <f t="shared" si="79"/>
        <v>0</v>
      </c>
      <c r="L2475" s="61" t="e">
        <f>VLOOKUP(K2475,[1]Mapping!$J$3:$Q$351,8,FALSE)</f>
        <v>#N/A</v>
      </c>
      <c r="M2475" t="s">
        <v>83</v>
      </c>
    </row>
    <row r="2476" spans="5:13" hidden="1" x14ac:dyDescent="0.35">
      <c r="E2476" s="81"/>
      <c r="I2476" s="83" t="e">
        <f>VLOOKUP(E2476,[1]Mapping!$A$3:$B$14,2,FALSE)</f>
        <v>#N/A</v>
      </c>
      <c r="J2476" s="84">
        <f t="shared" si="78"/>
        <v>0</v>
      </c>
      <c r="K2476" s="84">
        <f t="shared" si="79"/>
        <v>0</v>
      </c>
      <c r="L2476" s="61" t="e">
        <f>VLOOKUP(K2476,[1]Mapping!$J$3:$Q$351,8,FALSE)</f>
        <v>#N/A</v>
      </c>
      <c r="M2476" t="s">
        <v>83</v>
      </c>
    </row>
    <row r="2477" spans="5:13" hidden="1" x14ac:dyDescent="0.35">
      <c r="E2477" s="81"/>
      <c r="I2477" s="83" t="e">
        <f>VLOOKUP(E2477,[1]Mapping!$A$3:$B$14,2,FALSE)</f>
        <v>#N/A</v>
      </c>
      <c r="J2477" s="84">
        <f t="shared" si="78"/>
        <v>0</v>
      </c>
      <c r="K2477" s="84">
        <f t="shared" si="79"/>
        <v>0</v>
      </c>
      <c r="L2477" s="61" t="e">
        <f>VLOOKUP(K2477,[1]Mapping!$J$3:$Q$351,8,FALSE)</f>
        <v>#N/A</v>
      </c>
      <c r="M2477" t="s">
        <v>83</v>
      </c>
    </row>
    <row r="2478" spans="5:13" hidden="1" x14ac:dyDescent="0.35">
      <c r="E2478" s="81"/>
      <c r="I2478" s="83" t="e">
        <f>VLOOKUP(E2478,[1]Mapping!$A$3:$B$14,2,FALSE)</f>
        <v>#N/A</v>
      </c>
      <c r="J2478" s="84">
        <f t="shared" si="78"/>
        <v>0</v>
      </c>
      <c r="K2478" s="84">
        <f t="shared" si="79"/>
        <v>0</v>
      </c>
      <c r="L2478" s="61" t="e">
        <f>VLOOKUP(K2478,[1]Mapping!$J$3:$Q$351,8,FALSE)</f>
        <v>#N/A</v>
      </c>
      <c r="M2478" t="s">
        <v>83</v>
      </c>
    </row>
    <row r="2479" spans="5:13" hidden="1" x14ac:dyDescent="0.35">
      <c r="E2479" s="81"/>
      <c r="I2479" s="83" t="e">
        <f>VLOOKUP(E2479,[1]Mapping!$A$3:$B$14,2,FALSE)</f>
        <v>#N/A</v>
      </c>
      <c r="J2479" s="84">
        <f t="shared" si="78"/>
        <v>0</v>
      </c>
      <c r="K2479" s="84">
        <f t="shared" si="79"/>
        <v>0</v>
      </c>
      <c r="L2479" s="61" t="e">
        <f>VLOOKUP(K2479,[1]Mapping!$J$3:$Q$351,8,FALSE)</f>
        <v>#N/A</v>
      </c>
      <c r="M2479" t="s">
        <v>83</v>
      </c>
    </row>
    <row r="2480" spans="5:13" hidden="1" x14ac:dyDescent="0.35">
      <c r="E2480" s="81"/>
      <c r="I2480" s="83" t="e">
        <f>VLOOKUP(E2480,[1]Mapping!$A$3:$B$14,2,FALSE)</f>
        <v>#N/A</v>
      </c>
      <c r="J2480" s="84">
        <f t="shared" si="78"/>
        <v>0</v>
      </c>
      <c r="K2480" s="84">
        <f t="shared" si="79"/>
        <v>0</v>
      </c>
      <c r="L2480" s="61" t="e">
        <f>VLOOKUP(K2480,[1]Mapping!$J$3:$Q$351,8,FALSE)</f>
        <v>#N/A</v>
      </c>
      <c r="M2480" t="s">
        <v>83</v>
      </c>
    </row>
    <row r="2481" spans="5:13" hidden="1" x14ac:dyDescent="0.35">
      <c r="E2481" s="81"/>
      <c r="I2481" s="83" t="e">
        <f>VLOOKUP(E2481,[1]Mapping!$A$3:$B$14,2,FALSE)</f>
        <v>#N/A</v>
      </c>
      <c r="J2481" s="84">
        <f t="shared" si="78"/>
        <v>0</v>
      </c>
      <c r="K2481" s="84">
        <f t="shared" si="79"/>
        <v>0</v>
      </c>
      <c r="L2481" s="61" t="e">
        <f>VLOOKUP(K2481,[1]Mapping!$J$3:$Q$351,8,FALSE)</f>
        <v>#N/A</v>
      </c>
      <c r="M2481" t="s">
        <v>83</v>
      </c>
    </row>
    <row r="2482" spans="5:13" hidden="1" x14ac:dyDescent="0.35">
      <c r="E2482" s="81"/>
      <c r="I2482" s="83" t="e">
        <f>VLOOKUP(E2482,[1]Mapping!$A$3:$B$14,2,FALSE)</f>
        <v>#N/A</v>
      </c>
      <c r="J2482" s="84">
        <f t="shared" si="78"/>
        <v>0</v>
      </c>
      <c r="K2482" s="84">
        <f t="shared" si="79"/>
        <v>0</v>
      </c>
      <c r="L2482" s="61" t="e">
        <f>VLOOKUP(K2482,[1]Mapping!$J$3:$Q$351,8,FALSE)</f>
        <v>#N/A</v>
      </c>
      <c r="M2482" t="s">
        <v>83</v>
      </c>
    </row>
    <row r="2483" spans="5:13" hidden="1" x14ac:dyDescent="0.35">
      <c r="E2483" s="81"/>
      <c r="I2483" s="83" t="e">
        <f>VLOOKUP(E2483,[1]Mapping!$A$3:$B$14,2,FALSE)</f>
        <v>#N/A</v>
      </c>
      <c r="J2483" s="84">
        <f t="shared" si="78"/>
        <v>0</v>
      </c>
      <c r="K2483" s="84">
        <f t="shared" si="79"/>
        <v>0</v>
      </c>
      <c r="L2483" s="61" t="e">
        <f>VLOOKUP(K2483,[1]Mapping!$J$3:$Q$351,8,FALSE)</f>
        <v>#N/A</v>
      </c>
      <c r="M2483" t="s">
        <v>83</v>
      </c>
    </row>
    <row r="2484" spans="5:13" hidden="1" x14ac:dyDescent="0.35">
      <c r="E2484" s="81"/>
      <c r="I2484" s="83" t="e">
        <f>VLOOKUP(E2484,[1]Mapping!$A$3:$B$14,2,FALSE)</f>
        <v>#N/A</v>
      </c>
      <c r="J2484" s="84">
        <f t="shared" si="78"/>
        <v>0</v>
      </c>
      <c r="K2484" s="84">
        <f t="shared" si="79"/>
        <v>0</v>
      </c>
      <c r="L2484" s="61" t="e">
        <f>VLOOKUP(K2484,[1]Mapping!$J$3:$Q$351,8,FALSE)</f>
        <v>#N/A</v>
      </c>
      <c r="M2484" t="s">
        <v>83</v>
      </c>
    </row>
    <row r="2485" spans="5:13" hidden="1" x14ac:dyDescent="0.35">
      <c r="E2485" s="81"/>
      <c r="I2485" s="83" t="e">
        <f>VLOOKUP(E2485,[1]Mapping!$A$3:$B$14,2,FALSE)</f>
        <v>#N/A</v>
      </c>
      <c r="J2485" s="84">
        <f t="shared" si="78"/>
        <v>0</v>
      </c>
      <c r="K2485" s="84">
        <f t="shared" si="79"/>
        <v>0</v>
      </c>
      <c r="L2485" s="61" t="e">
        <f>VLOOKUP(K2485,[1]Mapping!$J$3:$Q$351,8,FALSE)</f>
        <v>#N/A</v>
      </c>
      <c r="M2485" t="s">
        <v>83</v>
      </c>
    </row>
    <row r="2486" spans="5:13" hidden="1" x14ac:dyDescent="0.35">
      <c r="E2486" s="81"/>
      <c r="I2486" s="83" t="e">
        <f>VLOOKUP(E2486,[1]Mapping!$A$3:$B$14,2,FALSE)</f>
        <v>#N/A</v>
      </c>
      <c r="J2486" s="84">
        <f t="shared" si="78"/>
        <v>0</v>
      </c>
      <c r="K2486" s="84">
        <f t="shared" si="79"/>
        <v>0</v>
      </c>
      <c r="L2486" s="61" t="e">
        <f>VLOOKUP(K2486,[1]Mapping!$J$3:$Q$351,8,FALSE)</f>
        <v>#N/A</v>
      </c>
      <c r="M2486" t="s">
        <v>83</v>
      </c>
    </row>
    <row r="2487" spans="5:13" hidden="1" x14ac:dyDescent="0.35">
      <c r="E2487" s="81"/>
      <c r="I2487" s="83" t="e">
        <f>VLOOKUP(E2487,[1]Mapping!$A$3:$B$14,2,FALSE)</f>
        <v>#N/A</v>
      </c>
      <c r="J2487" s="84">
        <f t="shared" si="78"/>
        <v>0</v>
      </c>
      <c r="K2487" s="84">
        <f t="shared" si="79"/>
        <v>0</v>
      </c>
      <c r="L2487" s="61" t="e">
        <f>VLOOKUP(K2487,[1]Mapping!$J$3:$Q$351,8,FALSE)</f>
        <v>#N/A</v>
      </c>
      <c r="M2487" t="s">
        <v>83</v>
      </c>
    </row>
    <row r="2488" spans="5:13" hidden="1" x14ac:dyDescent="0.35">
      <c r="E2488" s="81"/>
      <c r="I2488" s="83" t="e">
        <f>VLOOKUP(E2488,[1]Mapping!$A$3:$B$14,2,FALSE)</f>
        <v>#N/A</v>
      </c>
      <c r="J2488" s="84">
        <f t="shared" si="78"/>
        <v>0</v>
      </c>
      <c r="K2488" s="84">
        <f t="shared" si="79"/>
        <v>0</v>
      </c>
      <c r="L2488" s="61" t="e">
        <f>VLOOKUP(K2488,[1]Mapping!$J$3:$Q$351,8,FALSE)</f>
        <v>#N/A</v>
      </c>
      <c r="M2488" t="s">
        <v>83</v>
      </c>
    </row>
    <row r="2489" spans="5:13" hidden="1" x14ac:dyDescent="0.35">
      <c r="E2489" s="81"/>
      <c r="I2489" s="83" t="e">
        <f>VLOOKUP(E2489,[1]Mapping!$A$3:$B$14,2,FALSE)</f>
        <v>#N/A</v>
      </c>
      <c r="J2489" s="84">
        <f t="shared" si="78"/>
        <v>0</v>
      </c>
      <c r="K2489" s="84">
        <f t="shared" si="79"/>
        <v>0</v>
      </c>
      <c r="L2489" s="61" t="e">
        <f>VLOOKUP(K2489,[1]Mapping!$J$3:$Q$351,8,FALSE)</f>
        <v>#N/A</v>
      </c>
      <c r="M2489" t="s">
        <v>83</v>
      </c>
    </row>
    <row r="2490" spans="5:13" hidden="1" x14ac:dyDescent="0.35">
      <c r="E2490" s="81"/>
      <c r="I2490" s="83" t="e">
        <f>VLOOKUP(E2490,[1]Mapping!$A$3:$B$14,2,FALSE)</f>
        <v>#N/A</v>
      </c>
      <c r="J2490" s="84">
        <f t="shared" si="78"/>
        <v>0</v>
      </c>
      <c r="K2490" s="84">
        <f t="shared" si="79"/>
        <v>0</v>
      </c>
      <c r="L2490" s="61" t="e">
        <f>VLOOKUP(K2490,[1]Mapping!$J$3:$Q$351,8,FALSE)</f>
        <v>#N/A</v>
      </c>
      <c r="M2490" t="s">
        <v>83</v>
      </c>
    </row>
    <row r="2491" spans="5:13" hidden="1" x14ac:dyDescent="0.35">
      <c r="E2491" s="81"/>
      <c r="I2491" s="83" t="e">
        <f>VLOOKUP(E2491,[1]Mapping!$A$3:$B$14,2,FALSE)</f>
        <v>#N/A</v>
      </c>
      <c r="J2491" s="84">
        <f t="shared" si="78"/>
        <v>0</v>
      </c>
      <c r="K2491" s="84">
        <f t="shared" si="79"/>
        <v>0</v>
      </c>
      <c r="L2491" s="61" t="e">
        <f>VLOOKUP(K2491,[1]Mapping!$J$3:$Q$351,8,FALSE)</f>
        <v>#N/A</v>
      </c>
      <c r="M2491" t="s">
        <v>83</v>
      </c>
    </row>
    <row r="2492" spans="5:13" hidden="1" x14ac:dyDescent="0.35">
      <c r="E2492" s="81"/>
      <c r="I2492" s="83" t="e">
        <f>VLOOKUP(E2492,[1]Mapping!$A$3:$B$14,2,FALSE)</f>
        <v>#N/A</v>
      </c>
      <c r="J2492" s="84">
        <f t="shared" si="78"/>
        <v>0</v>
      </c>
      <c r="K2492" s="84">
        <f t="shared" si="79"/>
        <v>0</v>
      </c>
      <c r="L2492" s="61" t="e">
        <f>VLOOKUP(K2492,[1]Mapping!$J$3:$Q$351,8,FALSE)</f>
        <v>#N/A</v>
      </c>
      <c r="M2492" t="s">
        <v>83</v>
      </c>
    </row>
    <row r="2493" spans="5:13" hidden="1" x14ac:dyDescent="0.35">
      <c r="E2493" s="81"/>
      <c r="I2493" s="83" t="e">
        <f>VLOOKUP(E2493,[1]Mapping!$A$3:$B$14,2,FALSE)</f>
        <v>#N/A</v>
      </c>
      <c r="J2493" s="84">
        <f t="shared" si="78"/>
        <v>0</v>
      </c>
      <c r="K2493" s="84">
        <f t="shared" si="79"/>
        <v>0</v>
      </c>
      <c r="L2493" s="61" t="e">
        <f>VLOOKUP(K2493,[1]Mapping!$J$3:$Q$351,8,FALSE)</f>
        <v>#N/A</v>
      </c>
      <c r="M2493" t="s">
        <v>83</v>
      </c>
    </row>
    <row r="2494" spans="5:13" hidden="1" x14ac:dyDescent="0.35">
      <c r="E2494" s="81"/>
      <c r="I2494" s="83" t="e">
        <f>VLOOKUP(E2494,[1]Mapping!$A$3:$B$14,2,FALSE)</f>
        <v>#N/A</v>
      </c>
      <c r="J2494" s="84">
        <f t="shared" si="78"/>
        <v>0</v>
      </c>
      <c r="K2494" s="84">
        <f t="shared" si="79"/>
        <v>0</v>
      </c>
      <c r="L2494" s="61" t="e">
        <f>VLOOKUP(K2494,[1]Mapping!$J$3:$Q$351,8,FALSE)</f>
        <v>#N/A</v>
      </c>
      <c r="M2494" t="s">
        <v>83</v>
      </c>
    </row>
    <row r="2495" spans="5:13" hidden="1" x14ac:dyDescent="0.35">
      <c r="E2495" s="81"/>
      <c r="I2495" s="83" t="e">
        <f>VLOOKUP(E2495,[1]Mapping!$A$3:$B$14,2,FALSE)</f>
        <v>#N/A</v>
      </c>
      <c r="J2495" s="84">
        <f t="shared" si="78"/>
        <v>0</v>
      </c>
      <c r="K2495" s="84">
        <f t="shared" si="79"/>
        <v>0</v>
      </c>
      <c r="L2495" s="61" t="e">
        <f>VLOOKUP(K2495,[1]Mapping!$J$3:$Q$351,8,FALSE)</f>
        <v>#N/A</v>
      </c>
      <c r="M2495" t="s">
        <v>83</v>
      </c>
    </row>
    <row r="2496" spans="5:13" hidden="1" x14ac:dyDescent="0.35">
      <c r="E2496" s="81"/>
      <c r="I2496" s="83" t="e">
        <f>VLOOKUP(E2496,[1]Mapping!$A$3:$B$14,2,FALSE)</f>
        <v>#N/A</v>
      </c>
      <c r="J2496" s="84">
        <f t="shared" si="78"/>
        <v>0</v>
      </c>
      <c r="K2496" s="84">
        <f t="shared" si="79"/>
        <v>0</v>
      </c>
      <c r="L2496" s="61" t="e">
        <f>VLOOKUP(K2496,[1]Mapping!$J$3:$Q$351,8,FALSE)</f>
        <v>#N/A</v>
      </c>
      <c r="M2496" t="s">
        <v>83</v>
      </c>
    </row>
    <row r="2497" spans="5:13" hidden="1" x14ac:dyDescent="0.35">
      <c r="E2497" s="81"/>
      <c r="I2497" s="83" t="e">
        <f>VLOOKUP(E2497,[1]Mapping!$A$3:$B$14,2,FALSE)</f>
        <v>#N/A</v>
      </c>
      <c r="J2497" s="84">
        <f t="shared" si="78"/>
        <v>0</v>
      </c>
      <c r="K2497" s="84">
        <f t="shared" si="79"/>
        <v>0</v>
      </c>
      <c r="L2497" s="61" t="e">
        <f>VLOOKUP(K2497,[1]Mapping!$J$3:$Q$351,8,FALSE)</f>
        <v>#N/A</v>
      </c>
      <c r="M2497" t="s">
        <v>83</v>
      </c>
    </row>
    <row r="2498" spans="5:13" hidden="1" x14ac:dyDescent="0.35">
      <c r="E2498" s="81"/>
      <c r="I2498" s="83" t="e">
        <f>VLOOKUP(E2498,[1]Mapping!$A$3:$B$14,2,FALSE)</f>
        <v>#N/A</v>
      </c>
      <c r="J2498" s="84">
        <f t="shared" si="78"/>
        <v>0</v>
      </c>
      <c r="K2498" s="84">
        <f t="shared" si="79"/>
        <v>0</v>
      </c>
      <c r="L2498" s="61" t="e">
        <f>VLOOKUP(K2498,[1]Mapping!$J$3:$Q$351,8,FALSE)</f>
        <v>#N/A</v>
      </c>
      <c r="M2498" t="s">
        <v>83</v>
      </c>
    </row>
    <row r="2499" spans="5:13" hidden="1" x14ac:dyDescent="0.35">
      <c r="E2499" s="81"/>
      <c r="I2499" s="83" t="e">
        <f>VLOOKUP(E2499,[1]Mapping!$A$3:$B$14,2,FALSE)</f>
        <v>#N/A</v>
      </c>
      <c r="J2499" s="84">
        <f t="shared" si="78"/>
        <v>0</v>
      </c>
      <c r="K2499" s="84">
        <f t="shared" si="79"/>
        <v>0</v>
      </c>
      <c r="L2499" s="61" t="e">
        <f>VLOOKUP(K2499,[1]Mapping!$J$3:$Q$351,8,FALSE)</f>
        <v>#N/A</v>
      </c>
      <c r="M2499" t="s">
        <v>83</v>
      </c>
    </row>
    <row r="2500" spans="5:13" hidden="1" x14ac:dyDescent="0.35">
      <c r="E2500" s="81"/>
      <c r="I2500" s="83" t="e">
        <f>VLOOKUP(E2500,[1]Mapping!$A$3:$B$14,2,FALSE)</f>
        <v>#N/A</v>
      </c>
      <c r="J2500" s="84">
        <f t="shared" ref="J2500:J2563" si="80">VALUE(A2500)</f>
        <v>0</v>
      </c>
      <c r="K2500" s="84">
        <f t="shared" ref="K2500:K2563" si="81">VALUE(C2500)</f>
        <v>0</v>
      </c>
      <c r="L2500" s="61" t="e">
        <f>VLOOKUP(K2500,[1]Mapping!$J$3:$Q$351,8,FALSE)</f>
        <v>#N/A</v>
      </c>
      <c r="M2500" t="s">
        <v>83</v>
      </c>
    </row>
    <row r="2501" spans="5:13" hidden="1" x14ac:dyDescent="0.35">
      <c r="E2501" s="81"/>
      <c r="I2501" s="83" t="e">
        <f>VLOOKUP(E2501,[1]Mapping!$A$3:$B$14,2,FALSE)</f>
        <v>#N/A</v>
      </c>
      <c r="J2501" s="84">
        <f t="shared" si="80"/>
        <v>0</v>
      </c>
      <c r="K2501" s="84">
        <f t="shared" si="81"/>
        <v>0</v>
      </c>
      <c r="L2501" s="61" t="e">
        <f>VLOOKUP(K2501,[1]Mapping!$J$3:$Q$351,8,FALSE)</f>
        <v>#N/A</v>
      </c>
      <c r="M2501" t="s">
        <v>83</v>
      </c>
    </row>
    <row r="2502" spans="5:13" hidden="1" x14ac:dyDescent="0.35">
      <c r="E2502" s="81"/>
      <c r="I2502" s="83" t="e">
        <f>VLOOKUP(E2502,[1]Mapping!$A$3:$B$14,2,FALSE)</f>
        <v>#N/A</v>
      </c>
      <c r="J2502" s="84">
        <f t="shared" si="80"/>
        <v>0</v>
      </c>
      <c r="K2502" s="84">
        <f t="shared" si="81"/>
        <v>0</v>
      </c>
      <c r="L2502" s="61" t="e">
        <f>VLOOKUP(K2502,[1]Mapping!$J$3:$Q$351,8,FALSE)</f>
        <v>#N/A</v>
      </c>
      <c r="M2502" t="s">
        <v>83</v>
      </c>
    </row>
    <row r="2503" spans="5:13" hidden="1" x14ac:dyDescent="0.35">
      <c r="E2503" s="81"/>
      <c r="I2503" s="83" t="e">
        <f>VLOOKUP(E2503,[1]Mapping!$A$3:$B$14,2,FALSE)</f>
        <v>#N/A</v>
      </c>
      <c r="J2503" s="84">
        <f t="shared" si="80"/>
        <v>0</v>
      </c>
      <c r="K2503" s="84">
        <f t="shared" si="81"/>
        <v>0</v>
      </c>
      <c r="L2503" s="61" t="e">
        <f>VLOOKUP(K2503,[1]Mapping!$J$3:$Q$351,8,FALSE)</f>
        <v>#N/A</v>
      </c>
      <c r="M2503" t="s">
        <v>83</v>
      </c>
    </row>
    <row r="2504" spans="5:13" hidden="1" x14ac:dyDescent="0.35">
      <c r="E2504" s="81"/>
      <c r="I2504" s="83" t="e">
        <f>VLOOKUP(E2504,[1]Mapping!$A$3:$B$14,2,FALSE)</f>
        <v>#N/A</v>
      </c>
      <c r="J2504" s="84">
        <f t="shared" si="80"/>
        <v>0</v>
      </c>
      <c r="K2504" s="84">
        <f t="shared" si="81"/>
        <v>0</v>
      </c>
      <c r="L2504" s="61" t="e">
        <f>VLOOKUP(K2504,[1]Mapping!$J$3:$Q$351,8,FALSE)</f>
        <v>#N/A</v>
      </c>
      <c r="M2504" t="s">
        <v>83</v>
      </c>
    </row>
    <row r="2505" spans="5:13" hidden="1" x14ac:dyDescent="0.35">
      <c r="E2505" s="81"/>
      <c r="I2505" s="83" t="e">
        <f>VLOOKUP(E2505,[1]Mapping!$A$3:$B$14,2,FALSE)</f>
        <v>#N/A</v>
      </c>
      <c r="J2505" s="84">
        <f t="shared" si="80"/>
        <v>0</v>
      </c>
      <c r="K2505" s="84">
        <f t="shared" si="81"/>
        <v>0</v>
      </c>
      <c r="L2505" s="61" t="e">
        <f>VLOOKUP(K2505,[1]Mapping!$J$3:$Q$351,8,FALSE)</f>
        <v>#N/A</v>
      </c>
      <c r="M2505" t="s">
        <v>83</v>
      </c>
    </row>
    <row r="2506" spans="5:13" hidden="1" x14ac:dyDescent="0.35">
      <c r="E2506" s="81"/>
      <c r="I2506" s="83" t="e">
        <f>VLOOKUP(E2506,[1]Mapping!$A$3:$B$14,2,FALSE)</f>
        <v>#N/A</v>
      </c>
      <c r="J2506" s="84">
        <f t="shared" si="80"/>
        <v>0</v>
      </c>
      <c r="K2506" s="84">
        <f t="shared" si="81"/>
        <v>0</v>
      </c>
      <c r="L2506" s="61" t="e">
        <f>VLOOKUP(K2506,[1]Mapping!$J$3:$Q$351,8,FALSE)</f>
        <v>#N/A</v>
      </c>
      <c r="M2506" t="s">
        <v>83</v>
      </c>
    </row>
    <row r="2507" spans="5:13" hidden="1" x14ac:dyDescent="0.35">
      <c r="E2507" s="81"/>
      <c r="I2507" s="83" t="e">
        <f>VLOOKUP(E2507,[1]Mapping!$A$3:$B$14,2,FALSE)</f>
        <v>#N/A</v>
      </c>
      <c r="J2507" s="84">
        <f t="shared" si="80"/>
        <v>0</v>
      </c>
      <c r="K2507" s="84">
        <f t="shared" si="81"/>
        <v>0</v>
      </c>
      <c r="L2507" s="61" t="e">
        <f>VLOOKUP(K2507,[1]Mapping!$J$3:$Q$351,8,FALSE)</f>
        <v>#N/A</v>
      </c>
      <c r="M2507" t="s">
        <v>83</v>
      </c>
    </row>
    <row r="2508" spans="5:13" hidden="1" x14ac:dyDescent="0.35">
      <c r="E2508" s="81"/>
      <c r="I2508" s="83" t="e">
        <f>VLOOKUP(E2508,[1]Mapping!$A$3:$B$14,2,FALSE)</f>
        <v>#N/A</v>
      </c>
      <c r="J2508" s="84">
        <f t="shared" si="80"/>
        <v>0</v>
      </c>
      <c r="K2508" s="84">
        <f t="shared" si="81"/>
        <v>0</v>
      </c>
      <c r="L2508" s="61" t="e">
        <f>VLOOKUP(K2508,[1]Mapping!$J$3:$Q$351,8,FALSE)</f>
        <v>#N/A</v>
      </c>
      <c r="M2508" t="s">
        <v>83</v>
      </c>
    </row>
    <row r="2509" spans="5:13" hidden="1" x14ac:dyDescent="0.35">
      <c r="E2509" s="81"/>
      <c r="I2509" s="83" t="e">
        <f>VLOOKUP(E2509,[1]Mapping!$A$3:$B$14,2,FALSE)</f>
        <v>#N/A</v>
      </c>
      <c r="J2509" s="84">
        <f t="shared" si="80"/>
        <v>0</v>
      </c>
      <c r="K2509" s="84">
        <f t="shared" si="81"/>
        <v>0</v>
      </c>
      <c r="L2509" s="61" t="e">
        <f>VLOOKUP(K2509,[1]Mapping!$J$3:$Q$351,8,FALSE)</f>
        <v>#N/A</v>
      </c>
      <c r="M2509" t="s">
        <v>83</v>
      </c>
    </row>
    <row r="2510" spans="5:13" hidden="1" x14ac:dyDescent="0.35">
      <c r="E2510" s="81"/>
      <c r="I2510" s="83" t="e">
        <f>VLOOKUP(E2510,[1]Mapping!$A$3:$B$14,2,FALSE)</f>
        <v>#N/A</v>
      </c>
      <c r="J2510" s="84">
        <f t="shared" si="80"/>
        <v>0</v>
      </c>
      <c r="K2510" s="84">
        <f t="shared" si="81"/>
        <v>0</v>
      </c>
      <c r="L2510" s="61" t="e">
        <f>VLOOKUP(K2510,[1]Mapping!$J$3:$Q$351,8,FALSE)</f>
        <v>#N/A</v>
      </c>
      <c r="M2510" t="s">
        <v>83</v>
      </c>
    </row>
    <row r="2511" spans="5:13" hidden="1" x14ac:dyDescent="0.35">
      <c r="E2511" s="81"/>
      <c r="I2511" s="83" t="e">
        <f>VLOOKUP(E2511,[1]Mapping!$A$3:$B$14,2,FALSE)</f>
        <v>#N/A</v>
      </c>
      <c r="J2511" s="84">
        <f t="shared" si="80"/>
        <v>0</v>
      </c>
      <c r="K2511" s="84">
        <f t="shared" si="81"/>
        <v>0</v>
      </c>
      <c r="L2511" s="61" t="e">
        <f>VLOOKUP(K2511,[1]Mapping!$J$3:$Q$351,8,FALSE)</f>
        <v>#N/A</v>
      </c>
      <c r="M2511" t="s">
        <v>83</v>
      </c>
    </row>
    <row r="2512" spans="5:13" hidden="1" x14ac:dyDescent="0.35">
      <c r="E2512" s="81"/>
      <c r="I2512" s="83" t="e">
        <f>VLOOKUP(E2512,[1]Mapping!$A$3:$B$14,2,FALSE)</f>
        <v>#N/A</v>
      </c>
      <c r="J2512" s="84">
        <f t="shared" si="80"/>
        <v>0</v>
      </c>
      <c r="K2512" s="84">
        <f t="shared" si="81"/>
        <v>0</v>
      </c>
      <c r="L2512" s="61" t="e">
        <f>VLOOKUP(K2512,[1]Mapping!$J$3:$Q$351,8,FALSE)</f>
        <v>#N/A</v>
      </c>
      <c r="M2512" t="s">
        <v>83</v>
      </c>
    </row>
    <row r="2513" spans="5:13" hidden="1" x14ac:dyDescent="0.35">
      <c r="E2513" s="81"/>
      <c r="I2513" s="83" t="e">
        <f>VLOOKUP(E2513,[1]Mapping!$A$3:$B$14,2,FALSE)</f>
        <v>#N/A</v>
      </c>
      <c r="J2513" s="84">
        <f t="shared" si="80"/>
        <v>0</v>
      </c>
      <c r="K2513" s="84">
        <f t="shared" si="81"/>
        <v>0</v>
      </c>
      <c r="L2513" s="61" t="e">
        <f>VLOOKUP(K2513,[1]Mapping!$J$3:$Q$351,8,FALSE)</f>
        <v>#N/A</v>
      </c>
      <c r="M2513" t="s">
        <v>83</v>
      </c>
    </row>
    <row r="2514" spans="5:13" hidden="1" x14ac:dyDescent="0.35">
      <c r="E2514" s="81"/>
      <c r="I2514" s="83" t="e">
        <f>VLOOKUP(E2514,[1]Mapping!$A$3:$B$14,2,FALSE)</f>
        <v>#N/A</v>
      </c>
      <c r="J2514" s="84">
        <f t="shared" si="80"/>
        <v>0</v>
      </c>
      <c r="K2514" s="84">
        <f t="shared" si="81"/>
        <v>0</v>
      </c>
      <c r="L2514" s="61" t="e">
        <f>VLOOKUP(K2514,[1]Mapping!$J$3:$Q$351,8,FALSE)</f>
        <v>#N/A</v>
      </c>
      <c r="M2514" t="s">
        <v>83</v>
      </c>
    </row>
    <row r="2515" spans="5:13" hidden="1" x14ac:dyDescent="0.35">
      <c r="E2515" s="81"/>
      <c r="I2515" s="83" t="e">
        <f>VLOOKUP(E2515,[1]Mapping!$A$3:$B$14,2,FALSE)</f>
        <v>#N/A</v>
      </c>
      <c r="J2515" s="84">
        <f t="shared" si="80"/>
        <v>0</v>
      </c>
      <c r="K2515" s="84">
        <f t="shared" si="81"/>
        <v>0</v>
      </c>
      <c r="L2515" s="61" t="e">
        <f>VLOOKUP(K2515,[1]Mapping!$J$3:$Q$351,8,FALSE)</f>
        <v>#N/A</v>
      </c>
      <c r="M2515" t="s">
        <v>83</v>
      </c>
    </row>
    <row r="2516" spans="5:13" hidden="1" x14ac:dyDescent="0.35">
      <c r="E2516" s="81"/>
      <c r="I2516" s="83" t="e">
        <f>VLOOKUP(E2516,[1]Mapping!$A$3:$B$14,2,FALSE)</f>
        <v>#N/A</v>
      </c>
      <c r="J2516" s="84">
        <f t="shared" si="80"/>
        <v>0</v>
      </c>
      <c r="K2516" s="84">
        <f t="shared" si="81"/>
        <v>0</v>
      </c>
      <c r="L2516" s="61" t="e">
        <f>VLOOKUP(K2516,[1]Mapping!$J$3:$Q$351,8,FALSE)</f>
        <v>#N/A</v>
      </c>
      <c r="M2516" t="s">
        <v>83</v>
      </c>
    </row>
    <row r="2517" spans="5:13" hidden="1" x14ac:dyDescent="0.35">
      <c r="E2517" s="81"/>
      <c r="I2517" s="83" t="e">
        <f>VLOOKUP(E2517,[1]Mapping!$A$3:$B$14,2,FALSE)</f>
        <v>#N/A</v>
      </c>
      <c r="J2517" s="84">
        <f t="shared" si="80"/>
        <v>0</v>
      </c>
      <c r="K2517" s="84">
        <f t="shared" si="81"/>
        <v>0</v>
      </c>
      <c r="L2517" s="61" t="e">
        <f>VLOOKUP(K2517,[1]Mapping!$J$3:$Q$351,8,FALSE)</f>
        <v>#N/A</v>
      </c>
      <c r="M2517" t="s">
        <v>83</v>
      </c>
    </row>
    <row r="2518" spans="5:13" hidden="1" x14ac:dyDescent="0.35">
      <c r="E2518" s="81"/>
      <c r="I2518" s="83" t="e">
        <f>VLOOKUP(E2518,[1]Mapping!$A$3:$B$14,2,FALSE)</f>
        <v>#N/A</v>
      </c>
      <c r="J2518" s="84">
        <f t="shared" si="80"/>
        <v>0</v>
      </c>
      <c r="K2518" s="84">
        <f t="shared" si="81"/>
        <v>0</v>
      </c>
      <c r="L2518" s="61" t="e">
        <f>VLOOKUP(K2518,[1]Mapping!$J$3:$Q$351,8,FALSE)</f>
        <v>#N/A</v>
      </c>
      <c r="M2518" t="s">
        <v>83</v>
      </c>
    </row>
    <row r="2519" spans="5:13" hidden="1" x14ac:dyDescent="0.35">
      <c r="E2519" s="81"/>
      <c r="I2519" s="83" t="e">
        <f>VLOOKUP(E2519,[1]Mapping!$A$3:$B$14,2,FALSE)</f>
        <v>#N/A</v>
      </c>
      <c r="J2519" s="84">
        <f t="shared" si="80"/>
        <v>0</v>
      </c>
      <c r="K2519" s="84">
        <f t="shared" si="81"/>
        <v>0</v>
      </c>
      <c r="L2519" s="61" t="e">
        <f>VLOOKUP(K2519,[1]Mapping!$J$3:$Q$351,8,FALSE)</f>
        <v>#N/A</v>
      </c>
      <c r="M2519" t="s">
        <v>83</v>
      </c>
    </row>
    <row r="2520" spans="5:13" hidden="1" x14ac:dyDescent="0.35">
      <c r="E2520" s="81"/>
      <c r="I2520" s="83" t="e">
        <f>VLOOKUP(E2520,[1]Mapping!$A$3:$B$14,2,FALSE)</f>
        <v>#N/A</v>
      </c>
      <c r="J2520" s="84">
        <f t="shared" si="80"/>
        <v>0</v>
      </c>
      <c r="K2520" s="84">
        <f t="shared" si="81"/>
        <v>0</v>
      </c>
      <c r="L2520" s="61" t="e">
        <f>VLOOKUP(K2520,[1]Mapping!$J$3:$Q$351,8,FALSE)</f>
        <v>#N/A</v>
      </c>
      <c r="M2520" t="s">
        <v>83</v>
      </c>
    </row>
    <row r="2521" spans="5:13" hidden="1" x14ac:dyDescent="0.35">
      <c r="E2521" s="81"/>
      <c r="I2521" s="83" t="e">
        <f>VLOOKUP(E2521,[1]Mapping!$A$3:$B$14,2,FALSE)</f>
        <v>#N/A</v>
      </c>
      <c r="J2521" s="84">
        <f t="shared" si="80"/>
        <v>0</v>
      </c>
      <c r="K2521" s="84">
        <f t="shared" si="81"/>
        <v>0</v>
      </c>
      <c r="L2521" s="61" t="e">
        <f>VLOOKUP(K2521,[1]Mapping!$J$3:$Q$351,8,FALSE)</f>
        <v>#N/A</v>
      </c>
      <c r="M2521" t="s">
        <v>83</v>
      </c>
    </row>
    <row r="2522" spans="5:13" hidden="1" x14ac:dyDescent="0.35">
      <c r="E2522" s="81"/>
      <c r="I2522" s="83" t="e">
        <f>VLOOKUP(E2522,[1]Mapping!$A$3:$B$14,2,FALSE)</f>
        <v>#N/A</v>
      </c>
      <c r="J2522" s="84">
        <f t="shared" si="80"/>
        <v>0</v>
      </c>
      <c r="K2522" s="84">
        <f t="shared" si="81"/>
        <v>0</v>
      </c>
      <c r="L2522" s="61" t="e">
        <f>VLOOKUP(K2522,[1]Mapping!$J$3:$Q$351,8,FALSE)</f>
        <v>#N/A</v>
      </c>
      <c r="M2522" t="s">
        <v>83</v>
      </c>
    </row>
    <row r="2523" spans="5:13" hidden="1" x14ac:dyDescent="0.35">
      <c r="E2523" s="81"/>
      <c r="I2523" s="83" t="e">
        <f>VLOOKUP(E2523,[1]Mapping!$A$3:$B$14,2,FALSE)</f>
        <v>#N/A</v>
      </c>
      <c r="J2523" s="84">
        <f t="shared" si="80"/>
        <v>0</v>
      </c>
      <c r="K2523" s="84">
        <f t="shared" si="81"/>
        <v>0</v>
      </c>
      <c r="L2523" s="61" t="e">
        <f>VLOOKUP(K2523,[1]Mapping!$J$3:$Q$351,8,FALSE)</f>
        <v>#N/A</v>
      </c>
      <c r="M2523" t="s">
        <v>83</v>
      </c>
    </row>
    <row r="2524" spans="5:13" hidden="1" x14ac:dyDescent="0.35">
      <c r="E2524" s="81"/>
      <c r="I2524" s="83" t="e">
        <f>VLOOKUP(E2524,[1]Mapping!$A$3:$B$14,2,FALSE)</f>
        <v>#N/A</v>
      </c>
      <c r="J2524" s="84">
        <f t="shared" si="80"/>
        <v>0</v>
      </c>
      <c r="K2524" s="84">
        <f t="shared" si="81"/>
        <v>0</v>
      </c>
      <c r="L2524" s="61" t="e">
        <f>VLOOKUP(K2524,[1]Mapping!$J$3:$Q$351,8,FALSE)</f>
        <v>#N/A</v>
      </c>
      <c r="M2524" t="s">
        <v>83</v>
      </c>
    </row>
    <row r="2525" spans="5:13" hidden="1" x14ac:dyDescent="0.35">
      <c r="E2525" s="81"/>
      <c r="I2525" s="83" t="e">
        <f>VLOOKUP(E2525,[1]Mapping!$A$3:$B$14,2,FALSE)</f>
        <v>#N/A</v>
      </c>
      <c r="J2525" s="84">
        <f t="shared" si="80"/>
        <v>0</v>
      </c>
      <c r="K2525" s="84">
        <f t="shared" si="81"/>
        <v>0</v>
      </c>
      <c r="L2525" s="61" t="e">
        <f>VLOOKUP(K2525,[1]Mapping!$J$3:$Q$351,8,FALSE)</f>
        <v>#N/A</v>
      </c>
      <c r="M2525" t="s">
        <v>83</v>
      </c>
    </row>
    <row r="2526" spans="5:13" hidden="1" x14ac:dyDescent="0.35">
      <c r="E2526" s="81"/>
      <c r="I2526" s="83" t="e">
        <f>VLOOKUP(E2526,[1]Mapping!$A$3:$B$14,2,FALSE)</f>
        <v>#N/A</v>
      </c>
      <c r="J2526" s="84">
        <f t="shared" si="80"/>
        <v>0</v>
      </c>
      <c r="K2526" s="84">
        <f t="shared" si="81"/>
        <v>0</v>
      </c>
      <c r="L2526" s="61" t="e">
        <f>VLOOKUP(K2526,[1]Mapping!$J$3:$Q$351,8,FALSE)</f>
        <v>#N/A</v>
      </c>
      <c r="M2526" t="s">
        <v>83</v>
      </c>
    </row>
    <row r="2527" spans="5:13" hidden="1" x14ac:dyDescent="0.35">
      <c r="E2527" s="81"/>
      <c r="I2527" s="83" t="e">
        <f>VLOOKUP(E2527,[1]Mapping!$A$3:$B$14,2,FALSE)</f>
        <v>#N/A</v>
      </c>
      <c r="J2527" s="84">
        <f t="shared" si="80"/>
        <v>0</v>
      </c>
      <c r="K2527" s="84">
        <f t="shared" si="81"/>
        <v>0</v>
      </c>
      <c r="L2527" s="61" t="e">
        <f>VLOOKUP(K2527,[1]Mapping!$J$3:$Q$351,8,FALSE)</f>
        <v>#N/A</v>
      </c>
      <c r="M2527" t="s">
        <v>83</v>
      </c>
    </row>
    <row r="2528" spans="5:13" hidden="1" x14ac:dyDescent="0.35">
      <c r="E2528" s="81"/>
      <c r="I2528" s="83" t="e">
        <f>VLOOKUP(E2528,[1]Mapping!$A$3:$B$14,2,FALSE)</f>
        <v>#N/A</v>
      </c>
      <c r="J2528" s="84">
        <f t="shared" si="80"/>
        <v>0</v>
      </c>
      <c r="K2528" s="84">
        <f t="shared" si="81"/>
        <v>0</v>
      </c>
      <c r="L2528" s="61" t="e">
        <f>VLOOKUP(K2528,[1]Mapping!$J$3:$Q$351,8,FALSE)</f>
        <v>#N/A</v>
      </c>
      <c r="M2528" t="s">
        <v>83</v>
      </c>
    </row>
    <row r="2529" spans="5:13" hidden="1" x14ac:dyDescent="0.35">
      <c r="E2529" s="81"/>
      <c r="I2529" s="83" t="e">
        <f>VLOOKUP(E2529,[1]Mapping!$A$3:$B$14,2,FALSE)</f>
        <v>#N/A</v>
      </c>
      <c r="J2529" s="84">
        <f t="shared" si="80"/>
        <v>0</v>
      </c>
      <c r="K2529" s="84">
        <f t="shared" si="81"/>
        <v>0</v>
      </c>
      <c r="L2529" s="61" t="e">
        <f>VLOOKUP(K2529,[1]Mapping!$J$3:$Q$351,8,FALSE)</f>
        <v>#N/A</v>
      </c>
      <c r="M2529" t="s">
        <v>83</v>
      </c>
    </row>
    <row r="2530" spans="5:13" hidden="1" x14ac:dyDescent="0.35">
      <c r="E2530" s="81"/>
      <c r="I2530" s="83" t="e">
        <f>VLOOKUP(E2530,[1]Mapping!$A$3:$B$14,2,FALSE)</f>
        <v>#N/A</v>
      </c>
      <c r="J2530" s="84">
        <f t="shared" si="80"/>
        <v>0</v>
      </c>
      <c r="K2530" s="84">
        <f t="shared" si="81"/>
        <v>0</v>
      </c>
      <c r="L2530" s="61" t="e">
        <f>VLOOKUP(K2530,[1]Mapping!$J$3:$Q$351,8,FALSE)</f>
        <v>#N/A</v>
      </c>
      <c r="M2530" t="s">
        <v>83</v>
      </c>
    </row>
    <row r="2531" spans="5:13" hidden="1" x14ac:dyDescent="0.35">
      <c r="E2531" s="81"/>
      <c r="I2531" s="83" t="e">
        <f>VLOOKUP(E2531,[1]Mapping!$A$3:$B$14,2,FALSE)</f>
        <v>#N/A</v>
      </c>
      <c r="J2531" s="84">
        <f t="shared" si="80"/>
        <v>0</v>
      </c>
      <c r="K2531" s="84">
        <f t="shared" si="81"/>
        <v>0</v>
      </c>
      <c r="L2531" s="61" t="e">
        <f>VLOOKUP(K2531,[1]Mapping!$J$3:$Q$351,8,FALSE)</f>
        <v>#N/A</v>
      </c>
      <c r="M2531" t="s">
        <v>83</v>
      </c>
    </row>
    <row r="2532" spans="5:13" hidden="1" x14ac:dyDescent="0.35">
      <c r="E2532" s="81"/>
      <c r="I2532" s="83" t="e">
        <f>VLOOKUP(E2532,[1]Mapping!$A$3:$B$14,2,FALSE)</f>
        <v>#N/A</v>
      </c>
      <c r="J2532" s="84">
        <f t="shared" si="80"/>
        <v>0</v>
      </c>
      <c r="K2532" s="84">
        <f t="shared" si="81"/>
        <v>0</v>
      </c>
      <c r="L2532" s="61" t="e">
        <f>VLOOKUP(K2532,[1]Mapping!$J$3:$Q$351,8,FALSE)</f>
        <v>#N/A</v>
      </c>
      <c r="M2532" t="s">
        <v>83</v>
      </c>
    </row>
    <row r="2533" spans="5:13" hidden="1" x14ac:dyDescent="0.35">
      <c r="E2533" s="81"/>
      <c r="I2533" s="83" t="e">
        <f>VLOOKUP(E2533,[1]Mapping!$A$3:$B$14,2,FALSE)</f>
        <v>#N/A</v>
      </c>
      <c r="J2533" s="84">
        <f t="shared" si="80"/>
        <v>0</v>
      </c>
      <c r="K2533" s="84">
        <f t="shared" si="81"/>
        <v>0</v>
      </c>
      <c r="L2533" s="61" t="e">
        <f>VLOOKUP(K2533,[1]Mapping!$J$3:$Q$351,8,FALSE)</f>
        <v>#N/A</v>
      </c>
      <c r="M2533" t="s">
        <v>83</v>
      </c>
    </row>
    <row r="2534" spans="5:13" hidden="1" x14ac:dyDescent="0.35">
      <c r="E2534" s="81"/>
      <c r="I2534" s="83" t="e">
        <f>VLOOKUP(E2534,[1]Mapping!$A$3:$B$14,2,FALSE)</f>
        <v>#N/A</v>
      </c>
      <c r="J2534" s="84">
        <f t="shared" si="80"/>
        <v>0</v>
      </c>
      <c r="K2534" s="84">
        <f t="shared" si="81"/>
        <v>0</v>
      </c>
      <c r="L2534" s="61" t="e">
        <f>VLOOKUP(K2534,[1]Mapping!$J$3:$Q$351,8,FALSE)</f>
        <v>#N/A</v>
      </c>
      <c r="M2534" t="s">
        <v>83</v>
      </c>
    </row>
    <row r="2535" spans="5:13" hidden="1" x14ac:dyDescent="0.35">
      <c r="E2535" s="81"/>
      <c r="I2535" s="83" t="e">
        <f>VLOOKUP(E2535,[1]Mapping!$A$3:$B$14,2,FALSE)</f>
        <v>#N/A</v>
      </c>
      <c r="J2535" s="84">
        <f t="shared" si="80"/>
        <v>0</v>
      </c>
      <c r="K2535" s="84">
        <f t="shared" si="81"/>
        <v>0</v>
      </c>
      <c r="L2535" s="61" t="e">
        <f>VLOOKUP(K2535,[1]Mapping!$J$3:$Q$351,8,FALSE)</f>
        <v>#N/A</v>
      </c>
      <c r="M2535" t="s">
        <v>83</v>
      </c>
    </row>
    <row r="2536" spans="5:13" hidden="1" x14ac:dyDescent="0.35">
      <c r="E2536" s="81"/>
      <c r="I2536" s="83" t="e">
        <f>VLOOKUP(E2536,[1]Mapping!$A$3:$B$14,2,FALSE)</f>
        <v>#N/A</v>
      </c>
      <c r="J2536" s="84">
        <f t="shared" si="80"/>
        <v>0</v>
      </c>
      <c r="K2536" s="84">
        <f t="shared" si="81"/>
        <v>0</v>
      </c>
      <c r="L2536" s="61" t="e">
        <f>VLOOKUP(K2536,[1]Mapping!$J$3:$Q$351,8,FALSE)</f>
        <v>#N/A</v>
      </c>
      <c r="M2536" t="s">
        <v>83</v>
      </c>
    </row>
    <row r="2537" spans="5:13" hidden="1" x14ac:dyDescent="0.35">
      <c r="E2537" s="81"/>
      <c r="I2537" s="83" t="e">
        <f>VLOOKUP(E2537,[1]Mapping!$A$3:$B$14,2,FALSE)</f>
        <v>#N/A</v>
      </c>
      <c r="J2537" s="84">
        <f t="shared" si="80"/>
        <v>0</v>
      </c>
      <c r="K2537" s="84">
        <f t="shared" si="81"/>
        <v>0</v>
      </c>
      <c r="L2537" s="61" t="e">
        <f>VLOOKUP(K2537,[1]Mapping!$J$3:$Q$351,8,FALSE)</f>
        <v>#N/A</v>
      </c>
      <c r="M2537" t="s">
        <v>83</v>
      </c>
    </row>
    <row r="2538" spans="5:13" hidden="1" x14ac:dyDescent="0.35">
      <c r="E2538" s="81"/>
      <c r="I2538" s="83" t="e">
        <f>VLOOKUP(E2538,[1]Mapping!$A$3:$B$14,2,FALSE)</f>
        <v>#N/A</v>
      </c>
      <c r="J2538" s="84">
        <f t="shared" si="80"/>
        <v>0</v>
      </c>
      <c r="K2538" s="84">
        <f t="shared" si="81"/>
        <v>0</v>
      </c>
      <c r="L2538" s="61" t="e">
        <f>VLOOKUP(K2538,[1]Mapping!$J$3:$Q$351,8,FALSE)</f>
        <v>#N/A</v>
      </c>
      <c r="M2538" t="s">
        <v>83</v>
      </c>
    </row>
    <row r="2539" spans="5:13" hidden="1" x14ac:dyDescent="0.35">
      <c r="E2539" s="81"/>
      <c r="I2539" s="83" t="e">
        <f>VLOOKUP(E2539,[1]Mapping!$A$3:$B$14,2,FALSE)</f>
        <v>#N/A</v>
      </c>
      <c r="J2539" s="84">
        <f t="shared" si="80"/>
        <v>0</v>
      </c>
      <c r="K2539" s="84">
        <f t="shared" si="81"/>
        <v>0</v>
      </c>
      <c r="L2539" s="61" t="e">
        <f>VLOOKUP(K2539,[1]Mapping!$J$3:$Q$351,8,FALSE)</f>
        <v>#N/A</v>
      </c>
      <c r="M2539" t="s">
        <v>83</v>
      </c>
    </row>
    <row r="2540" spans="5:13" hidden="1" x14ac:dyDescent="0.35">
      <c r="E2540" s="81"/>
      <c r="I2540" s="83" t="e">
        <f>VLOOKUP(E2540,[1]Mapping!$A$3:$B$14,2,FALSE)</f>
        <v>#N/A</v>
      </c>
      <c r="J2540" s="84">
        <f t="shared" si="80"/>
        <v>0</v>
      </c>
      <c r="K2540" s="84">
        <f t="shared" si="81"/>
        <v>0</v>
      </c>
      <c r="L2540" s="61" t="e">
        <f>VLOOKUP(K2540,[1]Mapping!$J$3:$Q$351,8,FALSE)</f>
        <v>#N/A</v>
      </c>
      <c r="M2540" t="s">
        <v>83</v>
      </c>
    </row>
    <row r="2541" spans="5:13" hidden="1" x14ac:dyDescent="0.35">
      <c r="E2541" s="81"/>
      <c r="I2541" s="83" t="e">
        <f>VLOOKUP(E2541,[1]Mapping!$A$3:$B$14,2,FALSE)</f>
        <v>#N/A</v>
      </c>
      <c r="J2541" s="84">
        <f t="shared" si="80"/>
        <v>0</v>
      </c>
      <c r="K2541" s="84">
        <f t="shared" si="81"/>
        <v>0</v>
      </c>
      <c r="L2541" s="61" t="e">
        <f>VLOOKUP(K2541,[1]Mapping!$J$3:$Q$351,8,FALSE)</f>
        <v>#N/A</v>
      </c>
      <c r="M2541" t="s">
        <v>83</v>
      </c>
    </row>
    <row r="2542" spans="5:13" hidden="1" x14ac:dyDescent="0.35">
      <c r="E2542" s="81"/>
      <c r="I2542" s="83" t="e">
        <f>VLOOKUP(E2542,[1]Mapping!$A$3:$B$14,2,FALSE)</f>
        <v>#N/A</v>
      </c>
      <c r="J2542" s="84">
        <f t="shared" si="80"/>
        <v>0</v>
      </c>
      <c r="K2542" s="84">
        <f t="shared" si="81"/>
        <v>0</v>
      </c>
      <c r="L2542" s="61" t="e">
        <f>VLOOKUP(K2542,[1]Mapping!$J$3:$Q$351,8,FALSE)</f>
        <v>#N/A</v>
      </c>
      <c r="M2542" t="s">
        <v>83</v>
      </c>
    </row>
    <row r="2543" spans="5:13" hidden="1" x14ac:dyDescent="0.35">
      <c r="E2543" s="81"/>
      <c r="I2543" s="83" t="e">
        <f>VLOOKUP(E2543,[1]Mapping!$A$3:$B$14,2,FALSE)</f>
        <v>#N/A</v>
      </c>
      <c r="J2543" s="84">
        <f t="shared" si="80"/>
        <v>0</v>
      </c>
      <c r="K2543" s="84">
        <f t="shared" si="81"/>
        <v>0</v>
      </c>
      <c r="L2543" s="61" t="e">
        <f>VLOOKUP(K2543,[1]Mapping!$J$3:$Q$351,8,FALSE)</f>
        <v>#N/A</v>
      </c>
      <c r="M2543" t="s">
        <v>83</v>
      </c>
    </row>
    <row r="2544" spans="5:13" hidden="1" x14ac:dyDescent="0.35">
      <c r="E2544" s="81"/>
      <c r="I2544" s="83" t="e">
        <f>VLOOKUP(E2544,[1]Mapping!$A$3:$B$14,2,FALSE)</f>
        <v>#N/A</v>
      </c>
      <c r="J2544" s="84">
        <f t="shared" si="80"/>
        <v>0</v>
      </c>
      <c r="K2544" s="84">
        <f t="shared" si="81"/>
        <v>0</v>
      </c>
      <c r="L2544" s="61" t="e">
        <f>VLOOKUP(K2544,[1]Mapping!$J$3:$Q$351,8,FALSE)</f>
        <v>#N/A</v>
      </c>
      <c r="M2544" t="s">
        <v>83</v>
      </c>
    </row>
    <row r="2545" spans="5:13" hidden="1" x14ac:dyDescent="0.35">
      <c r="E2545" s="81"/>
      <c r="I2545" s="83" t="e">
        <f>VLOOKUP(E2545,[1]Mapping!$A$3:$B$14,2,FALSE)</f>
        <v>#N/A</v>
      </c>
      <c r="J2545" s="84">
        <f t="shared" si="80"/>
        <v>0</v>
      </c>
      <c r="K2545" s="84">
        <f t="shared" si="81"/>
        <v>0</v>
      </c>
      <c r="L2545" s="61" t="e">
        <f>VLOOKUP(K2545,[1]Mapping!$J$3:$Q$351,8,FALSE)</f>
        <v>#N/A</v>
      </c>
      <c r="M2545" t="s">
        <v>83</v>
      </c>
    </row>
    <row r="2546" spans="5:13" hidden="1" x14ac:dyDescent="0.35">
      <c r="E2546" s="81"/>
      <c r="I2546" s="83" t="e">
        <f>VLOOKUP(E2546,[1]Mapping!$A$3:$B$14,2,FALSE)</f>
        <v>#N/A</v>
      </c>
      <c r="J2546" s="84">
        <f t="shared" si="80"/>
        <v>0</v>
      </c>
      <c r="K2546" s="84">
        <f t="shared" si="81"/>
        <v>0</v>
      </c>
      <c r="L2546" s="61" t="e">
        <f>VLOOKUP(K2546,[1]Mapping!$J$3:$Q$351,8,FALSE)</f>
        <v>#N/A</v>
      </c>
      <c r="M2546" t="s">
        <v>83</v>
      </c>
    </row>
    <row r="2547" spans="5:13" hidden="1" x14ac:dyDescent="0.35">
      <c r="E2547" s="81"/>
      <c r="I2547" s="83" t="e">
        <f>VLOOKUP(E2547,[1]Mapping!$A$3:$B$14,2,FALSE)</f>
        <v>#N/A</v>
      </c>
      <c r="J2547" s="84">
        <f t="shared" si="80"/>
        <v>0</v>
      </c>
      <c r="K2547" s="84">
        <f t="shared" si="81"/>
        <v>0</v>
      </c>
      <c r="L2547" s="61" t="e">
        <f>VLOOKUP(K2547,[1]Mapping!$J$3:$Q$351,8,FALSE)</f>
        <v>#N/A</v>
      </c>
      <c r="M2547" t="s">
        <v>83</v>
      </c>
    </row>
    <row r="2548" spans="5:13" hidden="1" x14ac:dyDescent="0.35">
      <c r="E2548" s="81"/>
      <c r="I2548" s="83" t="e">
        <f>VLOOKUP(E2548,[1]Mapping!$A$3:$B$14,2,FALSE)</f>
        <v>#N/A</v>
      </c>
      <c r="J2548" s="84">
        <f t="shared" si="80"/>
        <v>0</v>
      </c>
      <c r="K2548" s="84">
        <f t="shared" si="81"/>
        <v>0</v>
      </c>
      <c r="L2548" s="61" t="e">
        <f>VLOOKUP(K2548,[1]Mapping!$J$3:$Q$351,8,FALSE)</f>
        <v>#N/A</v>
      </c>
      <c r="M2548" t="s">
        <v>83</v>
      </c>
    </row>
    <row r="2549" spans="5:13" hidden="1" x14ac:dyDescent="0.35">
      <c r="E2549" s="81"/>
      <c r="I2549" s="83" t="e">
        <f>VLOOKUP(E2549,[1]Mapping!$A$3:$B$14,2,FALSE)</f>
        <v>#N/A</v>
      </c>
      <c r="J2549" s="84">
        <f t="shared" si="80"/>
        <v>0</v>
      </c>
      <c r="K2549" s="84">
        <f t="shared" si="81"/>
        <v>0</v>
      </c>
      <c r="L2549" s="61" t="e">
        <f>VLOOKUP(K2549,[1]Mapping!$J$3:$Q$351,8,FALSE)</f>
        <v>#N/A</v>
      </c>
      <c r="M2549" t="s">
        <v>83</v>
      </c>
    </row>
    <row r="2550" spans="5:13" hidden="1" x14ac:dyDescent="0.35">
      <c r="E2550" s="81"/>
      <c r="I2550" s="83" t="e">
        <f>VLOOKUP(E2550,[1]Mapping!$A$3:$B$14,2,FALSE)</f>
        <v>#N/A</v>
      </c>
      <c r="J2550" s="84">
        <f t="shared" si="80"/>
        <v>0</v>
      </c>
      <c r="K2550" s="84">
        <f t="shared" si="81"/>
        <v>0</v>
      </c>
      <c r="L2550" s="61" t="e">
        <f>VLOOKUP(K2550,[1]Mapping!$J$3:$Q$351,8,FALSE)</f>
        <v>#N/A</v>
      </c>
      <c r="M2550" t="s">
        <v>83</v>
      </c>
    </row>
    <row r="2551" spans="5:13" hidden="1" x14ac:dyDescent="0.35">
      <c r="E2551" s="81"/>
      <c r="I2551" s="83" t="e">
        <f>VLOOKUP(E2551,[1]Mapping!$A$3:$B$14,2,FALSE)</f>
        <v>#N/A</v>
      </c>
      <c r="J2551" s="84">
        <f t="shared" si="80"/>
        <v>0</v>
      </c>
      <c r="K2551" s="84">
        <f t="shared" si="81"/>
        <v>0</v>
      </c>
      <c r="L2551" s="61" t="e">
        <f>VLOOKUP(K2551,[1]Mapping!$J$3:$Q$351,8,FALSE)</f>
        <v>#N/A</v>
      </c>
      <c r="M2551" t="s">
        <v>83</v>
      </c>
    </row>
    <row r="2552" spans="5:13" hidden="1" x14ac:dyDescent="0.35">
      <c r="E2552" s="81"/>
      <c r="I2552" s="83" t="e">
        <f>VLOOKUP(E2552,[1]Mapping!$A$3:$B$14,2,FALSE)</f>
        <v>#N/A</v>
      </c>
      <c r="J2552" s="84">
        <f t="shared" si="80"/>
        <v>0</v>
      </c>
      <c r="K2552" s="84">
        <f t="shared" si="81"/>
        <v>0</v>
      </c>
      <c r="L2552" s="61" t="e">
        <f>VLOOKUP(K2552,[1]Mapping!$J$3:$Q$351,8,FALSE)</f>
        <v>#N/A</v>
      </c>
      <c r="M2552" t="s">
        <v>83</v>
      </c>
    </row>
    <row r="2553" spans="5:13" hidden="1" x14ac:dyDescent="0.35">
      <c r="E2553" s="81"/>
      <c r="I2553" s="83" t="e">
        <f>VLOOKUP(E2553,[1]Mapping!$A$3:$B$14,2,FALSE)</f>
        <v>#N/A</v>
      </c>
      <c r="J2553" s="84">
        <f t="shared" si="80"/>
        <v>0</v>
      </c>
      <c r="K2553" s="84">
        <f t="shared" si="81"/>
        <v>0</v>
      </c>
      <c r="L2553" s="61" t="e">
        <f>VLOOKUP(K2553,[1]Mapping!$J$3:$Q$351,8,FALSE)</f>
        <v>#N/A</v>
      </c>
      <c r="M2553" t="s">
        <v>83</v>
      </c>
    </row>
    <row r="2554" spans="5:13" hidden="1" x14ac:dyDescent="0.35">
      <c r="E2554" s="81"/>
      <c r="I2554" s="83" t="e">
        <f>VLOOKUP(E2554,[1]Mapping!$A$3:$B$14,2,FALSE)</f>
        <v>#N/A</v>
      </c>
      <c r="J2554" s="84">
        <f t="shared" si="80"/>
        <v>0</v>
      </c>
      <c r="K2554" s="84">
        <f t="shared" si="81"/>
        <v>0</v>
      </c>
      <c r="L2554" s="61" t="e">
        <f>VLOOKUP(K2554,[1]Mapping!$J$3:$Q$351,8,FALSE)</f>
        <v>#N/A</v>
      </c>
      <c r="M2554" t="s">
        <v>83</v>
      </c>
    </row>
    <row r="2555" spans="5:13" hidden="1" x14ac:dyDescent="0.35">
      <c r="E2555" s="81"/>
      <c r="I2555" s="83" t="e">
        <f>VLOOKUP(E2555,[1]Mapping!$A$3:$B$14,2,FALSE)</f>
        <v>#N/A</v>
      </c>
      <c r="J2555" s="84">
        <f t="shared" si="80"/>
        <v>0</v>
      </c>
      <c r="K2555" s="84">
        <f t="shared" si="81"/>
        <v>0</v>
      </c>
      <c r="L2555" s="61" t="e">
        <f>VLOOKUP(K2555,[1]Mapping!$J$3:$Q$351,8,FALSE)</f>
        <v>#N/A</v>
      </c>
      <c r="M2555" t="s">
        <v>83</v>
      </c>
    </row>
    <row r="2556" spans="5:13" hidden="1" x14ac:dyDescent="0.35">
      <c r="E2556" s="81"/>
      <c r="I2556" s="83" t="e">
        <f>VLOOKUP(E2556,[1]Mapping!$A$3:$B$14,2,FALSE)</f>
        <v>#N/A</v>
      </c>
      <c r="J2556" s="84">
        <f t="shared" si="80"/>
        <v>0</v>
      </c>
      <c r="K2556" s="84">
        <f t="shared" si="81"/>
        <v>0</v>
      </c>
      <c r="L2556" s="61" t="e">
        <f>VLOOKUP(K2556,[1]Mapping!$J$3:$Q$351,8,FALSE)</f>
        <v>#N/A</v>
      </c>
      <c r="M2556" t="s">
        <v>83</v>
      </c>
    </row>
    <row r="2557" spans="5:13" hidden="1" x14ac:dyDescent="0.35">
      <c r="E2557" s="81"/>
      <c r="I2557" s="83" t="e">
        <f>VLOOKUP(E2557,[1]Mapping!$A$3:$B$14,2,FALSE)</f>
        <v>#N/A</v>
      </c>
      <c r="J2557" s="84">
        <f t="shared" si="80"/>
        <v>0</v>
      </c>
      <c r="K2557" s="84">
        <f t="shared" si="81"/>
        <v>0</v>
      </c>
      <c r="L2557" s="61" t="e">
        <f>VLOOKUP(K2557,[1]Mapping!$J$3:$Q$351,8,FALSE)</f>
        <v>#N/A</v>
      </c>
      <c r="M2557" t="s">
        <v>83</v>
      </c>
    </row>
    <row r="2558" spans="5:13" hidden="1" x14ac:dyDescent="0.35">
      <c r="E2558" s="81"/>
      <c r="I2558" s="83" t="e">
        <f>VLOOKUP(E2558,[1]Mapping!$A$3:$B$14,2,FALSE)</f>
        <v>#N/A</v>
      </c>
      <c r="J2558" s="84">
        <f t="shared" si="80"/>
        <v>0</v>
      </c>
      <c r="K2558" s="84">
        <f t="shared" si="81"/>
        <v>0</v>
      </c>
      <c r="L2558" s="61" t="e">
        <f>VLOOKUP(K2558,[1]Mapping!$J$3:$Q$351,8,FALSE)</f>
        <v>#N/A</v>
      </c>
      <c r="M2558" t="s">
        <v>83</v>
      </c>
    </row>
    <row r="2559" spans="5:13" hidden="1" x14ac:dyDescent="0.35">
      <c r="E2559" s="81"/>
      <c r="I2559" s="83" t="e">
        <f>VLOOKUP(E2559,[1]Mapping!$A$3:$B$14,2,FALSE)</f>
        <v>#N/A</v>
      </c>
      <c r="J2559" s="84">
        <f t="shared" si="80"/>
        <v>0</v>
      </c>
      <c r="K2559" s="84">
        <f t="shared" si="81"/>
        <v>0</v>
      </c>
      <c r="L2559" s="61" t="e">
        <f>VLOOKUP(K2559,[1]Mapping!$J$3:$Q$351,8,FALSE)</f>
        <v>#N/A</v>
      </c>
      <c r="M2559" t="s">
        <v>83</v>
      </c>
    </row>
    <row r="2560" spans="5:13" hidden="1" x14ac:dyDescent="0.35">
      <c r="E2560" s="81"/>
      <c r="I2560" s="83" t="e">
        <f>VLOOKUP(E2560,[1]Mapping!$A$3:$B$14,2,FALSE)</f>
        <v>#N/A</v>
      </c>
      <c r="J2560" s="84">
        <f t="shared" si="80"/>
        <v>0</v>
      </c>
      <c r="K2560" s="84">
        <f t="shared" si="81"/>
        <v>0</v>
      </c>
      <c r="L2560" s="61" t="e">
        <f>VLOOKUP(K2560,[1]Mapping!$J$3:$Q$351,8,FALSE)</f>
        <v>#N/A</v>
      </c>
      <c r="M2560" t="s">
        <v>83</v>
      </c>
    </row>
    <row r="2561" spans="5:13" hidden="1" x14ac:dyDescent="0.35">
      <c r="E2561" s="81"/>
      <c r="I2561" s="83" t="e">
        <f>VLOOKUP(E2561,[1]Mapping!$A$3:$B$14,2,FALSE)</f>
        <v>#N/A</v>
      </c>
      <c r="J2561" s="84">
        <f t="shared" si="80"/>
        <v>0</v>
      </c>
      <c r="K2561" s="84">
        <f t="shared" si="81"/>
        <v>0</v>
      </c>
      <c r="L2561" s="61" t="e">
        <f>VLOOKUP(K2561,[1]Mapping!$J$3:$Q$351,8,FALSE)</f>
        <v>#N/A</v>
      </c>
      <c r="M2561" t="s">
        <v>83</v>
      </c>
    </row>
    <row r="2562" spans="5:13" hidden="1" x14ac:dyDescent="0.35">
      <c r="E2562" s="81"/>
      <c r="I2562" s="83" t="e">
        <f>VLOOKUP(E2562,[1]Mapping!$A$3:$B$14,2,FALSE)</f>
        <v>#N/A</v>
      </c>
      <c r="J2562" s="84">
        <f t="shared" si="80"/>
        <v>0</v>
      </c>
      <c r="K2562" s="84">
        <f t="shared" si="81"/>
        <v>0</v>
      </c>
      <c r="L2562" s="61" t="e">
        <f>VLOOKUP(K2562,[1]Mapping!$J$3:$Q$351,8,FALSE)</f>
        <v>#N/A</v>
      </c>
      <c r="M2562" t="s">
        <v>83</v>
      </c>
    </row>
    <row r="2563" spans="5:13" hidden="1" x14ac:dyDescent="0.35">
      <c r="E2563" s="81"/>
      <c r="I2563" s="83" t="e">
        <f>VLOOKUP(E2563,[1]Mapping!$A$3:$B$14,2,FALSE)</f>
        <v>#N/A</v>
      </c>
      <c r="J2563" s="84">
        <f t="shared" si="80"/>
        <v>0</v>
      </c>
      <c r="K2563" s="84">
        <f t="shared" si="81"/>
        <v>0</v>
      </c>
      <c r="L2563" s="61" t="e">
        <f>VLOOKUP(K2563,[1]Mapping!$J$3:$Q$351,8,FALSE)</f>
        <v>#N/A</v>
      </c>
      <c r="M2563" t="s">
        <v>83</v>
      </c>
    </row>
    <row r="2564" spans="5:13" hidden="1" x14ac:dyDescent="0.35">
      <c r="E2564" s="81"/>
      <c r="I2564" s="83" t="e">
        <f>VLOOKUP(E2564,[1]Mapping!$A$3:$B$14,2,FALSE)</f>
        <v>#N/A</v>
      </c>
      <c r="J2564" s="84">
        <f t="shared" ref="J2564:J2627" si="82">VALUE(A2564)</f>
        <v>0</v>
      </c>
      <c r="K2564" s="84">
        <f t="shared" ref="K2564:K2627" si="83">VALUE(C2564)</f>
        <v>0</v>
      </c>
      <c r="L2564" s="61" t="e">
        <f>VLOOKUP(K2564,[1]Mapping!$J$3:$Q$351,8,FALSE)</f>
        <v>#N/A</v>
      </c>
      <c r="M2564" t="s">
        <v>83</v>
      </c>
    </row>
    <row r="2565" spans="5:13" hidden="1" x14ac:dyDescent="0.35">
      <c r="E2565" s="81"/>
      <c r="I2565" s="83" t="e">
        <f>VLOOKUP(E2565,[1]Mapping!$A$3:$B$14,2,FALSE)</f>
        <v>#N/A</v>
      </c>
      <c r="J2565" s="84">
        <f t="shared" si="82"/>
        <v>0</v>
      </c>
      <c r="K2565" s="84">
        <f t="shared" si="83"/>
        <v>0</v>
      </c>
      <c r="L2565" s="61" t="e">
        <f>VLOOKUP(K2565,[1]Mapping!$J$3:$Q$351,8,FALSE)</f>
        <v>#N/A</v>
      </c>
      <c r="M2565" t="s">
        <v>83</v>
      </c>
    </row>
    <row r="2566" spans="5:13" hidden="1" x14ac:dyDescent="0.35">
      <c r="E2566" s="81"/>
      <c r="I2566" s="83" t="e">
        <f>VLOOKUP(E2566,[1]Mapping!$A$3:$B$14,2,FALSE)</f>
        <v>#N/A</v>
      </c>
      <c r="J2566" s="84">
        <f t="shared" si="82"/>
        <v>0</v>
      </c>
      <c r="K2566" s="84">
        <f t="shared" si="83"/>
        <v>0</v>
      </c>
      <c r="L2566" s="61" t="e">
        <f>VLOOKUP(K2566,[1]Mapping!$J$3:$Q$351,8,FALSE)</f>
        <v>#N/A</v>
      </c>
      <c r="M2566" t="s">
        <v>83</v>
      </c>
    </row>
    <row r="2567" spans="5:13" hidden="1" x14ac:dyDescent="0.35">
      <c r="E2567" s="81"/>
      <c r="I2567" s="83" t="e">
        <f>VLOOKUP(E2567,[1]Mapping!$A$3:$B$14,2,FALSE)</f>
        <v>#N/A</v>
      </c>
      <c r="J2567" s="84">
        <f t="shared" si="82"/>
        <v>0</v>
      </c>
      <c r="K2567" s="84">
        <f t="shared" si="83"/>
        <v>0</v>
      </c>
      <c r="L2567" s="61" t="e">
        <f>VLOOKUP(K2567,[1]Mapping!$J$3:$Q$351,8,FALSE)</f>
        <v>#N/A</v>
      </c>
      <c r="M2567" t="s">
        <v>83</v>
      </c>
    </row>
    <row r="2568" spans="5:13" hidden="1" x14ac:dyDescent="0.35">
      <c r="E2568" s="81"/>
      <c r="I2568" s="83" t="e">
        <f>VLOOKUP(E2568,[1]Mapping!$A$3:$B$14,2,FALSE)</f>
        <v>#N/A</v>
      </c>
      <c r="J2568" s="84">
        <f t="shared" si="82"/>
        <v>0</v>
      </c>
      <c r="K2568" s="84">
        <f t="shared" si="83"/>
        <v>0</v>
      </c>
      <c r="L2568" s="61" t="e">
        <f>VLOOKUP(K2568,[1]Mapping!$J$3:$Q$351,8,FALSE)</f>
        <v>#N/A</v>
      </c>
      <c r="M2568" t="s">
        <v>83</v>
      </c>
    </row>
    <row r="2569" spans="5:13" hidden="1" x14ac:dyDescent="0.35">
      <c r="E2569" s="81"/>
      <c r="I2569" s="83" t="e">
        <f>VLOOKUP(E2569,[1]Mapping!$A$3:$B$14,2,FALSE)</f>
        <v>#N/A</v>
      </c>
      <c r="J2569" s="84">
        <f t="shared" si="82"/>
        <v>0</v>
      </c>
      <c r="K2569" s="84">
        <f t="shared" si="83"/>
        <v>0</v>
      </c>
      <c r="L2569" s="61" t="e">
        <f>VLOOKUP(K2569,[1]Mapping!$J$3:$Q$351,8,FALSE)</f>
        <v>#N/A</v>
      </c>
      <c r="M2569" t="s">
        <v>83</v>
      </c>
    </row>
    <row r="2570" spans="5:13" hidden="1" x14ac:dyDescent="0.35">
      <c r="E2570" s="81"/>
      <c r="I2570" s="83" t="e">
        <f>VLOOKUP(E2570,[1]Mapping!$A$3:$B$14,2,FALSE)</f>
        <v>#N/A</v>
      </c>
      <c r="J2570" s="84">
        <f t="shared" si="82"/>
        <v>0</v>
      </c>
      <c r="K2570" s="84">
        <f t="shared" si="83"/>
        <v>0</v>
      </c>
      <c r="L2570" s="61" t="e">
        <f>VLOOKUP(K2570,[1]Mapping!$J$3:$Q$351,8,FALSE)</f>
        <v>#N/A</v>
      </c>
      <c r="M2570" t="s">
        <v>83</v>
      </c>
    </row>
    <row r="2571" spans="5:13" hidden="1" x14ac:dyDescent="0.35">
      <c r="E2571" s="81"/>
      <c r="I2571" s="83" t="e">
        <f>VLOOKUP(E2571,[1]Mapping!$A$3:$B$14,2,FALSE)</f>
        <v>#N/A</v>
      </c>
      <c r="J2571" s="84">
        <f t="shared" si="82"/>
        <v>0</v>
      </c>
      <c r="K2571" s="84">
        <f t="shared" si="83"/>
        <v>0</v>
      </c>
      <c r="L2571" s="61" t="e">
        <f>VLOOKUP(K2571,[1]Mapping!$J$3:$Q$351,8,FALSE)</f>
        <v>#N/A</v>
      </c>
      <c r="M2571" t="s">
        <v>83</v>
      </c>
    </row>
    <row r="2572" spans="5:13" hidden="1" x14ac:dyDescent="0.35">
      <c r="E2572" s="81"/>
      <c r="I2572" s="83" t="e">
        <f>VLOOKUP(E2572,[1]Mapping!$A$3:$B$14,2,FALSE)</f>
        <v>#N/A</v>
      </c>
      <c r="J2572" s="84">
        <f t="shared" si="82"/>
        <v>0</v>
      </c>
      <c r="K2572" s="84">
        <f t="shared" si="83"/>
        <v>0</v>
      </c>
      <c r="L2572" s="61" t="e">
        <f>VLOOKUP(K2572,[1]Mapping!$J$3:$Q$351,8,FALSE)</f>
        <v>#N/A</v>
      </c>
      <c r="M2572" t="s">
        <v>83</v>
      </c>
    </row>
    <row r="2573" spans="5:13" hidden="1" x14ac:dyDescent="0.35">
      <c r="E2573" s="81"/>
      <c r="I2573" s="83" t="e">
        <f>VLOOKUP(E2573,[1]Mapping!$A$3:$B$14,2,FALSE)</f>
        <v>#N/A</v>
      </c>
      <c r="J2573" s="84">
        <f t="shared" si="82"/>
        <v>0</v>
      </c>
      <c r="K2573" s="84">
        <f t="shared" si="83"/>
        <v>0</v>
      </c>
      <c r="L2573" s="61" t="e">
        <f>VLOOKUP(K2573,[1]Mapping!$J$3:$Q$351,8,FALSE)</f>
        <v>#N/A</v>
      </c>
      <c r="M2573" t="s">
        <v>83</v>
      </c>
    </row>
    <row r="2574" spans="5:13" hidden="1" x14ac:dyDescent="0.35">
      <c r="E2574" s="81"/>
      <c r="I2574" s="83" t="e">
        <f>VLOOKUP(E2574,[1]Mapping!$A$3:$B$14,2,FALSE)</f>
        <v>#N/A</v>
      </c>
      <c r="J2574" s="84">
        <f t="shared" si="82"/>
        <v>0</v>
      </c>
      <c r="K2574" s="84">
        <f t="shared" si="83"/>
        <v>0</v>
      </c>
      <c r="L2574" s="61" t="e">
        <f>VLOOKUP(K2574,[1]Mapping!$J$3:$Q$351,8,FALSE)</f>
        <v>#N/A</v>
      </c>
      <c r="M2574" t="s">
        <v>83</v>
      </c>
    </row>
    <row r="2575" spans="5:13" hidden="1" x14ac:dyDescent="0.35">
      <c r="E2575" s="81"/>
      <c r="I2575" s="83" t="e">
        <f>VLOOKUP(E2575,[1]Mapping!$A$3:$B$14,2,FALSE)</f>
        <v>#N/A</v>
      </c>
      <c r="J2575" s="84">
        <f t="shared" si="82"/>
        <v>0</v>
      </c>
      <c r="K2575" s="84">
        <f t="shared" si="83"/>
        <v>0</v>
      </c>
      <c r="L2575" s="61" t="e">
        <f>VLOOKUP(K2575,[1]Mapping!$J$3:$Q$351,8,FALSE)</f>
        <v>#N/A</v>
      </c>
      <c r="M2575" t="s">
        <v>83</v>
      </c>
    </row>
    <row r="2576" spans="5:13" hidden="1" x14ac:dyDescent="0.35">
      <c r="E2576" s="81"/>
      <c r="I2576" s="83" t="e">
        <f>VLOOKUP(E2576,[1]Mapping!$A$3:$B$14,2,FALSE)</f>
        <v>#N/A</v>
      </c>
      <c r="J2576" s="84">
        <f t="shared" si="82"/>
        <v>0</v>
      </c>
      <c r="K2576" s="84">
        <f t="shared" si="83"/>
        <v>0</v>
      </c>
      <c r="L2576" s="61" t="e">
        <f>VLOOKUP(K2576,[1]Mapping!$J$3:$Q$351,8,FALSE)</f>
        <v>#N/A</v>
      </c>
      <c r="M2576" t="s">
        <v>83</v>
      </c>
    </row>
    <row r="2577" spans="5:13" hidden="1" x14ac:dyDescent="0.35">
      <c r="E2577" s="81"/>
      <c r="I2577" s="83" t="e">
        <f>VLOOKUP(E2577,[1]Mapping!$A$3:$B$14,2,FALSE)</f>
        <v>#N/A</v>
      </c>
      <c r="J2577" s="84">
        <f t="shared" si="82"/>
        <v>0</v>
      </c>
      <c r="K2577" s="84">
        <f t="shared" si="83"/>
        <v>0</v>
      </c>
      <c r="L2577" s="61" t="e">
        <f>VLOOKUP(K2577,[1]Mapping!$J$3:$Q$351,8,FALSE)</f>
        <v>#N/A</v>
      </c>
      <c r="M2577" t="s">
        <v>83</v>
      </c>
    </row>
    <row r="2578" spans="5:13" hidden="1" x14ac:dyDescent="0.35">
      <c r="E2578" s="81"/>
      <c r="I2578" s="83" t="e">
        <f>VLOOKUP(E2578,[1]Mapping!$A$3:$B$14,2,FALSE)</f>
        <v>#N/A</v>
      </c>
      <c r="J2578" s="84">
        <f t="shared" si="82"/>
        <v>0</v>
      </c>
      <c r="K2578" s="84">
        <f t="shared" si="83"/>
        <v>0</v>
      </c>
      <c r="L2578" s="61" t="e">
        <f>VLOOKUP(K2578,[1]Mapping!$J$3:$Q$351,8,FALSE)</f>
        <v>#N/A</v>
      </c>
      <c r="M2578" t="s">
        <v>83</v>
      </c>
    </row>
    <row r="2579" spans="5:13" hidden="1" x14ac:dyDescent="0.35">
      <c r="E2579" s="81"/>
      <c r="I2579" s="83" t="e">
        <f>VLOOKUP(E2579,[1]Mapping!$A$3:$B$14,2,FALSE)</f>
        <v>#N/A</v>
      </c>
      <c r="J2579" s="84">
        <f t="shared" si="82"/>
        <v>0</v>
      </c>
      <c r="K2579" s="84">
        <f t="shared" si="83"/>
        <v>0</v>
      </c>
      <c r="L2579" s="61" t="e">
        <f>VLOOKUP(K2579,[1]Mapping!$J$3:$Q$351,8,FALSE)</f>
        <v>#N/A</v>
      </c>
      <c r="M2579" t="s">
        <v>83</v>
      </c>
    </row>
    <row r="2580" spans="5:13" hidden="1" x14ac:dyDescent="0.35">
      <c r="E2580" s="81"/>
      <c r="I2580" s="83" t="e">
        <f>VLOOKUP(E2580,[1]Mapping!$A$3:$B$14,2,FALSE)</f>
        <v>#N/A</v>
      </c>
      <c r="J2580" s="84">
        <f t="shared" si="82"/>
        <v>0</v>
      </c>
      <c r="K2580" s="84">
        <f t="shared" si="83"/>
        <v>0</v>
      </c>
      <c r="L2580" s="61" t="e">
        <f>VLOOKUP(K2580,[1]Mapping!$J$3:$Q$351,8,FALSE)</f>
        <v>#N/A</v>
      </c>
      <c r="M2580" t="s">
        <v>83</v>
      </c>
    </row>
    <row r="2581" spans="5:13" hidden="1" x14ac:dyDescent="0.35">
      <c r="E2581" s="81"/>
      <c r="I2581" s="83" t="e">
        <f>VLOOKUP(E2581,[1]Mapping!$A$3:$B$14,2,FALSE)</f>
        <v>#N/A</v>
      </c>
      <c r="J2581" s="84">
        <f t="shared" si="82"/>
        <v>0</v>
      </c>
      <c r="K2581" s="84">
        <f t="shared" si="83"/>
        <v>0</v>
      </c>
      <c r="L2581" s="61" t="e">
        <f>VLOOKUP(K2581,[1]Mapping!$J$3:$Q$351,8,FALSE)</f>
        <v>#N/A</v>
      </c>
      <c r="M2581" t="s">
        <v>83</v>
      </c>
    </row>
    <row r="2582" spans="5:13" hidden="1" x14ac:dyDescent="0.35">
      <c r="E2582" s="81"/>
      <c r="I2582" s="83" t="e">
        <f>VLOOKUP(E2582,[1]Mapping!$A$3:$B$14,2,FALSE)</f>
        <v>#N/A</v>
      </c>
      <c r="J2582" s="84">
        <f t="shared" si="82"/>
        <v>0</v>
      </c>
      <c r="K2582" s="84">
        <f t="shared" si="83"/>
        <v>0</v>
      </c>
      <c r="L2582" s="61" t="e">
        <f>VLOOKUP(K2582,[1]Mapping!$J$3:$Q$351,8,FALSE)</f>
        <v>#N/A</v>
      </c>
      <c r="M2582" t="s">
        <v>83</v>
      </c>
    </row>
    <row r="2583" spans="5:13" hidden="1" x14ac:dyDescent="0.35">
      <c r="E2583" s="81"/>
      <c r="I2583" s="83" t="e">
        <f>VLOOKUP(E2583,[1]Mapping!$A$3:$B$14,2,FALSE)</f>
        <v>#N/A</v>
      </c>
      <c r="J2583" s="84">
        <f t="shared" si="82"/>
        <v>0</v>
      </c>
      <c r="K2583" s="84">
        <f t="shared" si="83"/>
        <v>0</v>
      </c>
      <c r="L2583" s="61" t="e">
        <f>VLOOKUP(K2583,[1]Mapping!$J$3:$Q$351,8,FALSE)</f>
        <v>#N/A</v>
      </c>
      <c r="M2583" t="s">
        <v>83</v>
      </c>
    </row>
    <row r="2584" spans="5:13" hidden="1" x14ac:dyDescent="0.35">
      <c r="E2584" s="81"/>
      <c r="I2584" s="83" t="e">
        <f>VLOOKUP(E2584,[1]Mapping!$A$3:$B$14,2,FALSE)</f>
        <v>#N/A</v>
      </c>
      <c r="J2584" s="84">
        <f t="shared" si="82"/>
        <v>0</v>
      </c>
      <c r="K2584" s="84">
        <f t="shared" si="83"/>
        <v>0</v>
      </c>
      <c r="L2584" s="61" t="e">
        <f>VLOOKUP(K2584,[1]Mapping!$J$3:$Q$351,8,FALSE)</f>
        <v>#N/A</v>
      </c>
      <c r="M2584" t="s">
        <v>83</v>
      </c>
    </row>
    <row r="2585" spans="5:13" hidden="1" x14ac:dyDescent="0.35">
      <c r="E2585" s="81"/>
      <c r="I2585" s="83" t="e">
        <f>VLOOKUP(E2585,[1]Mapping!$A$3:$B$14,2,FALSE)</f>
        <v>#N/A</v>
      </c>
      <c r="J2585" s="84">
        <f t="shared" si="82"/>
        <v>0</v>
      </c>
      <c r="K2585" s="84">
        <f t="shared" si="83"/>
        <v>0</v>
      </c>
      <c r="L2585" s="61" t="e">
        <f>VLOOKUP(K2585,[1]Mapping!$J$3:$Q$351,8,FALSE)</f>
        <v>#N/A</v>
      </c>
      <c r="M2585" t="s">
        <v>83</v>
      </c>
    </row>
    <row r="2586" spans="5:13" hidden="1" x14ac:dyDescent="0.35">
      <c r="E2586" s="81"/>
      <c r="I2586" s="83" t="e">
        <f>VLOOKUP(E2586,[1]Mapping!$A$3:$B$14,2,FALSE)</f>
        <v>#N/A</v>
      </c>
      <c r="J2586" s="84">
        <f t="shared" si="82"/>
        <v>0</v>
      </c>
      <c r="K2586" s="84">
        <f t="shared" si="83"/>
        <v>0</v>
      </c>
      <c r="L2586" s="61" t="e">
        <f>VLOOKUP(K2586,[1]Mapping!$J$3:$Q$351,8,FALSE)</f>
        <v>#N/A</v>
      </c>
      <c r="M2586" t="s">
        <v>83</v>
      </c>
    </row>
    <row r="2587" spans="5:13" hidden="1" x14ac:dyDescent="0.35">
      <c r="E2587" s="81"/>
      <c r="I2587" s="83" t="e">
        <f>VLOOKUP(E2587,[1]Mapping!$A$3:$B$14,2,FALSE)</f>
        <v>#N/A</v>
      </c>
      <c r="J2587" s="84">
        <f t="shared" si="82"/>
        <v>0</v>
      </c>
      <c r="K2587" s="84">
        <f t="shared" si="83"/>
        <v>0</v>
      </c>
      <c r="L2587" s="61" t="e">
        <f>VLOOKUP(K2587,[1]Mapping!$J$3:$Q$351,8,FALSE)</f>
        <v>#N/A</v>
      </c>
      <c r="M2587" t="s">
        <v>83</v>
      </c>
    </row>
    <row r="2588" spans="5:13" hidden="1" x14ac:dyDescent="0.35">
      <c r="E2588" s="81"/>
      <c r="I2588" s="83" t="e">
        <f>VLOOKUP(E2588,[1]Mapping!$A$3:$B$14,2,FALSE)</f>
        <v>#N/A</v>
      </c>
      <c r="J2588" s="84">
        <f t="shared" si="82"/>
        <v>0</v>
      </c>
      <c r="K2588" s="84">
        <f t="shared" si="83"/>
        <v>0</v>
      </c>
      <c r="L2588" s="61" t="e">
        <f>VLOOKUP(K2588,[1]Mapping!$J$3:$Q$351,8,FALSE)</f>
        <v>#N/A</v>
      </c>
      <c r="M2588" t="s">
        <v>83</v>
      </c>
    </row>
    <row r="2589" spans="5:13" hidden="1" x14ac:dyDescent="0.35">
      <c r="E2589" s="81"/>
      <c r="I2589" s="83" t="e">
        <f>VLOOKUP(E2589,[1]Mapping!$A$3:$B$14,2,FALSE)</f>
        <v>#N/A</v>
      </c>
      <c r="J2589" s="84">
        <f t="shared" si="82"/>
        <v>0</v>
      </c>
      <c r="K2589" s="84">
        <f t="shared" si="83"/>
        <v>0</v>
      </c>
      <c r="L2589" s="61" t="e">
        <f>VLOOKUP(K2589,[1]Mapping!$J$3:$Q$351,8,FALSE)</f>
        <v>#N/A</v>
      </c>
      <c r="M2589" t="s">
        <v>83</v>
      </c>
    </row>
    <row r="2590" spans="5:13" hidden="1" x14ac:dyDescent="0.35">
      <c r="E2590" s="81"/>
      <c r="I2590" s="83" t="e">
        <f>VLOOKUP(E2590,[1]Mapping!$A$3:$B$14,2,FALSE)</f>
        <v>#N/A</v>
      </c>
      <c r="J2590" s="84">
        <f t="shared" si="82"/>
        <v>0</v>
      </c>
      <c r="K2590" s="84">
        <f t="shared" si="83"/>
        <v>0</v>
      </c>
      <c r="L2590" s="61" t="e">
        <f>VLOOKUP(K2590,[1]Mapping!$J$3:$Q$351,8,FALSE)</f>
        <v>#N/A</v>
      </c>
      <c r="M2590" t="s">
        <v>83</v>
      </c>
    </row>
    <row r="2591" spans="5:13" hidden="1" x14ac:dyDescent="0.35">
      <c r="E2591" s="81"/>
      <c r="I2591" s="83" t="e">
        <f>VLOOKUP(E2591,[1]Mapping!$A$3:$B$14,2,FALSE)</f>
        <v>#N/A</v>
      </c>
      <c r="J2591" s="84">
        <f t="shared" si="82"/>
        <v>0</v>
      </c>
      <c r="K2591" s="84">
        <f t="shared" si="83"/>
        <v>0</v>
      </c>
      <c r="L2591" s="61" t="e">
        <f>VLOOKUP(K2591,[1]Mapping!$J$3:$Q$351,8,FALSE)</f>
        <v>#N/A</v>
      </c>
      <c r="M2591" t="s">
        <v>83</v>
      </c>
    </row>
    <row r="2592" spans="5:13" hidden="1" x14ac:dyDescent="0.35">
      <c r="E2592" s="81"/>
      <c r="I2592" s="83" t="e">
        <f>VLOOKUP(E2592,[1]Mapping!$A$3:$B$14,2,FALSE)</f>
        <v>#N/A</v>
      </c>
      <c r="J2592" s="84">
        <f t="shared" si="82"/>
        <v>0</v>
      </c>
      <c r="K2592" s="84">
        <f t="shared" si="83"/>
        <v>0</v>
      </c>
      <c r="L2592" s="61" t="e">
        <f>VLOOKUP(K2592,[1]Mapping!$J$3:$Q$351,8,FALSE)</f>
        <v>#N/A</v>
      </c>
      <c r="M2592" t="s">
        <v>83</v>
      </c>
    </row>
    <row r="2593" spans="5:13" hidden="1" x14ac:dyDescent="0.35">
      <c r="E2593" s="81"/>
      <c r="I2593" s="83" t="e">
        <f>VLOOKUP(E2593,[1]Mapping!$A$3:$B$14,2,FALSE)</f>
        <v>#N/A</v>
      </c>
      <c r="J2593" s="84">
        <f t="shared" si="82"/>
        <v>0</v>
      </c>
      <c r="K2593" s="84">
        <f t="shared" si="83"/>
        <v>0</v>
      </c>
      <c r="L2593" s="61" t="e">
        <f>VLOOKUP(K2593,[1]Mapping!$J$3:$Q$351,8,FALSE)</f>
        <v>#N/A</v>
      </c>
      <c r="M2593" t="s">
        <v>83</v>
      </c>
    </row>
    <row r="2594" spans="5:13" hidden="1" x14ac:dyDescent="0.35">
      <c r="E2594" s="81"/>
      <c r="I2594" s="83" t="e">
        <f>VLOOKUP(E2594,[1]Mapping!$A$3:$B$14,2,FALSE)</f>
        <v>#N/A</v>
      </c>
      <c r="J2594" s="84">
        <f t="shared" si="82"/>
        <v>0</v>
      </c>
      <c r="K2594" s="84">
        <f t="shared" si="83"/>
        <v>0</v>
      </c>
      <c r="L2594" s="61" t="e">
        <f>VLOOKUP(K2594,[1]Mapping!$J$3:$Q$351,8,FALSE)</f>
        <v>#N/A</v>
      </c>
      <c r="M2594" t="s">
        <v>83</v>
      </c>
    </row>
    <row r="2595" spans="5:13" hidden="1" x14ac:dyDescent="0.35">
      <c r="E2595" s="81"/>
      <c r="I2595" s="83" t="e">
        <f>VLOOKUP(E2595,[1]Mapping!$A$3:$B$14,2,FALSE)</f>
        <v>#N/A</v>
      </c>
      <c r="J2595" s="84">
        <f t="shared" si="82"/>
        <v>0</v>
      </c>
      <c r="K2595" s="84">
        <f t="shared" si="83"/>
        <v>0</v>
      </c>
      <c r="L2595" s="61" t="e">
        <f>VLOOKUP(K2595,[1]Mapping!$J$3:$Q$351,8,FALSE)</f>
        <v>#N/A</v>
      </c>
      <c r="M2595" t="s">
        <v>83</v>
      </c>
    </row>
    <row r="2596" spans="5:13" hidden="1" x14ac:dyDescent="0.35">
      <c r="E2596" s="81"/>
      <c r="I2596" s="83" t="e">
        <f>VLOOKUP(E2596,[1]Mapping!$A$3:$B$14,2,FALSE)</f>
        <v>#N/A</v>
      </c>
      <c r="J2596" s="84">
        <f t="shared" si="82"/>
        <v>0</v>
      </c>
      <c r="K2596" s="84">
        <f t="shared" si="83"/>
        <v>0</v>
      </c>
      <c r="L2596" s="61" t="e">
        <f>VLOOKUP(K2596,[1]Mapping!$J$3:$Q$351,8,FALSE)</f>
        <v>#N/A</v>
      </c>
      <c r="M2596" t="s">
        <v>83</v>
      </c>
    </row>
    <row r="2597" spans="5:13" hidden="1" x14ac:dyDescent="0.35">
      <c r="E2597" s="81"/>
      <c r="I2597" s="83" t="e">
        <f>VLOOKUP(E2597,[1]Mapping!$A$3:$B$14,2,FALSE)</f>
        <v>#N/A</v>
      </c>
      <c r="J2597" s="84">
        <f t="shared" si="82"/>
        <v>0</v>
      </c>
      <c r="K2597" s="84">
        <f t="shared" si="83"/>
        <v>0</v>
      </c>
      <c r="L2597" s="61" t="e">
        <f>VLOOKUP(K2597,[1]Mapping!$J$3:$Q$351,8,FALSE)</f>
        <v>#N/A</v>
      </c>
      <c r="M2597" t="s">
        <v>83</v>
      </c>
    </row>
    <row r="2598" spans="5:13" hidden="1" x14ac:dyDescent="0.35">
      <c r="E2598" s="81"/>
      <c r="I2598" s="83" t="e">
        <f>VLOOKUP(E2598,[1]Mapping!$A$3:$B$14,2,FALSE)</f>
        <v>#N/A</v>
      </c>
      <c r="J2598" s="84">
        <f t="shared" si="82"/>
        <v>0</v>
      </c>
      <c r="K2598" s="84">
        <f t="shared" si="83"/>
        <v>0</v>
      </c>
      <c r="L2598" s="61" t="e">
        <f>VLOOKUP(K2598,[1]Mapping!$J$3:$Q$351,8,FALSE)</f>
        <v>#N/A</v>
      </c>
      <c r="M2598" t="s">
        <v>83</v>
      </c>
    </row>
    <row r="2599" spans="5:13" hidden="1" x14ac:dyDescent="0.35">
      <c r="E2599" s="81"/>
      <c r="I2599" s="83" t="e">
        <f>VLOOKUP(E2599,[1]Mapping!$A$3:$B$14,2,FALSE)</f>
        <v>#N/A</v>
      </c>
      <c r="J2599" s="84">
        <f t="shared" si="82"/>
        <v>0</v>
      </c>
      <c r="K2599" s="84">
        <f t="shared" si="83"/>
        <v>0</v>
      </c>
      <c r="L2599" s="61" t="e">
        <f>VLOOKUP(K2599,[1]Mapping!$J$3:$Q$351,8,FALSE)</f>
        <v>#N/A</v>
      </c>
      <c r="M2599" t="s">
        <v>83</v>
      </c>
    </row>
    <row r="2600" spans="5:13" hidden="1" x14ac:dyDescent="0.35">
      <c r="E2600" s="81"/>
      <c r="I2600" s="83" t="e">
        <f>VLOOKUP(E2600,[1]Mapping!$A$3:$B$14,2,FALSE)</f>
        <v>#N/A</v>
      </c>
      <c r="J2600" s="84">
        <f t="shared" si="82"/>
        <v>0</v>
      </c>
      <c r="K2600" s="84">
        <f t="shared" si="83"/>
        <v>0</v>
      </c>
      <c r="L2600" s="61" t="e">
        <f>VLOOKUP(K2600,[1]Mapping!$J$3:$Q$351,8,FALSE)</f>
        <v>#N/A</v>
      </c>
      <c r="M2600" t="s">
        <v>83</v>
      </c>
    </row>
    <row r="2601" spans="5:13" hidden="1" x14ac:dyDescent="0.35">
      <c r="E2601" s="81"/>
      <c r="I2601" s="83" t="e">
        <f>VLOOKUP(E2601,[1]Mapping!$A$3:$B$14,2,FALSE)</f>
        <v>#N/A</v>
      </c>
      <c r="J2601" s="84">
        <f t="shared" si="82"/>
        <v>0</v>
      </c>
      <c r="K2601" s="84">
        <f t="shared" si="83"/>
        <v>0</v>
      </c>
      <c r="L2601" s="61" t="e">
        <f>VLOOKUP(K2601,[1]Mapping!$J$3:$Q$351,8,FALSE)</f>
        <v>#N/A</v>
      </c>
      <c r="M2601" t="s">
        <v>83</v>
      </c>
    </row>
    <row r="2602" spans="5:13" hidden="1" x14ac:dyDescent="0.35">
      <c r="E2602" s="81"/>
      <c r="I2602" s="83" t="e">
        <f>VLOOKUP(E2602,[1]Mapping!$A$3:$B$14,2,FALSE)</f>
        <v>#N/A</v>
      </c>
      <c r="J2602" s="84">
        <f t="shared" si="82"/>
        <v>0</v>
      </c>
      <c r="K2602" s="84">
        <f t="shared" si="83"/>
        <v>0</v>
      </c>
      <c r="L2602" s="61" t="e">
        <f>VLOOKUP(K2602,[1]Mapping!$J$3:$Q$351,8,FALSE)</f>
        <v>#N/A</v>
      </c>
      <c r="M2602" t="s">
        <v>83</v>
      </c>
    </row>
    <row r="2603" spans="5:13" hidden="1" x14ac:dyDescent="0.35">
      <c r="E2603" s="81"/>
      <c r="I2603" s="83" t="e">
        <f>VLOOKUP(E2603,[1]Mapping!$A$3:$B$14,2,FALSE)</f>
        <v>#N/A</v>
      </c>
      <c r="J2603" s="84">
        <f t="shared" si="82"/>
        <v>0</v>
      </c>
      <c r="K2603" s="84">
        <f t="shared" si="83"/>
        <v>0</v>
      </c>
      <c r="L2603" s="61" t="e">
        <f>VLOOKUP(K2603,[1]Mapping!$J$3:$Q$351,8,FALSE)</f>
        <v>#N/A</v>
      </c>
      <c r="M2603" t="s">
        <v>83</v>
      </c>
    </row>
    <row r="2604" spans="5:13" hidden="1" x14ac:dyDescent="0.35">
      <c r="E2604" s="81"/>
      <c r="I2604" s="83" t="e">
        <f>VLOOKUP(E2604,[1]Mapping!$A$3:$B$14,2,FALSE)</f>
        <v>#N/A</v>
      </c>
      <c r="J2604" s="84">
        <f t="shared" si="82"/>
        <v>0</v>
      </c>
      <c r="K2604" s="84">
        <f t="shared" si="83"/>
        <v>0</v>
      </c>
      <c r="L2604" s="61" t="e">
        <f>VLOOKUP(K2604,[1]Mapping!$J$3:$Q$351,8,FALSE)</f>
        <v>#N/A</v>
      </c>
      <c r="M2604" t="s">
        <v>83</v>
      </c>
    </row>
    <row r="2605" spans="5:13" hidden="1" x14ac:dyDescent="0.35">
      <c r="E2605" s="81"/>
      <c r="I2605" s="83" t="e">
        <f>VLOOKUP(E2605,[1]Mapping!$A$3:$B$14,2,FALSE)</f>
        <v>#N/A</v>
      </c>
      <c r="J2605" s="84">
        <f t="shared" si="82"/>
        <v>0</v>
      </c>
      <c r="K2605" s="84">
        <f t="shared" si="83"/>
        <v>0</v>
      </c>
      <c r="L2605" s="61" t="e">
        <f>VLOOKUP(K2605,[1]Mapping!$J$3:$Q$351,8,FALSE)</f>
        <v>#N/A</v>
      </c>
      <c r="M2605" t="s">
        <v>83</v>
      </c>
    </row>
    <row r="2606" spans="5:13" hidden="1" x14ac:dyDescent="0.35">
      <c r="E2606" s="81"/>
      <c r="I2606" s="83" t="e">
        <f>VLOOKUP(E2606,[1]Mapping!$A$3:$B$14,2,FALSE)</f>
        <v>#N/A</v>
      </c>
      <c r="J2606" s="84">
        <f t="shared" si="82"/>
        <v>0</v>
      </c>
      <c r="K2606" s="84">
        <f t="shared" si="83"/>
        <v>0</v>
      </c>
      <c r="L2606" s="61" t="e">
        <f>VLOOKUP(K2606,[1]Mapping!$J$3:$Q$351,8,FALSE)</f>
        <v>#N/A</v>
      </c>
      <c r="M2606" t="s">
        <v>83</v>
      </c>
    </row>
    <row r="2607" spans="5:13" hidden="1" x14ac:dyDescent="0.35">
      <c r="E2607" s="81"/>
      <c r="I2607" s="83" t="e">
        <f>VLOOKUP(E2607,[1]Mapping!$A$3:$B$14,2,FALSE)</f>
        <v>#N/A</v>
      </c>
      <c r="J2607" s="84">
        <f t="shared" si="82"/>
        <v>0</v>
      </c>
      <c r="K2607" s="84">
        <f t="shared" si="83"/>
        <v>0</v>
      </c>
      <c r="L2607" s="61" t="e">
        <f>VLOOKUP(K2607,[1]Mapping!$J$3:$Q$351,8,FALSE)</f>
        <v>#N/A</v>
      </c>
      <c r="M2607" t="s">
        <v>83</v>
      </c>
    </row>
    <row r="2608" spans="5:13" hidden="1" x14ac:dyDescent="0.35">
      <c r="E2608" s="81"/>
      <c r="I2608" s="83" t="e">
        <f>VLOOKUP(E2608,[1]Mapping!$A$3:$B$14,2,FALSE)</f>
        <v>#N/A</v>
      </c>
      <c r="J2608" s="84">
        <f t="shared" si="82"/>
        <v>0</v>
      </c>
      <c r="K2608" s="84">
        <f t="shared" si="83"/>
        <v>0</v>
      </c>
      <c r="L2608" s="61" t="e">
        <f>VLOOKUP(K2608,[1]Mapping!$J$3:$Q$351,8,FALSE)</f>
        <v>#N/A</v>
      </c>
      <c r="M2608" t="s">
        <v>83</v>
      </c>
    </row>
    <row r="2609" spans="5:13" hidden="1" x14ac:dyDescent="0.35">
      <c r="E2609" s="81"/>
      <c r="I2609" s="83" t="e">
        <f>VLOOKUP(E2609,[1]Mapping!$A$3:$B$14,2,FALSE)</f>
        <v>#N/A</v>
      </c>
      <c r="J2609" s="84">
        <f t="shared" si="82"/>
        <v>0</v>
      </c>
      <c r="K2609" s="84">
        <f t="shared" si="83"/>
        <v>0</v>
      </c>
      <c r="L2609" s="61" t="e">
        <f>VLOOKUP(K2609,[1]Mapping!$J$3:$Q$351,8,FALSE)</f>
        <v>#N/A</v>
      </c>
      <c r="M2609" t="s">
        <v>83</v>
      </c>
    </row>
    <row r="2610" spans="5:13" hidden="1" x14ac:dyDescent="0.35">
      <c r="E2610" s="81"/>
      <c r="I2610" s="83" t="e">
        <f>VLOOKUP(E2610,[1]Mapping!$A$3:$B$14,2,FALSE)</f>
        <v>#N/A</v>
      </c>
      <c r="J2610" s="84">
        <f t="shared" si="82"/>
        <v>0</v>
      </c>
      <c r="K2610" s="84">
        <f t="shared" si="83"/>
        <v>0</v>
      </c>
      <c r="L2610" s="61" t="e">
        <f>VLOOKUP(K2610,[1]Mapping!$J$3:$Q$351,8,FALSE)</f>
        <v>#N/A</v>
      </c>
      <c r="M2610" t="s">
        <v>83</v>
      </c>
    </row>
    <row r="2611" spans="5:13" hidden="1" x14ac:dyDescent="0.35">
      <c r="E2611" s="81"/>
      <c r="I2611" s="83" t="e">
        <f>VLOOKUP(E2611,[1]Mapping!$A$3:$B$14,2,FALSE)</f>
        <v>#N/A</v>
      </c>
      <c r="J2611" s="84">
        <f t="shared" si="82"/>
        <v>0</v>
      </c>
      <c r="K2611" s="84">
        <f t="shared" si="83"/>
        <v>0</v>
      </c>
      <c r="L2611" s="61" t="e">
        <f>VLOOKUP(K2611,[1]Mapping!$J$3:$Q$351,8,FALSE)</f>
        <v>#N/A</v>
      </c>
      <c r="M2611" t="s">
        <v>83</v>
      </c>
    </row>
    <row r="2612" spans="5:13" hidden="1" x14ac:dyDescent="0.35">
      <c r="E2612" s="81"/>
      <c r="I2612" s="83" t="e">
        <f>VLOOKUP(E2612,[1]Mapping!$A$3:$B$14,2,FALSE)</f>
        <v>#N/A</v>
      </c>
      <c r="J2612" s="84">
        <f t="shared" si="82"/>
        <v>0</v>
      </c>
      <c r="K2612" s="84">
        <f t="shared" si="83"/>
        <v>0</v>
      </c>
      <c r="L2612" s="61" t="e">
        <f>VLOOKUP(K2612,[1]Mapping!$J$3:$Q$351,8,FALSE)</f>
        <v>#N/A</v>
      </c>
      <c r="M2612" t="s">
        <v>83</v>
      </c>
    </row>
    <row r="2613" spans="5:13" hidden="1" x14ac:dyDescent="0.35">
      <c r="E2613" s="81"/>
      <c r="I2613" s="83" t="e">
        <f>VLOOKUP(E2613,[1]Mapping!$A$3:$B$14,2,FALSE)</f>
        <v>#N/A</v>
      </c>
      <c r="J2613" s="84">
        <f t="shared" si="82"/>
        <v>0</v>
      </c>
      <c r="K2613" s="84">
        <f t="shared" si="83"/>
        <v>0</v>
      </c>
      <c r="L2613" s="61" t="e">
        <f>VLOOKUP(K2613,[1]Mapping!$J$3:$Q$351,8,FALSE)</f>
        <v>#N/A</v>
      </c>
      <c r="M2613" t="s">
        <v>83</v>
      </c>
    </row>
    <row r="2614" spans="5:13" hidden="1" x14ac:dyDescent="0.35">
      <c r="E2614" s="81"/>
      <c r="I2614" s="83" t="e">
        <f>VLOOKUP(E2614,[1]Mapping!$A$3:$B$14,2,FALSE)</f>
        <v>#N/A</v>
      </c>
      <c r="J2614" s="84">
        <f t="shared" si="82"/>
        <v>0</v>
      </c>
      <c r="K2614" s="84">
        <f t="shared" si="83"/>
        <v>0</v>
      </c>
      <c r="L2614" s="61" t="e">
        <f>VLOOKUP(K2614,[1]Mapping!$J$3:$Q$351,8,FALSE)</f>
        <v>#N/A</v>
      </c>
      <c r="M2614" t="s">
        <v>83</v>
      </c>
    </row>
    <row r="2615" spans="5:13" hidden="1" x14ac:dyDescent="0.35">
      <c r="E2615" s="81"/>
      <c r="I2615" s="83" t="e">
        <f>VLOOKUP(E2615,[1]Mapping!$A$3:$B$14,2,FALSE)</f>
        <v>#N/A</v>
      </c>
      <c r="J2615" s="84">
        <f t="shared" si="82"/>
        <v>0</v>
      </c>
      <c r="K2615" s="84">
        <f t="shared" si="83"/>
        <v>0</v>
      </c>
      <c r="L2615" s="61" t="e">
        <f>VLOOKUP(K2615,[1]Mapping!$J$3:$Q$351,8,FALSE)</f>
        <v>#N/A</v>
      </c>
      <c r="M2615" t="s">
        <v>83</v>
      </c>
    </row>
    <row r="2616" spans="5:13" hidden="1" x14ac:dyDescent="0.35">
      <c r="E2616" s="81"/>
      <c r="I2616" s="83" t="e">
        <f>VLOOKUP(E2616,[1]Mapping!$A$3:$B$14,2,FALSE)</f>
        <v>#N/A</v>
      </c>
      <c r="J2616" s="84">
        <f t="shared" si="82"/>
        <v>0</v>
      </c>
      <c r="K2616" s="84">
        <f t="shared" si="83"/>
        <v>0</v>
      </c>
      <c r="L2616" s="61" t="e">
        <f>VLOOKUP(K2616,[1]Mapping!$J$3:$Q$351,8,FALSE)</f>
        <v>#N/A</v>
      </c>
      <c r="M2616" t="s">
        <v>83</v>
      </c>
    </row>
    <row r="2617" spans="5:13" hidden="1" x14ac:dyDescent="0.35">
      <c r="E2617" s="81"/>
      <c r="I2617" s="83" t="e">
        <f>VLOOKUP(E2617,[1]Mapping!$A$3:$B$14,2,FALSE)</f>
        <v>#N/A</v>
      </c>
      <c r="J2617" s="84">
        <f t="shared" si="82"/>
        <v>0</v>
      </c>
      <c r="K2617" s="84">
        <f t="shared" si="83"/>
        <v>0</v>
      </c>
      <c r="L2617" s="61" t="e">
        <f>VLOOKUP(K2617,[1]Mapping!$J$3:$Q$351,8,FALSE)</f>
        <v>#N/A</v>
      </c>
      <c r="M2617" t="s">
        <v>83</v>
      </c>
    </row>
    <row r="2618" spans="5:13" hidden="1" x14ac:dyDescent="0.35">
      <c r="E2618" s="81"/>
      <c r="I2618" s="83" t="e">
        <f>VLOOKUP(E2618,[1]Mapping!$A$3:$B$14,2,FALSE)</f>
        <v>#N/A</v>
      </c>
      <c r="J2618" s="84">
        <f t="shared" si="82"/>
        <v>0</v>
      </c>
      <c r="K2618" s="84">
        <f t="shared" si="83"/>
        <v>0</v>
      </c>
      <c r="L2618" s="61" t="e">
        <f>VLOOKUP(K2618,[1]Mapping!$J$3:$Q$351,8,FALSE)</f>
        <v>#N/A</v>
      </c>
      <c r="M2618" t="s">
        <v>83</v>
      </c>
    </row>
    <row r="2619" spans="5:13" hidden="1" x14ac:dyDescent="0.35">
      <c r="E2619" s="81"/>
      <c r="I2619" s="83" t="e">
        <f>VLOOKUP(E2619,[1]Mapping!$A$3:$B$14,2,FALSE)</f>
        <v>#N/A</v>
      </c>
      <c r="J2619" s="84">
        <f t="shared" si="82"/>
        <v>0</v>
      </c>
      <c r="K2619" s="84">
        <f t="shared" si="83"/>
        <v>0</v>
      </c>
      <c r="L2619" s="61" t="e">
        <f>VLOOKUP(K2619,[1]Mapping!$J$3:$Q$351,8,FALSE)</f>
        <v>#N/A</v>
      </c>
      <c r="M2619" t="s">
        <v>83</v>
      </c>
    </row>
    <row r="2620" spans="5:13" hidden="1" x14ac:dyDescent="0.35">
      <c r="E2620" s="81"/>
      <c r="I2620" s="83" t="e">
        <f>VLOOKUP(E2620,[1]Mapping!$A$3:$B$14,2,FALSE)</f>
        <v>#N/A</v>
      </c>
      <c r="J2620" s="84">
        <f t="shared" si="82"/>
        <v>0</v>
      </c>
      <c r="K2620" s="84">
        <f t="shared" si="83"/>
        <v>0</v>
      </c>
      <c r="L2620" s="61" t="e">
        <f>VLOOKUP(K2620,[1]Mapping!$J$3:$Q$351,8,FALSE)</f>
        <v>#N/A</v>
      </c>
      <c r="M2620" t="s">
        <v>83</v>
      </c>
    </row>
    <row r="2621" spans="5:13" hidden="1" x14ac:dyDescent="0.35">
      <c r="E2621" s="81"/>
      <c r="I2621" s="83" t="e">
        <f>VLOOKUP(E2621,[1]Mapping!$A$3:$B$14,2,FALSE)</f>
        <v>#N/A</v>
      </c>
      <c r="J2621" s="84">
        <f t="shared" si="82"/>
        <v>0</v>
      </c>
      <c r="K2621" s="84">
        <f t="shared" si="83"/>
        <v>0</v>
      </c>
      <c r="L2621" s="61" t="e">
        <f>VLOOKUP(K2621,[1]Mapping!$J$3:$Q$351,8,FALSE)</f>
        <v>#N/A</v>
      </c>
      <c r="M2621" t="s">
        <v>83</v>
      </c>
    </row>
    <row r="2622" spans="5:13" hidden="1" x14ac:dyDescent="0.35">
      <c r="E2622" s="81"/>
      <c r="I2622" s="83" t="e">
        <f>VLOOKUP(E2622,[1]Mapping!$A$3:$B$14,2,FALSE)</f>
        <v>#N/A</v>
      </c>
      <c r="J2622" s="84">
        <f t="shared" si="82"/>
        <v>0</v>
      </c>
      <c r="K2622" s="84">
        <f t="shared" si="83"/>
        <v>0</v>
      </c>
      <c r="L2622" s="61" t="e">
        <f>VLOOKUP(K2622,[1]Mapping!$J$3:$Q$351,8,FALSE)</f>
        <v>#N/A</v>
      </c>
      <c r="M2622" t="s">
        <v>83</v>
      </c>
    </row>
    <row r="2623" spans="5:13" hidden="1" x14ac:dyDescent="0.35">
      <c r="E2623" s="81"/>
      <c r="I2623" s="83" t="e">
        <f>VLOOKUP(E2623,[1]Mapping!$A$3:$B$14,2,FALSE)</f>
        <v>#N/A</v>
      </c>
      <c r="J2623" s="84">
        <f t="shared" si="82"/>
        <v>0</v>
      </c>
      <c r="K2623" s="84">
        <f t="shared" si="83"/>
        <v>0</v>
      </c>
      <c r="L2623" s="61" t="e">
        <f>VLOOKUP(K2623,[1]Mapping!$J$3:$Q$351,8,FALSE)</f>
        <v>#N/A</v>
      </c>
      <c r="M2623" t="s">
        <v>83</v>
      </c>
    </row>
    <row r="2624" spans="5:13" hidden="1" x14ac:dyDescent="0.35">
      <c r="E2624" s="81"/>
      <c r="I2624" s="83" t="e">
        <f>VLOOKUP(E2624,[1]Mapping!$A$3:$B$14,2,FALSE)</f>
        <v>#N/A</v>
      </c>
      <c r="J2624" s="84">
        <f t="shared" si="82"/>
        <v>0</v>
      </c>
      <c r="K2624" s="84">
        <f t="shared" si="83"/>
        <v>0</v>
      </c>
      <c r="L2624" s="61" t="e">
        <f>VLOOKUP(K2624,[1]Mapping!$J$3:$Q$351,8,FALSE)</f>
        <v>#N/A</v>
      </c>
      <c r="M2624" t="s">
        <v>83</v>
      </c>
    </row>
    <row r="2625" spans="5:13" hidden="1" x14ac:dyDescent="0.35">
      <c r="E2625" s="81"/>
      <c r="I2625" s="83" t="e">
        <f>VLOOKUP(E2625,[1]Mapping!$A$3:$B$14,2,FALSE)</f>
        <v>#N/A</v>
      </c>
      <c r="J2625" s="84">
        <f t="shared" si="82"/>
        <v>0</v>
      </c>
      <c r="K2625" s="84">
        <f t="shared" si="83"/>
        <v>0</v>
      </c>
      <c r="L2625" s="61" t="e">
        <f>VLOOKUP(K2625,[1]Mapping!$J$3:$Q$351,8,FALSE)</f>
        <v>#N/A</v>
      </c>
      <c r="M2625" t="s">
        <v>83</v>
      </c>
    </row>
    <row r="2626" spans="5:13" hidden="1" x14ac:dyDescent="0.35">
      <c r="E2626" s="81"/>
      <c r="I2626" s="83" t="e">
        <f>VLOOKUP(E2626,[1]Mapping!$A$3:$B$14,2,FALSE)</f>
        <v>#N/A</v>
      </c>
      <c r="J2626" s="84">
        <f t="shared" si="82"/>
        <v>0</v>
      </c>
      <c r="K2626" s="84">
        <f t="shared" si="83"/>
        <v>0</v>
      </c>
      <c r="L2626" s="61" t="e">
        <f>VLOOKUP(K2626,[1]Mapping!$J$3:$Q$351,8,FALSE)</f>
        <v>#N/A</v>
      </c>
      <c r="M2626" t="s">
        <v>83</v>
      </c>
    </row>
    <row r="2627" spans="5:13" hidden="1" x14ac:dyDescent="0.35">
      <c r="E2627" s="81"/>
      <c r="I2627" s="83" t="e">
        <f>VLOOKUP(E2627,[1]Mapping!$A$3:$B$14,2,FALSE)</f>
        <v>#N/A</v>
      </c>
      <c r="J2627" s="84">
        <f t="shared" si="82"/>
        <v>0</v>
      </c>
      <c r="K2627" s="84">
        <f t="shared" si="83"/>
        <v>0</v>
      </c>
      <c r="L2627" s="61" t="e">
        <f>VLOOKUP(K2627,[1]Mapping!$J$3:$Q$351,8,FALSE)</f>
        <v>#N/A</v>
      </c>
      <c r="M2627" t="s">
        <v>83</v>
      </c>
    </row>
    <row r="2628" spans="5:13" hidden="1" x14ac:dyDescent="0.35">
      <c r="E2628" s="81"/>
      <c r="I2628" s="83" t="e">
        <f>VLOOKUP(E2628,[1]Mapping!$A$3:$B$14,2,FALSE)</f>
        <v>#N/A</v>
      </c>
      <c r="J2628" s="84">
        <f t="shared" ref="J2628:J2691" si="84">VALUE(A2628)</f>
        <v>0</v>
      </c>
      <c r="K2628" s="84">
        <f t="shared" ref="K2628:K2691" si="85">VALUE(C2628)</f>
        <v>0</v>
      </c>
      <c r="L2628" s="61" t="e">
        <f>VLOOKUP(K2628,[1]Mapping!$J$3:$Q$351,8,FALSE)</f>
        <v>#N/A</v>
      </c>
      <c r="M2628" t="s">
        <v>83</v>
      </c>
    </row>
    <row r="2629" spans="5:13" hidden="1" x14ac:dyDescent="0.35">
      <c r="E2629" s="81"/>
      <c r="I2629" s="83" t="e">
        <f>VLOOKUP(E2629,[1]Mapping!$A$3:$B$14,2,FALSE)</f>
        <v>#N/A</v>
      </c>
      <c r="J2629" s="84">
        <f t="shared" si="84"/>
        <v>0</v>
      </c>
      <c r="K2629" s="84">
        <f t="shared" si="85"/>
        <v>0</v>
      </c>
      <c r="L2629" s="61" t="e">
        <f>VLOOKUP(K2629,[1]Mapping!$J$3:$Q$351,8,FALSE)</f>
        <v>#N/A</v>
      </c>
      <c r="M2629" t="s">
        <v>83</v>
      </c>
    </row>
    <row r="2630" spans="5:13" hidden="1" x14ac:dyDescent="0.35">
      <c r="E2630" s="81"/>
      <c r="I2630" s="83" t="e">
        <f>VLOOKUP(E2630,[1]Mapping!$A$3:$B$14,2,FALSE)</f>
        <v>#N/A</v>
      </c>
      <c r="J2630" s="84">
        <f t="shared" si="84"/>
        <v>0</v>
      </c>
      <c r="K2630" s="84">
        <f t="shared" si="85"/>
        <v>0</v>
      </c>
      <c r="L2630" s="61" t="e">
        <f>VLOOKUP(K2630,[1]Mapping!$J$3:$Q$351,8,FALSE)</f>
        <v>#N/A</v>
      </c>
      <c r="M2630" t="s">
        <v>83</v>
      </c>
    </row>
    <row r="2631" spans="5:13" hidden="1" x14ac:dyDescent="0.35">
      <c r="E2631" s="81"/>
      <c r="I2631" s="83" t="e">
        <f>VLOOKUP(E2631,[1]Mapping!$A$3:$B$14,2,FALSE)</f>
        <v>#N/A</v>
      </c>
      <c r="J2631" s="84">
        <f t="shared" si="84"/>
        <v>0</v>
      </c>
      <c r="K2631" s="84">
        <f t="shared" si="85"/>
        <v>0</v>
      </c>
      <c r="L2631" s="61" t="e">
        <f>VLOOKUP(K2631,[1]Mapping!$J$3:$Q$351,8,FALSE)</f>
        <v>#N/A</v>
      </c>
      <c r="M2631" t="s">
        <v>83</v>
      </c>
    </row>
    <row r="2632" spans="5:13" hidden="1" x14ac:dyDescent="0.35">
      <c r="E2632" s="81"/>
      <c r="I2632" s="83" t="e">
        <f>VLOOKUP(E2632,[1]Mapping!$A$3:$B$14,2,FALSE)</f>
        <v>#N/A</v>
      </c>
      <c r="J2632" s="84">
        <f t="shared" si="84"/>
        <v>0</v>
      </c>
      <c r="K2632" s="84">
        <f t="shared" si="85"/>
        <v>0</v>
      </c>
      <c r="L2632" s="61" t="e">
        <f>VLOOKUP(K2632,[1]Mapping!$J$3:$Q$351,8,FALSE)</f>
        <v>#N/A</v>
      </c>
      <c r="M2632" t="s">
        <v>83</v>
      </c>
    </row>
    <row r="2633" spans="5:13" hidden="1" x14ac:dyDescent="0.35">
      <c r="E2633" s="81"/>
      <c r="I2633" s="83" t="e">
        <f>VLOOKUP(E2633,[1]Mapping!$A$3:$B$14,2,FALSE)</f>
        <v>#N/A</v>
      </c>
      <c r="J2633" s="84">
        <f t="shared" si="84"/>
        <v>0</v>
      </c>
      <c r="K2633" s="84">
        <f t="shared" si="85"/>
        <v>0</v>
      </c>
      <c r="L2633" s="61" t="e">
        <f>VLOOKUP(K2633,[1]Mapping!$J$3:$Q$351,8,FALSE)</f>
        <v>#N/A</v>
      </c>
      <c r="M2633" t="s">
        <v>83</v>
      </c>
    </row>
    <row r="2634" spans="5:13" hidden="1" x14ac:dyDescent="0.35">
      <c r="E2634" s="81"/>
      <c r="I2634" s="83" t="e">
        <f>VLOOKUP(E2634,[1]Mapping!$A$3:$B$14,2,FALSE)</f>
        <v>#N/A</v>
      </c>
      <c r="J2634" s="84">
        <f t="shared" si="84"/>
        <v>0</v>
      </c>
      <c r="K2634" s="84">
        <f t="shared" si="85"/>
        <v>0</v>
      </c>
      <c r="L2634" s="61" t="e">
        <f>VLOOKUP(K2634,[1]Mapping!$J$3:$Q$351,8,FALSE)</f>
        <v>#N/A</v>
      </c>
      <c r="M2634" t="s">
        <v>83</v>
      </c>
    </row>
    <row r="2635" spans="5:13" hidden="1" x14ac:dyDescent="0.35">
      <c r="E2635" s="81"/>
      <c r="I2635" s="83" t="e">
        <f>VLOOKUP(E2635,[1]Mapping!$A$3:$B$14,2,FALSE)</f>
        <v>#N/A</v>
      </c>
      <c r="J2635" s="84">
        <f t="shared" si="84"/>
        <v>0</v>
      </c>
      <c r="K2635" s="84">
        <f t="shared" si="85"/>
        <v>0</v>
      </c>
      <c r="L2635" s="61" t="e">
        <f>VLOOKUP(K2635,[1]Mapping!$J$3:$Q$351,8,FALSE)</f>
        <v>#N/A</v>
      </c>
      <c r="M2635" t="s">
        <v>83</v>
      </c>
    </row>
    <row r="2636" spans="5:13" hidden="1" x14ac:dyDescent="0.35">
      <c r="E2636" s="81"/>
      <c r="I2636" s="83" t="e">
        <f>VLOOKUP(E2636,[1]Mapping!$A$3:$B$14,2,FALSE)</f>
        <v>#N/A</v>
      </c>
      <c r="J2636" s="84">
        <f t="shared" si="84"/>
        <v>0</v>
      </c>
      <c r="K2636" s="84">
        <f t="shared" si="85"/>
        <v>0</v>
      </c>
      <c r="L2636" s="61" t="e">
        <f>VLOOKUP(K2636,[1]Mapping!$J$3:$Q$351,8,FALSE)</f>
        <v>#N/A</v>
      </c>
      <c r="M2636" t="s">
        <v>83</v>
      </c>
    </row>
    <row r="2637" spans="5:13" hidden="1" x14ac:dyDescent="0.35">
      <c r="E2637" s="81"/>
      <c r="I2637" s="83" t="e">
        <f>VLOOKUP(E2637,[1]Mapping!$A$3:$B$14,2,FALSE)</f>
        <v>#N/A</v>
      </c>
      <c r="J2637" s="84">
        <f t="shared" si="84"/>
        <v>0</v>
      </c>
      <c r="K2637" s="84">
        <f t="shared" si="85"/>
        <v>0</v>
      </c>
      <c r="L2637" s="61" t="e">
        <f>VLOOKUP(K2637,[1]Mapping!$J$3:$Q$351,8,FALSE)</f>
        <v>#N/A</v>
      </c>
      <c r="M2637" t="s">
        <v>83</v>
      </c>
    </row>
    <row r="2638" spans="5:13" hidden="1" x14ac:dyDescent="0.35">
      <c r="E2638" s="81"/>
      <c r="I2638" s="83" t="e">
        <f>VLOOKUP(E2638,[1]Mapping!$A$3:$B$14,2,FALSE)</f>
        <v>#N/A</v>
      </c>
      <c r="J2638" s="84">
        <f t="shared" si="84"/>
        <v>0</v>
      </c>
      <c r="K2638" s="84">
        <f t="shared" si="85"/>
        <v>0</v>
      </c>
      <c r="L2638" s="61" t="e">
        <f>VLOOKUP(K2638,[1]Mapping!$J$3:$Q$351,8,FALSE)</f>
        <v>#N/A</v>
      </c>
      <c r="M2638" t="s">
        <v>83</v>
      </c>
    </row>
    <row r="2639" spans="5:13" hidden="1" x14ac:dyDescent="0.35">
      <c r="E2639" s="81"/>
      <c r="I2639" s="83" t="e">
        <f>VLOOKUP(E2639,[1]Mapping!$A$3:$B$14,2,FALSE)</f>
        <v>#N/A</v>
      </c>
      <c r="J2639" s="84">
        <f t="shared" si="84"/>
        <v>0</v>
      </c>
      <c r="K2639" s="84">
        <f t="shared" si="85"/>
        <v>0</v>
      </c>
      <c r="L2639" s="61" t="e">
        <f>VLOOKUP(K2639,[1]Mapping!$J$3:$Q$351,8,FALSE)</f>
        <v>#N/A</v>
      </c>
      <c r="M2639" t="s">
        <v>83</v>
      </c>
    </row>
    <row r="2640" spans="5:13" hidden="1" x14ac:dyDescent="0.35">
      <c r="E2640" s="81"/>
      <c r="I2640" s="83" t="e">
        <f>VLOOKUP(E2640,[1]Mapping!$A$3:$B$14,2,FALSE)</f>
        <v>#N/A</v>
      </c>
      <c r="J2640" s="84">
        <f t="shared" si="84"/>
        <v>0</v>
      </c>
      <c r="K2640" s="84">
        <f t="shared" si="85"/>
        <v>0</v>
      </c>
      <c r="L2640" s="61" t="e">
        <f>VLOOKUP(K2640,[1]Mapping!$J$3:$Q$351,8,FALSE)</f>
        <v>#N/A</v>
      </c>
      <c r="M2640" t="s">
        <v>83</v>
      </c>
    </row>
    <row r="2641" spans="5:13" hidden="1" x14ac:dyDescent="0.35">
      <c r="E2641" s="81"/>
      <c r="I2641" s="83" t="e">
        <f>VLOOKUP(E2641,[1]Mapping!$A$3:$B$14,2,FALSE)</f>
        <v>#N/A</v>
      </c>
      <c r="J2641" s="84">
        <f t="shared" si="84"/>
        <v>0</v>
      </c>
      <c r="K2641" s="84">
        <f t="shared" si="85"/>
        <v>0</v>
      </c>
      <c r="L2641" s="61" t="e">
        <f>VLOOKUP(K2641,[1]Mapping!$J$3:$Q$351,8,FALSE)</f>
        <v>#N/A</v>
      </c>
      <c r="M2641" t="s">
        <v>83</v>
      </c>
    </row>
    <row r="2642" spans="5:13" hidden="1" x14ac:dyDescent="0.35">
      <c r="E2642" s="81"/>
      <c r="I2642" s="83" t="e">
        <f>VLOOKUP(E2642,[1]Mapping!$A$3:$B$14,2,FALSE)</f>
        <v>#N/A</v>
      </c>
      <c r="J2642" s="84">
        <f t="shared" si="84"/>
        <v>0</v>
      </c>
      <c r="K2642" s="84">
        <f t="shared" si="85"/>
        <v>0</v>
      </c>
      <c r="L2642" s="61" t="e">
        <f>VLOOKUP(K2642,[1]Mapping!$J$3:$Q$351,8,FALSE)</f>
        <v>#N/A</v>
      </c>
      <c r="M2642" t="s">
        <v>83</v>
      </c>
    </row>
    <row r="2643" spans="5:13" hidden="1" x14ac:dyDescent="0.35">
      <c r="E2643" s="81"/>
      <c r="I2643" s="83" t="e">
        <f>VLOOKUP(E2643,[1]Mapping!$A$3:$B$14,2,FALSE)</f>
        <v>#N/A</v>
      </c>
      <c r="J2643" s="84">
        <f t="shared" si="84"/>
        <v>0</v>
      </c>
      <c r="K2643" s="84">
        <f t="shared" si="85"/>
        <v>0</v>
      </c>
      <c r="L2643" s="61" t="e">
        <f>VLOOKUP(K2643,[1]Mapping!$J$3:$Q$351,8,FALSE)</f>
        <v>#N/A</v>
      </c>
      <c r="M2643" t="s">
        <v>83</v>
      </c>
    </row>
    <row r="2644" spans="5:13" hidden="1" x14ac:dyDescent="0.35">
      <c r="E2644" s="81"/>
      <c r="I2644" s="83" t="e">
        <f>VLOOKUP(E2644,[1]Mapping!$A$3:$B$14,2,FALSE)</f>
        <v>#N/A</v>
      </c>
      <c r="J2644" s="84">
        <f t="shared" si="84"/>
        <v>0</v>
      </c>
      <c r="K2644" s="84">
        <f t="shared" si="85"/>
        <v>0</v>
      </c>
      <c r="L2644" s="61" t="e">
        <f>VLOOKUP(K2644,[1]Mapping!$J$3:$Q$351,8,FALSE)</f>
        <v>#N/A</v>
      </c>
      <c r="M2644" t="s">
        <v>83</v>
      </c>
    </row>
    <row r="2645" spans="5:13" hidden="1" x14ac:dyDescent="0.35">
      <c r="E2645" s="81"/>
      <c r="I2645" s="83" t="e">
        <f>VLOOKUP(E2645,[1]Mapping!$A$3:$B$14,2,FALSE)</f>
        <v>#N/A</v>
      </c>
      <c r="J2645" s="84">
        <f t="shared" si="84"/>
        <v>0</v>
      </c>
      <c r="K2645" s="84">
        <f t="shared" si="85"/>
        <v>0</v>
      </c>
      <c r="L2645" s="61" t="e">
        <f>VLOOKUP(K2645,[1]Mapping!$J$3:$Q$351,8,FALSE)</f>
        <v>#N/A</v>
      </c>
      <c r="M2645" t="s">
        <v>83</v>
      </c>
    </row>
    <row r="2646" spans="5:13" hidden="1" x14ac:dyDescent="0.35">
      <c r="E2646" s="81"/>
      <c r="I2646" s="83" t="e">
        <f>VLOOKUP(E2646,[1]Mapping!$A$3:$B$14,2,FALSE)</f>
        <v>#N/A</v>
      </c>
      <c r="J2646" s="84">
        <f t="shared" si="84"/>
        <v>0</v>
      </c>
      <c r="K2646" s="84">
        <f t="shared" si="85"/>
        <v>0</v>
      </c>
      <c r="L2646" s="61" t="e">
        <f>VLOOKUP(K2646,[1]Mapping!$J$3:$Q$351,8,FALSE)</f>
        <v>#N/A</v>
      </c>
      <c r="M2646" t="s">
        <v>83</v>
      </c>
    </row>
    <row r="2647" spans="5:13" hidden="1" x14ac:dyDescent="0.35">
      <c r="E2647" s="81"/>
      <c r="I2647" s="83" t="e">
        <f>VLOOKUP(E2647,[1]Mapping!$A$3:$B$14,2,FALSE)</f>
        <v>#N/A</v>
      </c>
      <c r="J2647" s="84">
        <f t="shared" si="84"/>
        <v>0</v>
      </c>
      <c r="K2647" s="84">
        <f t="shared" si="85"/>
        <v>0</v>
      </c>
      <c r="L2647" s="61" t="e">
        <f>VLOOKUP(K2647,[1]Mapping!$J$3:$Q$351,8,FALSE)</f>
        <v>#N/A</v>
      </c>
      <c r="M2647" t="s">
        <v>83</v>
      </c>
    </row>
    <row r="2648" spans="5:13" hidden="1" x14ac:dyDescent="0.35">
      <c r="E2648" s="81"/>
      <c r="I2648" s="83" t="e">
        <f>VLOOKUP(E2648,[1]Mapping!$A$3:$B$14,2,FALSE)</f>
        <v>#N/A</v>
      </c>
      <c r="J2648" s="84">
        <f t="shared" si="84"/>
        <v>0</v>
      </c>
      <c r="K2648" s="84">
        <f t="shared" si="85"/>
        <v>0</v>
      </c>
      <c r="L2648" s="61" t="e">
        <f>VLOOKUP(K2648,[1]Mapping!$J$3:$Q$351,8,FALSE)</f>
        <v>#N/A</v>
      </c>
      <c r="M2648" t="s">
        <v>83</v>
      </c>
    </row>
    <row r="2649" spans="5:13" hidden="1" x14ac:dyDescent="0.35">
      <c r="E2649" s="81"/>
      <c r="I2649" s="83" t="e">
        <f>VLOOKUP(E2649,[1]Mapping!$A$3:$B$14,2,FALSE)</f>
        <v>#N/A</v>
      </c>
      <c r="J2649" s="84">
        <f t="shared" si="84"/>
        <v>0</v>
      </c>
      <c r="K2649" s="84">
        <f t="shared" si="85"/>
        <v>0</v>
      </c>
      <c r="L2649" s="61" t="e">
        <f>VLOOKUP(K2649,[1]Mapping!$J$3:$Q$351,8,FALSE)</f>
        <v>#N/A</v>
      </c>
      <c r="M2649" t="s">
        <v>83</v>
      </c>
    </row>
    <row r="2650" spans="5:13" hidden="1" x14ac:dyDescent="0.35">
      <c r="E2650" s="81"/>
      <c r="I2650" s="83" t="e">
        <f>VLOOKUP(E2650,[1]Mapping!$A$3:$B$14,2,FALSE)</f>
        <v>#N/A</v>
      </c>
      <c r="J2650" s="84">
        <f t="shared" si="84"/>
        <v>0</v>
      </c>
      <c r="K2650" s="84">
        <f t="shared" si="85"/>
        <v>0</v>
      </c>
      <c r="L2650" s="61" t="e">
        <f>VLOOKUP(K2650,[1]Mapping!$J$3:$Q$351,8,FALSE)</f>
        <v>#N/A</v>
      </c>
      <c r="M2650" t="s">
        <v>83</v>
      </c>
    </row>
    <row r="2651" spans="5:13" hidden="1" x14ac:dyDescent="0.35">
      <c r="E2651" s="81"/>
      <c r="I2651" s="83" t="e">
        <f>VLOOKUP(E2651,[1]Mapping!$A$3:$B$14,2,FALSE)</f>
        <v>#N/A</v>
      </c>
      <c r="J2651" s="84">
        <f t="shared" si="84"/>
        <v>0</v>
      </c>
      <c r="K2651" s="84">
        <f t="shared" si="85"/>
        <v>0</v>
      </c>
      <c r="L2651" s="61" t="e">
        <f>VLOOKUP(K2651,[1]Mapping!$J$3:$Q$351,8,FALSE)</f>
        <v>#N/A</v>
      </c>
      <c r="M2651" t="s">
        <v>83</v>
      </c>
    </row>
    <row r="2652" spans="5:13" hidden="1" x14ac:dyDescent="0.35">
      <c r="E2652" s="81"/>
      <c r="I2652" s="83" t="e">
        <f>VLOOKUP(E2652,[1]Mapping!$A$3:$B$14,2,FALSE)</f>
        <v>#N/A</v>
      </c>
      <c r="J2652" s="84">
        <f t="shared" si="84"/>
        <v>0</v>
      </c>
      <c r="K2652" s="84">
        <f t="shared" si="85"/>
        <v>0</v>
      </c>
      <c r="L2652" s="61" t="e">
        <f>VLOOKUP(K2652,[1]Mapping!$J$3:$Q$351,8,FALSE)</f>
        <v>#N/A</v>
      </c>
      <c r="M2652" t="s">
        <v>83</v>
      </c>
    </row>
    <row r="2653" spans="5:13" hidden="1" x14ac:dyDescent="0.35">
      <c r="E2653" s="81"/>
      <c r="I2653" s="83" t="e">
        <f>VLOOKUP(E2653,[1]Mapping!$A$3:$B$14,2,FALSE)</f>
        <v>#N/A</v>
      </c>
      <c r="J2653" s="84">
        <f t="shared" si="84"/>
        <v>0</v>
      </c>
      <c r="K2653" s="84">
        <f t="shared" si="85"/>
        <v>0</v>
      </c>
      <c r="L2653" s="61" t="e">
        <f>VLOOKUP(K2653,[1]Mapping!$J$3:$Q$351,8,FALSE)</f>
        <v>#N/A</v>
      </c>
      <c r="M2653" t="s">
        <v>83</v>
      </c>
    </row>
    <row r="2654" spans="5:13" hidden="1" x14ac:dyDescent="0.35">
      <c r="E2654" s="81"/>
      <c r="I2654" s="83" t="e">
        <f>VLOOKUP(E2654,[1]Mapping!$A$3:$B$14,2,FALSE)</f>
        <v>#N/A</v>
      </c>
      <c r="J2654" s="84">
        <f t="shared" si="84"/>
        <v>0</v>
      </c>
      <c r="K2654" s="84">
        <f t="shared" si="85"/>
        <v>0</v>
      </c>
      <c r="L2654" s="61" t="e">
        <f>VLOOKUP(K2654,[1]Mapping!$J$3:$Q$351,8,FALSE)</f>
        <v>#N/A</v>
      </c>
      <c r="M2654" t="s">
        <v>83</v>
      </c>
    </row>
    <row r="2655" spans="5:13" hidden="1" x14ac:dyDescent="0.35">
      <c r="E2655" s="81"/>
      <c r="I2655" s="83" t="e">
        <f>VLOOKUP(E2655,[1]Mapping!$A$3:$B$14,2,FALSE)</f>
        <v>#N/A</v>
      </c>
      <c r="J2655" s="84">
        <f t="shared" si="84"/>
        <v>0</v>
      </c>
      <c r="K2655" s="84">
        <f t="shared" si="85"/>
        <v>0</v>
      </c>
      <c r="L2655" s="61" t="e">
        <f>VLOOKUP(K2655,[1]Mapping!$J$3:$Q$351,8,FALSE)</f>
        <v>#N/A</v>
      </c>
      <c r="M2655" t="s">
        <v>83</v>
      </c>
    </row>
    <row r="2656" spans="5:13" hidden="1" x14ac:dyDescent="0.35">
      <c r="E2656" s="81"/>
      <c r="I2656" s="83" t="e">
        <f>VLOOKUP(E2656,[1]Mapping!$A$3:$B$14,2,FALSE)</f>
        <v>#N/A</v>
      </c>
      <c r="J2656" s="84">
        <f t="shared" si="84"/>
        <v>0</v>
      </c>
      <c r="K2656" s="84">
        <f t="shared" si="85"/>
        <v>0</v>
      </c>
      <c r="L2656" s="61" t="e">
        <f>VLOOKUP(K2656,[1]Mapping!$J$3:$Q$351,8,FALSE)</f>
        <v>#N/A</v>
      </c>
      <c r="M2656" t="s">
        <v>83</v>
      </c>
    </row>
    <row r="2657" spans="5:13" hidden="1" x14ac:dyDescent="0.35">
      <c r="E2657" s="81"/>
      <c r="I2657" s="83" t="e">
        <f>VLOOKUP(E2657,[1]Mapping!$A$3:$B$14,2,FALSE)</f>
        <v>#N/A</v>
      </c>
      <c r="J2657" s="84">
        <f t="shared" si="84"/>
        <v>0</v>
      </c>
      <c r="K2657" s="84">
        <f t="shared" si="85"/>
        <v>0</v>
      </c>
      <c r="L2657" s="61" t="e">
        <f>VLOOKUP(K2657,[1]Mapping!$J$3:$Q$351,8,FALSE)</f>
        <v>#N/A</v>
      </c>
      <c r="M2657" t="s">
        <v>83</v>
      </c>
    </row>
    <row r="2658" spans="5:13" hidden="1" x14ac:dyDescent="0.35">
      <c r="E2658" s="81"/>
      <c r="I2658" s="83" t="e">
        <f>VLOOKUP(E2658,[1]Mapping!$A$3:$B$14,2,FALSE)</f>
        <v>#N/A</v>
      </c>
      <c r="J2658" s="84">
        <f t="shared" si="84"/>
        <v>0</v>
      </c>
      <c r="K2658" s="84">
        <f t="shared" si="85"/>
        <v>0</v>
      </c>
      <c r="L2658" s="61" t="e">
        <f>VLOOKUP(K2658,[1]Mapping!$J$3:$Q$351,8,FALSE)</f>
        <v>#N/A</v>
      </c>
      <c r="M2658" t="s">
        <v>83</v>
      </c>
    </row>
    <row r="2659" spans="5:13" hidden="1" x14ac:dyDescent="0.35">
      <c r="E2659" s="81"/>
      <c r="I2659" s="83" t="e">
        <f>VLOOKUP(E2659,[1]Mapping!$A$3:$B$14,2,FALSE)</f>
        <v>#N/A</v>
      </c>
      <c r="J2659" s="84">
        <f t="shared" si="84"/>
        <v>0</v>
      </c>
      <c r="K2659" s="84">
        <f t="shared" si="85"/>
        <v>0</v>
      </c>
      <c r="L2659" s="61" t="e">
        <f>VLOOKUP(K2659,[1]Mapping!$J$3:$Q$351,8,FALSE)</f>
        <v>#N/A</v>
      </c>
      <c r="M2659" t="s">
        <v>83</v>
      </c>
    </row>
    <row r="2660" spans="5:13" hidden="1" x14ac:dyDescent="0.35">
      <c r="E2660" s="81"/>
      <c r="I2660" s="83" t="e">
        <f>VLOOKUP(E2660,[1]Mapping!$A$3:$B$14,2,FALSE)</f>
        <v>#N/A</v>
      </c>
      <c r="J2660" s="84">
        <f t="shared" si="84"/>
        <v>0</v>
      </c>
      <c r="K2660" s="84">
        <f t="shared" si="85"/>
        <v>0</v>
      </c>
      <c r="L2660" s="61" t="e">
        <f>VLOOKUP(K2660,[1]Mapping!$J$3:$Q$351,8,FALSE)</f>
        <v>#N/A</v>
      </c>
      <c r="M2660" t="s">
        <v>83</v>
      </c>
    </row>
    <row r="2661" spans="5:13" hidden="1" x14ac:dyDescent="0.35">
      <c r="E2661" s="81"/>
      <c r="I2661" s="83" t="e">
        <f>VLOOKUP(E2661,[1]Mapping!$A$3:$B$14,2,FALSE)</f>
        <v>#N/A</v>
      </c>
      <c r="J2661" s="84">
        <f t="shared" si="84"/>
        <v>0</v>
      </c>
      <c r="K2661" s="84">
        <f t="shared" si="85"/>
        <v>0</v>
      </c>
      <c r="L2661" s="61" t="e">
        <f>VLOOKUP(K2661,[1]Mapping!$J$3:$Q$351,8,FALSE)</f>
        <v>#N/A</v>
      </c>
      <c r="M2661" t="s">
        <v>83</v>
      </c>
    </row>
    <row r="2662" spans="5:13" hidden="1" x14ac:dyDescent="0.35">
      <c r="E2662" s="81"/>
      <c r="I2662" s="83" t="e">
        <f>VLOOKUP(E2662,[1]Mapping!$A$3:$B$14,2,FALSE)</f>
        <v>#N/A</v>
      </c>
      <c r="J2662" s="84">
        <f t="shared" si="84"/>
        <v>0</v>
      </c>
      <c r="K2662" s="84">
        <f t="shared" si="85"/>
        <v>0</v>
      </c>
      <c r="L2662" s="61" t="e">
        <f>VLOOKUP(K2662,[1]Mapping!$J$3:$Q$351,8,FALSE)</f>
        <v>#N/A</v>
      </c>
      <c r="M2662" t="s">
        <v>83</v>
      </c>
    </row>
    <row r="2663" spans="5:13" hidden="1" x14ac:dyDescent="0.35">
      <c r="E2663" s="81"/>
      <c r="I2663" s="83" t="e">
        <f>VLOOKUP(E2663,[1]Mapping!$A$3:$B$14,2,FALSE)</f>
        <v>#N/A</v>
      </c>
      <c r="J2663" s="84">
        <f t="shared" si="84"/>
        <v>0</v>
      </c>
      <c r="K2663" s="84">
        <f t="shared" si="85"/>
        <v>0</v>
      </c>
      <c r="L2663" s="61" t="e">
        <f>VLOOKUP(K2663,[1]Mapping!$J$3:$Q$351,8,FALSE)</f>
        <v>#N/A</v>
      </c>
      <c r="M2663" t="s">
        <v>83</v>
      </c>
    </row>
    <row r="2664" spans="5:13" hidden="1" x14ac:dyDescent="0.35">
      <c r="E2664" s="81"/>
      <c r="I2664" s="83" t="e">
        <f>VLOOKUP(E2664,[1]Mapping!$A$3:$B$14,2,FALSE)</f>
        <v>#N/A</v>
      </c>
      <c r="J2664" s="84">
        <f t="shared" si="84"/>
        <v>0</v>
      </c>
      <c r="K2664" s="84">
        <f t="shared" si="85"/>
        <v>0</v>
      </c>
      <c r="L2664" s="61" t="e">
        <f>VLOOKUP(K2664,[1]Mapping!$J$3:$Q$351,8,FALSE)</f>
        <v>#N/A</v>
      </c>
      <c r="M2664" t="s">
        <v>83</v>
      </c>
    </row>
    <row r="2665" spans="5:13" hidden="1" x14ac:dyDescent="0.35">
      <c r="E2665" s="81"/>
      <c r="I2665" s="83" t="e">
        <f>VLOOKUP(E2665,[1]Mapping!$A$3:$B$14,2,FALSE)</f>
        <v>#N/A</v>
      </c>
      <c r="J2665" s="84">
        <f t="shared" si="84"/>
        <v>0</v>
      </c>
      <c r="K2665" s="84">
        <f t="shared" si="85"/>
        <v>0</v>
      </c>
      <c r="L2665" s="61" t="e">
        <f>VLOOKUP(K2665,[1]Mapping!$J$3:$Q$351,8,FALSE)</f>
        <v>#N/A</v>
      </c>
      <c r="M2665" t="s">
        <v>83</v>
      </c>
    </row>
    <row r="2666" spans="5:13" hidden="1" x14ac:dyDescent="0.35">
      <c r="E2666" s="81"/>
      <c r="I2666" s="83" t="e">
        <f>VLOOKUP(E2666,[1]Mapping!$A$3:$B$14,2,FALSE)</f>
        <v>#N/A</v>
      </c>
      <c r="J2666" s="84">
        <f t="shared" si="84"/>
        <v>0</v>
      </c>
      <c r="K2666" s="84">
        <f t="shared" si="85"/>
        <v>0</v>
      </c>
      <c r="L2666" s="61" t="e">
        <f>VLOOKUP(K2666,[1]Mapping!$J$3:$Q$351,8,FALSE)</f>
        <v>#N/A</v>
      </c>
      <c r="M2666" t="s">
        <v>83</v>
      </c>
    </row>
    <row r="2667" spans="5:13" hidden="1" x14ac:dyDescent="0.35">
      <c r="E2667" s="81"/>
      <c r="I2667" s="83" t="e">
        <f>VLOOKUP(E2667,[1]Mapping!$A$3:$B$14,2,FALSE)</f>
        <v>#N/A</v>
      </c>
      <c r="J2667" s="84">
        <f t="shared" si="84"/>
        <v>0</v>
      </c>
      <c r="K2667" s="84">
        <f t="shared" si="85"/>
        <v>0</v>
      </c>
      <c r="L2667" s="61" t="e">
        <f>VLOOKUP(K2667,[1]Mapping!$J$3:$Q$351,8,FALSE)</f>
        <v>#N/A</v>
      </c>
      <c r="M2667" t="s">
        <v>83</v>
      </c>
    </row>
    <row r="2668" spans="5:13" hidden="1" x14ac:dyDescent="0.35">
      <c r="E2668" s="81"/>
      <c r="I2668" s="83" t="e">
        <f>VLOOKUP(E2668,[1]Mapping!$A$3:$B$14,2,FALSE)</f>
        <v>#N/A</v>
      </c>
      <c r="J2668" s="84">
        <f t="shared" si="84"/>
        <v>0</v>
      </c>
      <c r="K2668" s="84">
        <f t="shared" si="85"/>
        <v>0</v>
      </c>
      <c r="L2668" s="61" t="e">
        <f>VLOOKUP(K2668,[1]Mapping!$J$3:$Q$351,8,FALSE)</f>
        <v>#N/A</v>
      </c>
      <c r="M2668" t="s">
        <v>83</v>
      </c>
    </row>
    <row r="2669" spans="5:13" hidden="1" x14ac:dyDescent="0.35">
      <c r="E2669" s="81"/>
      <c r="I2669" s="83" t="e">
        <f>VLOOKUP(E2669,[1]Mapping!$A$3:$B$14,2,FALSE)</f>
        <v>#N/A</v>
      </c>
      <c r="J2669" s="84">
        <f t="shared" si="84"/>
        <v>0</v>
      </c>
      <c r="K2669" s="84">
        <f t="shared" si="85"/>
        <v>0</v>
      </c>
      <c r="L2669" s="61" t="e">
        <f>VLOOKUP(K2669,[1]Mapping!$J$3:$Q$351,8,FALSE)</f>
        <v>#N/A</v>
      </c>
      <c r="M2669" t="s">
        <v>83</v>
      </c>
    </row>
    <row r="2670" spans="5:13" hidden="1" x14ac:dyDescent="0.35">
      <c r="E2670" s="81"/>
      <c r="I2670" s="83" t="e">
        <f>VLOOKUP(E2670,[1]Mapping!$A$3:$B$14,2,FALSE)</f>
        <v>#N/A</v>
      </c>
      <c r="J2670" s="84">
        <f t="shared" si="84"/>
        <v>0</v>
      </c>
      <c r="K2670" s="84">
        <f t="shared" si="85"/>
        <v>0</v>
      </c>
      <c r="L2670" s="61" t="e">
        <f>VLOOKUP(K2670,[1]Mapping!$J$3:$Q$351,8,FALSE)</f>
        <v>#N/A</v>
      </c>
      <c r="M2670" t="s">
        <v>83</v>
      </c>
    </row>
    <row r="2671" spans="5:13" hidden="1" x14ac:dyDescent="0.35">
      <c r="E2671" s="81"/>
      <c r="I2671" s="83" t="e">
        <f>VLOOKUP(E2671,[1]Mapping!$A$3:$B$14,2,FALSE)</f>
        <v>#N/A</v>
      </c>
      <c r="J2671" s="84">
        <f t="shared" si="84"/>
        <v>0</v>
      </c>
      <c r="K2671" s="84">
        <f t="shared" si="85"/>
        <v>0</v>
      </c>
      <c r="L2671" s="61" t="e">
        <f>VLOOKUP(K2671,[1]Mapping!$J$3:$Q$351,8,FALSE)</f>
        <v>#N/A</v>
      </c>
      <c r="M2671" t="s">
        <v>83</v>
      </c>
    </row>
    <row r="2672" spans="5:13" hidden="1" x14ac:dyDescent="0.35">
      <c r="E2672" s="81"/>
      <c r="I2672" s="83" t="e">
        <f>VLOOKUP(E2672,[1]Mapping!$A$3:$B$14,2,FALSE)</f>
        <v>#N/A</v>
      </c>
      <c r="J2672" s="84">
        <f t="shared" si="84"/>
        <v>0</v>
      </c>
      <c r="K2672" s="84">
        <f t="shared" si="85"/>
        <v>0</v>
      </c>
      <c r="L2672" s="61" t="e">
        <f>VLOOKUP(K2672,[1]Mapping!$J$3:$Q$351,8,FALSE)</f>
        <v>#N/A</v>
      </c>
      <c r="M2672" t="s">
        <v>83</v>
      </c>
    </row>
    <row r="2673" spans="5:13" hidden="1" x14ac:dyDescent="0.35">
      <c r="E2673" s="81"/>
      <c r="I2673" s="83" t="e">
        <f>VLOOKUP(E2673,[1]Mapping!$A$3:$B$14,2,FALSE)</f>
        <v>#N/A</v>
      </c>
      <c r="J2673" s="84">
        <f t="shared" si="84"/>
        <v>0</v>
      </c>
      <c r="K2673" s="84">
        <f t="shared" si="85"/>
        <v>0</v>
      </c>
      <c r="L2673" s="61" t="e">
        <f>VLOOKUP(K2673,[1]Mapping!$J$3:$Q$351,8,FALSE)</f>
        <v>#N/A</v>
      </c>
      <c r="M2673" t="s">
        <v>83</v>
      </c>
    </row>
    <row r="2674" spans="5:13" hidden="1" x14ac:dyDescent="0.35">
      <c r="E2674" s="81"/>
      <c r="I2674" s="83" t="e">
        <f>VLOOKUP(E2674,[1]Mapping!$A$3:$B$14,2,FALSE)</f>
        <v>#N/A</v>
      </c>
      <c r="J2674" s="84">
        <f t="shared" si="84"/>
        <v>0</v>
      </c>
      <c r="K2674" s="84">
        <f t="shared" si="85"/>
        <v>0</v>
      </c>
      <c r="L2674" s="61" t="e">
        <f>VLOOKUP(K2674,[1]Mapping!$J$3:$Q$351,8,FALSE)</f>
        <v>#N/A</v>
      </c>
      <c r="M2674" t="s">
        <v>83</v>
      </c>
    </row>
    <row r="2675" spans="5:13" hidden="1" x14ac:dyDescent="0.35">
      <c r="E2675" s="81"/>
      <c r="I2675" s="83" t="e">
        <f>VLOOKUP(E2675,[1]Mapping!$A$3:$B$14,2,FALSE)</f>
        <v>#N/A</v>
      </c>
      <c r="J2675" s="84">
        <f t="shared" si="84"/>
        <v>0</v>
      </c>
      <c r="K2675" s="84">
        <f t="shared" si="85"/>
        <v>0</v>
      </c>
      <c r="L2675" s="61" t="e">
        <f>VLOOKUP(K2675,[1]Mapping!$J$3:$Q$351,8,FALSE)</f>
        <v>#N/A</v>
      </c>
      <c r="M2675" t="s">
        <v>83</v>
      </c>
    </row>
    <row r="2676" spans="5:13" hidden="1" x14ac:dyDescent="0.35">
      <c r="E2676" s="81"/>
      <c r="I2676" s="83" t="e">
        <f>VLOOKUP(E2676,[1]Mapping!$A$3:$B$14,2,FALSE)</f>
        <v>#N/A</v>
      </c>
      <c r="J2676" s="84">
        <f t="shared" si="84"/>
        <v>0</v>
      </c>
      <c r="K2676" s="84">
        <f t="shared" si="85"/>
        <v>0</v>
      </c>
      <c r="L2676" s="61" t="e">
        <f>VLOOKUP(K2676,[1]Mapping!$J$3:$Q$351,8,FALSE)</f>
        <v>#N/A</v>
      </c>
      <c r="M2676" t="s">
        <v>83</v>
      </c>
    </row>
    <row r="2677" spans="5:13" hidden="1" x14ac:dyDescent="0.35">
      <c r="E2677" s="81"/>
      <c r="I2677" s="83" t="e">
        <f>VLOOKUP(E2677,[1]Mapping!$A$3:$B$14,2,FALSE)</f>
        <v>#N/A</v>
      </c>
      <c r="J2677" s="84">
        <f t="shared" si="84"/>
        <v>0</v>
      </c>
      <c r="K2677" s="84">
        <f t="shared" si="85"/>
        <v>0</v>
      </c>
      <c r="L2677" s="61" t="e">
        <f>VLOOKUP(K2677,[1]Mapping!$J$3:$Q$351,8,FALSE)</f>
        <v>#N/A</v>
      </c>
      <c r="M2677" t="s">
        <v>83</v>
      </c>
    </row>
    <row r="2678" spans="5:13" hidden="1" x14ac:dyDescent="0.35">
      <c r="E2678" s="81"/>
      <c r="I2678" s="83" t="e">
        <f>VLOOKUP(E2678,[1]Mapping!$A$3:$B$14,2,FALSE)</f>
        <v>#N/A</v>
      </c>
      <c r="J2678" s="84">
        <f t="shared" si="84"/>
        <v>0</v>
      </c>
      <c r="K2678" s="84">
        <f t="shared" si="85"/>
        <v>0</v>
      </c>
      <c r="L2678" s="61" t="e">
        <f>VLOOKUP(K2678,[1]Mapping!$J$3:$Q$351,8,FALSE)</f>
        <v>#N/A</v>
      </c>
      <c r="M2678" t="s">
        <v>83</v>
      </c>
    </row>
    <row r="2679" spans="5:13" hidden="1" x14ac:dyDescent="0.35">
      <c r="E2679" s="81"/>
      <c r="I2679" s="83" t="e">
        <f>VLOOKUP(E2679,[1]Mapping!$A$3:$B$14,2,FALSE)</f>
        <v>#N/A</v>
      </c>
      <c r="J2679" s="84">
        <f t="shared" si="84"/>
        <v>0</v>
      </c>
      <c r="K2679" s="84">
        <f t="shared" si="85"/>
        <v>0</v>
      </c>
      <c r="L2679" s="61" t="e">
        <f>VLOOKUP(K2679,[1]Mapping!$J$3:$Q$351,8,FALSE)</f>
        <v>#N/A</v>
      </c>
      <c r="M2679" t="s">
        <v>83</v>
      </c>
    </row>
    <row r="2680" spans="5:13" hidden="1" x14ac:dyDescent="0.35">
      <c r="E2680" s="81"/>
      <c r="I2680" s="83" t="e">
        <f>VLOOKUP(E2680,[1]Mapping!$A$3:$B$14,2,FALSE)</f>
        <v>#N/A</v>
      </c>
      <c r="J2680" s="84">
        <f t="shared" si="84"/>
        <v>0</v>
      </c>
      <c r="K2680" s="84">
        <f t="shared" si="85"/>
        <v>0</v>
      </c>
      <c r="L2680" s="61" t="e">
        <f>VLOOKUP(K2680,[1]Mapping!$J$3:$Q$351,8,FALSE)</f>
        <v>#N/A</v>
      </c>
      <c r="M2680" t="s">
        <v>83</v>
      </c>
    </row>
    <row r="2681" spans="5:13" hidden="1" x14ac:dyDescent="0.35">
      <c r="E2681" s="81"/>
      <c r="I2681" s="83" t="e">
        <f>VLOOKUP(E2681,[1]Mapping!$A$3:$B$14,2,FALSE)</f>
        <v>#N/A</v>
      </c>
      <c r="J2681" s="84">
        <f t="shared" si="84"/>
        <v>0</v>
      </c>
      <c r="K2681" s="84">
        <f t="shared" si="85"/>
        <v>0</v>
      </c>
      <c r="L2681" s="61" t="e">
        <f>VLOOKUP(K2681,[1]Mapping!$J$3:$Q$351,8,FALSE)</f>
        <v>#N/A</v>
      </c>
      <c r="M2681" t="s">
        <v>83</v>
      </c>
    </row>
    <row r="2682" spans="5:13" hidden="1" x14ac:dyDescent="0.35">
      <c r="E2682" s="81"/>
      <c r="I2682" s="83" t="e">
        <f>VLOOKUP(E2682,[1]Mapping!$A$3:$B$14,2,FALSE)</f>
        <v>#N/A</v>
      </c>
      <c r="J2682" s="84">
        <f t="shared" si="84"/>
        <v>0</v>
      </c>
      <c r="K2682" s="84">
        <f t="shared" si="85"/>
        <v>0</v>
      </c>
      <c r="L2682" s="61" t="e">
        <f>VLOOKUP(K2682,[1]Mapping!$J$3:$Q$351,8,FALSE)</f>
        <v>#N/A</v>
      </c>
      <c r="M2682" t="s">
        <v>83</v>
      </c>
    </row>
    <row r="2683" spans="5:13" hidden="1" x14ac:dyDescent="0.35">
      <c r="E2683" s="81"/>
      <c r="I2683" s="83" t="e">
        <f>VLOOKUP(E2683,[1]Mapping!$A$3:$B$14,2,FALSE)</f>
        <v>#N/A</v>
      </c>
      <c r="J2683" s="84">
        <f t="shared" si="84"/>
        <v>0</v>
      </c>
      <c r="K2683" s="84">
        <f t="shared" si="85"/>
        <v>0</v>
      </c>
      <c r="L2683" s="61" t="e">
        <f>VLOOKUP(K2683,[1]Mapping!$J$3:$Q$351,8,FALSE)</f>
        <v>#N/A</v>
      </c>
      <c r="M2683" t="s">
        <v>83</v>
      </c>
    </row>
    <row r="2684" spans="5:13" hidden="1" x14ac:dyDescent="0.35">
      <c r="E2684" s="81"/>
      <c r="I2684" s="83" t="e">
        <f>VLOOKUP(E2684,[1]Mapping!$A$3:$B$14,2,FALSE)</f>
        <v>#N/A</v>
      </c>
      <c r="J2684" s="84">
        <f t="shared" si="84"/>
        <v>0</v>
      </c>
      <c r="K2684" s="84">
        <f t="shared" si="85"/>
        <v>0</v>
      </c>
      <c r="L2684" s="61" t="e">
        <f>VLOOKUP(K2684,[1]Mapping!$J$3:$Q$351,8,FALSE)</f>
        <v>#N/A</v>
      </c>
      <c r="M2684" t="s">
        <v>83</v>
      </c>
    </row>
    <row r="2685" spans="5:13" hidden="1" x14ac:dyDescent="0.35">
      <c r="E2685" s="81"/>
      <c r="I2685" s="83" t="e">
        <f>VLOOKUP(E2685,[1]Mapping!$A$3:$B$14,2,FALSE)</f>
        <v>#N/A</v>
      </c>
      <c r="J2685" s="84">
        <f t="shared" si="84"/>
        <v>0</v>
      </c>
      <c r="K2685" s="84">
        <f t="shared" si="85"/>
        <v>0</v>
      </c>
      <c r="L2685" s="61" t="e">
        <f>VLOOKUP(K2685,[1]Mapping!$J$3:$Q$351,8,FALSE)</f>
        <v>#N/A</v>
      </c>
      <c r="M2685" t="s">
        <v>83</v>
      </c>
    </row>
    <row r="2686" spans="5:13" hidden="1" x14ac:dyDescent="0.35">
      <c r="E2686" s="81"/>
      <c r="I2686" s="83" t="e">
        <f>VLOOKUP(E2686,[1]Mapping!$A$3:$B$14,2,FALSE)</f>
        <v>#N/A</v>
      </c>
      <c r="J2686" s="84">
        <f t="shared" si="84"/>
        <v>0</v>
      </c>
      <c r="K2686" s="84">
        <f t="shared" si="85"/>
        <v>0</v>
      </c>
      <c r="L2686" s="61" t="e">
        <f>VLOOKUP(K2686,[1]Mapping!$J$3:$Q$351,8,FALSE)</f>
        <v>#N/A</v>
      </c>
      <c r="M2686" t="s">
        <v>83</v>
      </c>
    </row>
    <row r="2687" spans="5:13" hidden="1" x14ac:dyDescent="0.35">
      <c r="E2687" s="81"/>
      <c r="I2687" s="83" t="e">
        <f>VLOOKUP(E2687,[1]Mapping!$A$3:$B$14,2,FALSE)</f>
        <v>#N/A</v>
      </c>
      <c r="J2687" s="84">
        <f t="shared" si="84"/>
        <v>0</v>
      </c>
      <c r="K2687" s="84">
        <f t="shared" si="85"/>
        <v>0</v>
      </c>
      <c r="L2687" s="61" t="e">
        <f>VLOOKUP(K2687,[1]Mapping!$J$3:$Q$351,8,FALSE)</f>
        <v>#N/A</v>
      </c>
      <c r="M2687" t="s">
        <v>83</v>
      </c>
    </row>
    <row r="2688" spans="5:13" hidden="1" x14ac:dyDescent="0.35">
      <c r="E2688" s="81"/>
      <c r="I2688" s="83" t="e">
        <f>VLOOKUP(E2688,[1]Mapping!$A$3:$B$14,2,FALSE)</f>
        <v>#N/A</v>
      </c>
      <c r="J2688" s="84">
        <f t="shared" si="84"/>
        <v>0</v>
      </c>
      <c r="K2688" s="84">
        <f t="shared" si="85"/>
        <v>0</v>
      </c>
      <c r="L2688" s="61" t="e">
        <f>VLOOKUP(K2688,[1]Mapping!$J$3:$Q$351,8,FALSE)</f>
        <v>#N/A</v>
      </c>
      <c r="M2688" t="s">
        <v>83</v>
      </c>
    </row>
    <row r="2689" spans="5:13" hidden="1" x14ac:dyDescent="0.35">
      <c r="E2689" s="81"/>
      <c r="I2689" s="83" t="e">
        <f>VLOOKUP(E2689,[1]Mapping!$A$3:$B$14,2,FALSE)</f>
        <v>#N/A</v>
      </c>
      <c r="J2689" s="84">
        <f t="shared" si="84"/>
        <v>0</v>
      </c>
      <c r="K2689" s="84">
        <f t="shared" si="85"/>
        <v>0</v>
      </c>
      <c r="L2689" s="61" t="e">
        <f>VLOOKUP(K2689,[1]Mapping!$J$3:$Q$351,8,FALSE)</f>
        <v>#N/A</v>
      </c>
      <c r="M2689" t="s">
        <v>83</v>
      </c>
    </row>
    <row r="2690" spans="5:13" hidden="1" x14ac:dyDescent="0.35">
      <c r="E2690" s="81"/>
      <c r="I2690" s="83" t="e">
        <f>VLOOKUP(E2690,[1]Mapping!$A$3:$B$14,2,FALSE)</f>
        <v>#N/A</v>
      </c>
      <c r="J2690" s="84">
        <f t="shared" si="84"/>
        <v>0</v>
      </c>
      <c r="K2690" s="84">
        <f t="shared" si="85"/>
        <v>0</v>
      </c>
      <c r="L2690" s="61" t="e">
        <f>VLOOKUP(K2690,[1]Mapping!$J$3:$Q$351,8,FALSE)</f>
        <v>#N/A</v>
      </c>
      <c r="M2690" t="s">
        <v>83</v>
      </c>
    </row>
    <row r="2691" spans="5:13" hidden="1" x14ac:dyDescent="0.35">
      <c r="E2691" s="81"/>
      <c r="I2691" s="83" t="e">
        <f>VLOOKUP(E2691,[1]Mapping!$A$3:$B$14,2,FALSE)</f>
        <v>#N/A</v>
      </c>
      <c r="J2691" s="84">
        <f t="shared" si="84"/>
        <v>0</v>
      </c>
      <c r="K2691" s="84">
        <f t="shared" si="85"/>
        <v>0</v>
      </c>
      <c r="L2691" s="61" t="e">
        <f>VLOOKUP(K2691,[1]Mapping!$J$3:$Q$351,8,FALSE)</f>
        <v>#N/A</v>
      </c>
      <c r="M2691" t="s">
        <v>83</v>
      </c>
    </row>
    <row r="2692" spans="5:13" hidden="1" x14ac:dyDescent="0.35">
      <c r="E2692" s="81"/>
      <c r="I2692" s="83" t="e">
        <f>VLOOKUP(E2692,[1]Mapping!$A$3:$B$14,2,FALSE)</f>
        <v>#N/A</v>
      </c>
      <c r="J2692" s="84">
        <f t="shared" ref="J2692:J2755" si="86">VALUE(A2692)</f>
        <v>0</v>
      </c>
      <c r="K2692" s="84">
        <f t="shared" ref="K2692:K2755" si="87">VALUE(C2692)</f>
        <v>0</v>
      </c>
      <c r="L2692" s="61" t="e">
        <f>VLOOKUP(K2692,[1]Mapping!$J$3:$Q$351,8,FALSE)</f>
        <v>#N/A</v>
      </c>
      <c r="M2692" t="s">
        <v>83</v>
      </c>
    </row>
    <row r="2693" spans="5:13" hidden="1" x14ac:dyDescent="0.35">
      <c r="E2693" s="81"/>
      <c r="I2693" s="83" t="e">
        <f>VLOOKUP(E2693,[1]Mapping!$A$3:$B$14,2,FALSE)</f>
        <v>#N/A</v>
      </c>
      <c r="J2693" s="84">
        <f t="shared" si="86"/>
        <v>0</v>
      </c>
      <c r="K2693" s="84">
        <f t="shared" si="87"/>
        <v>0</v>
      </c>
      <c r="L2693" s="61" t="e">
        <f>VLOOKUP(K2693,[1]Mapping!$J$3:$Q$351,8,FALSE)</f>
        <v>#N/A</v>
      </c>
      <c r="M2693" t="s">
        <v>83</v>
      </c>
    </row>
    <row r="2694" spans="5:13" hidden="1" x14ac:dyDescent="0.35">
      <c r="E2694" s="81"/>
      <c r="I2694" s="83" t="e">
        <f>VLOOKUP(E2694,[1]Mapping!$A$3:$B$14,2,FALSE)</f>
        <v>#N/A</v>
      </c>
      <c r="J2694" s="84">
        <f t="shared" si="86"/>
        <v>0</v>
      </c>
      <c r="K2694" s="84">
        <f t="shared" si="87"/>
        <v>0</v>
      </c>
      <c r="L2694" s="61" t="e">
        <f>VLOOKUP(K2694,[1]Mapping!$J$3:$Q$351,8,FALSE)</f>
        <v>#N/A</v>
      </c>
      <c r="M2694" t="s">
        <v>83</v>
      </c>
    </row>
    <row r="2695" spans="5:13" hidden="1" x14ac:dyDescent="0.35">
      <c r="E2695" s="81"/>
      <c r="I2695" s="83" t="e">
        <f>VLOOKUP(E2695,[1]Mapping!$A$3:$B$14,2,FALSE)</f>
        <v>#N/A</v>
      </c>
      <c r="J2695" s="84">
        <f t="shared" si="86"/>
        <v>0</v>
      </c>
      <c r="K2695" s="84">
        <f t="shared" si="87"/>
        <v>0</v>
      </c>
      <c r="L2695" s="61" t="e">
        <f>VLOOKUP(K2695,[1]Mapping!$J$3:$Q$351,8,FALSE)</f>
        <v>#N/A</v>
      </c>
      <c r="M2695" t="s">
        <v>83</v>
      </c>
    </row>
    <row r="2696" spans="5:13" hidden="1" x14ac:dyDescent="0.35">
      <c r="E2696" s="81"/>
      <c r="I2696" s="83" t="e">
        <f>VLOOKUP(E2696,[1]Mapping!$A$3:$B$14,2,FALSE)</f>
        <v>#N/A</v>
      </c>
      <c r="J2696" s="84">
        <f t="shared" si="86"/>
        <v>0</v>
      </c>
      <c r="K2696" s="84">
        <f t="shared" si="87"/>
        <v>0</v>
      </c>
      <c r="L2696" s="61" t="e">
        <f>VLOOKUP(K2696,[1]Mapping!$J$3:$Q$351,8,FALSE)</f>
        <v>#N/A</v>
      </c>
      <c r="M2696" t="s">
        <v>83</v>
      </c>
    </row>
    <row r="2697" spans="5:13" hidden="1" x14ac:dyDescent="0.35">
      <c r="E2697" s="81"/>
      <c r="I2697" s="83" t="e">
        <f>VLOOKUP(E2697,[1]Mapping!$A$3:$B$14,2,FALSE)</f>
        <v>#N/A</v>
      </c>
      <c r="J2697" s="84">
        <f t="shared" si="86"/>
        <v>0</v>
      </c>
      <c r="K2697" s="84">
        <f t="shared" si="87"/>
        <v>0</v>
      </c>
      <c r="L2697" s="61" t="e">
        <f>VLOOKUP(K2697,[1]Mapping!$J$3:$Q$351,8,FALSE)</f>
        <v>#N/A</v>
      </c>
      <c r="M2697" t="s">
        <v>83</v>
      </c>
    </row>
    <row r="2698" spans="5:13" hidden="1" x14ac:dyDescent="0.35">
      <c r="E2698" s="81"/>
      <c r="I2698" s="83" t="e">
        <f>VLOOKUP(E2698,[1]Mapping!$A$3:$B$14,2,FALSE)</f>
        <v>#N/A</v>
      </c>
      <c r="J2698" s="84">
        <f t="shared" si="86"/>
        <v>0</v>
      </c>
      <c r="K2698" s="84">
        <f t="shared" si="87"/>
        <v>0</v>
      </c>
      <c r="L2698" s="61" t="e">
        <f>VLOOKUP(K2698,[1]Mapping!$J$3:$Q$351,8,FALSE)</f>
        <v>#N/A</v>
      </c>
      <c r="M2698" t="s">
        <v>83</v>
      </c>
    </row>
    <row r="2699" spans="5:13" hidden="1" x14ac:dyDescent="0.35">
      <c r="E2699" s="81"/>
      <c r="I2699" s="83" t="e">
        <f>VLOOKUP(E2699,[1]Mapping!$A$3:$B$14,2,FALSE)</f>
        <v>#N/A</v>
      </c>
      <c r="J2699" s="84">
        <f t="shared" si="86"/>
        <v>0</v>
      </c>
      <c r="K2699" s="84">
        <f t="shared" si="87"/>
        <v>0</v>
      </c>
      <c r="L2699" s="61" t="e">
        <f>VLOOKUP(K2699,[1]Mapping!$J$3:$Q$351,8,FALSE)</f>
        <v>#N/A</v>
      </c>
      <c r="M2699" t="s">
        <v>83</v>
      </c>
    </row>
    <row r="2700" spans="5:13" hidden="1" x14ac:dyDescent="0.35">
      <c r="E2700" s="81"/>
      <c r="I2700" s="83" t="e">
        <f>VLOOKUP(E2700,[1]Mapping!$A$3:$B$14,2,FALSE)</f>
        <v>#N/A</v>
      </c>
      <c r="J2700" s="84">
        <f t="shared" si="86"/>
        <v>0</v>
      </c>
      <c r="K2700" s="84">
        <f t="shared" si="87"/>
        <v>0</v>
      </c>
      <c r="L2700" s="61" t="e">
        <f>VLOOKUP(K2700,[1]Mapping!$J$3:$Q$351,8,FALSE)</f>
        <v>#N/A</v>
      </c>
      <c r="M2700" t="s">
        <v>83</v>
      </c>
    </row>
    <row r="2701" spans="5:13" hidden="1" x14ac:dyDescent="0.35">
      <c r="E2701" s="81"/>
      <c r="I2701" s="83" t="e">
        <f>VLOOKUP(E2701,[1]Mapping!$A$3:$B$14,2,FALSE)</f>
        <v>#N/A</v>
      </c>
      <c r="J2701" s="84">
        <f t="shared" si="86"/>
        <v>0</v>
      </c>
      <c r="K2701" s="84">
        <f t="shared" si="87"/>
        <v>0</v>
      </c>
      <c r="L2701" s="61" t="e">
        <f>VLOOKUP(K2701,[1]Mapping!$J$3:$Q$351,8,FALSE)</f>
        <v>#N/A</v>
      </c>
      <c r="M2701" t="s">
        <v>83</v>
      </c>
    </row>
    <row r="2702" spans="5:13" hidden="1" x14ac:dyDescent="0.35">
      <c r="E2702" s="81"/>
      <c r="I2702" s="83" t="e">
        <f>VLOOKUP(E2702,[1]Mapping!$A$3:$B$14,2,FALSE)</f>
        <v>#N/A</v>
      </c>
      <c r="J2702" s="84">
        <f t="shared" si="86"/>
        <v>0</v>
      </c>
      <c r="K2702" s="84">
        <f t="shared" si="87"/>
        <v>0</v>
      </c>
      <c r="L2702" s="61" t="e">
        <f>VLOOKUP(K2702,[1]Mapping!$J$3:$Q$351,8,FALSE)</f>
        <v>#N/A</v>
      </c>
      <c r="M2702" t="s">
        <v>83</v>
      </c>
    </row>
    <row r="2703" spans="5:13" hidden="1" x14ac:dyDescent="0.35">
      <c r="E2703" s="81"/>
      <c r="I2703" s="83" t="e">
        <f>VLOOKUP(E2703,[1]Mapping!$A$3:$B$14,2,FALSE)</f>
        <v>#N/A</v>
      </c>
      <c r="J2703" s="84">
        <f t="shared" si="86"/>
        <v>0</v>
      </c>
      <c r="K2703" s="84">
        <f t="shared" si="87"/>
        <v>0</v>
      </c>
      <c r="L2703" s="61" t="e">
        <f>VLOOKUP(K2703,[1]Mapping!$J$3:$Q$351,8,FALSE)</f>
        <v>#N/A</v>
      </c>
      <c r="M2703" t="s">
        <v>83</v>
      </c>
    </row>
    <row r="2704" spans="5:13" hidden="1" x14ac:dyDescent="0.35">
      <c r="E2704" s="81"/>
      <c r="I2704" s="83" t="e">
        <f>VLOOKUP(E2704,[1]Mapping!$A$3:$B$14,2,FALSE)</f>
        <v>#N/A</v>
      </c>
      <c r="J2704" s="84">
        <f t="shared" si="86"/>
        <v>0</v>
      </c>
      <c r="K2704" s="84">
        <f t="shared" si="87"/>
        <v>0</v>
      </c>
      <c r="L2704" s="61" t="e">
        <f>VLOOKUP(K2704,[1]Mapping!$J$3:$Q$351,8,FALSE)</f>
        <v>#N/A</v>
      </c>
      <c r="M2704" t="s">
        <v>83</v>
      </c>
    </row>
    <row r="2705" spans="5:13" hidden="1" x14ac:dyDescent="0.35">
      <c r="E2705" s="81"/>
      <c r="I2705" s="83" t="e">
        <f>VLOOKUP(E2705,[1]Mapping!$A$3:$B$14,2,FALSE)</f>
        <v>#N/A</v>
      </c>
      <c r="J2705" s="84">
        <f t="shared" si="86"/>
        <v>0</v>
      </c>
      <c r="K2705" s="84">
        <f t="shared" si="87"/>
        <v>0</v>
      </c>
      <c r="L2705" s="61" t="e">
        <f>VLOOKUP(K2705,[1]Mapping!$J$3:$Q$351,8,FALSE)</f>
        <v>#N/A</v>
      </c>
      <c r="M2705" t="s">
        <v>83</v>
      </c>
    </row>
    <row r="2706" spans="5:13" hidden="1" x14ac:dyDescent="0.35">
      <c r="E2706" s="81"/>
      <c r="I2706" s="83" t="e">
        <f>VLOOKUP(E2706,[1]Mapping!$A$3:$B$14,2,FALSE)</f>
        <v>#N/A</v>
      </c>
      <c r="J2706" s="84">
        <f t="shared" si="86"/>
        <v>0</v>
      </c>
      <c r="K2706" s="84">
        <f t="shared" si="87"/>
        <v>0</v>
      </c>
      <c r="L2706" s="61" t="e">
        <f>VLOOKUP(K2706,[1]Mapping!$J$3:$Q$351,8,FALSE)</f>
        <v>#N/A</v>
      </c>
      <c r="M2706" t="s">
        <v>83</v>
      </c>
    </row>
    <row r="2707" spans="5:13" hidden="1" x14ac:dyDescent="0.35">
      <c r="E2707" s="81"/>
      <c r="I2707" s="83" t="e">
        <f>VLOOKUP(E2707,[1]Mapping!$A$3:$B$14,2,FALSE)</f>
        <v>#N/A</v>
      </c>
      <c r="J2707" s="84">
        <f t="shared" si="86"/>
        <v>0</v>
      </c>
      <c r="K2707" s="84">
        <f t="shared" si="87"/>
        <v>0</v>
      </c>
      <c r="L2707" s="61" t="e">
        <f>VLOOKUP(K2707,[1]Mapping!$J$3:$Q$351,8,FALSE)</f>
        <v>#N/A</v>
      </c>
      <c r="M2707" t="s">
        <v>83</v>
      </c>
    </row>
    <row r="2708" spans="5:13" hidden="1" x14ac:dyDescent="0.35">
      <c r="E2708" s="81"/>
      <c r="I2708" s="83" t="e">
        <f>VLOOKUP(E2708,[1]Mapping!$A$3:$B$14,2,FALSE)</f>
        <v>#N/A</v>
      </c>
      <c r="J2708" s="84">
        <f t="shared" si="86"/>
        <v>0</v>
      </c>
      <c r="K2708" s="84">
        <f t="shared" si="87"/>
        <v>0</v>
      </c>
      <c r="L2708" s="61" t="e">
        <f>VLOOKUP(K2708,[1]Mapping!$J$3:$Q$351,8,FALSE)</f>
        <v>#N/A</v>
      </c>
      <c r="M2708" t="s">
        <v>83</v>
      </c>
    </row>
    <row r="2709" spans="5:13" hidden="1" x14ac:dyDescent="0.35">
      <c r="E2709" s="81"/>
      <c r="I2709" s="83" t="e">
        <f>VLOOKUP(E2709,[1]Mapping!$A$3:$B$14,2,FALSE)</f>
        <v>#N/A</v>
      </c>
      <c r="J2709" s="84">
        <f t="shared" si="86"/>
        <v>0</v>
      </c>
      <c r="K2709" s="84">
        <f t="shared" si="87"/>
        <v>0</v>
      </c>
      <c r="L2709" s="61" t="e">
        <f>VLOOKUP(K2709,[1]Mapping!$J$3:$Q$351,8,FALSE)</f>
        <v>#N/A</v>
      </c>
      <c r="M2709" t="s">
        <v>83</v>
      </c>
    </row>
    <row r="2710" spans="5:13" hidden="1" x14ac:dyDescent="0.35">
      <c r="E2710" s="81"/>
      <c r="I2710" s="83" t="e">
        <f>VLOOKUP(E2710,[1]Mapping!$A$3:$B$14,2,FALSE)</f>
        <v>#N/A</v>
      </c>
      <c r="J2710" s="84">
        <f t="shared" si="86"/>
        <v>0</v>
      </c>
      <c r="K2710" s="84">
        <f t="shared" si="87"/>
        <v>0</v>
      </c>
      <c r="L2710" s="61" t="e">
        <f>VLOOKUP(K2710,[1]Mapping!$J$3:$Q$351,8,FALSE)</f>
        <v>#N/A</v>
      </c>
      <c r="M2710" t="s">
        <v>83</v>
      </c>
    </row>
    <row r="2711" spans="5:13" hidden="1" x14ac:dyDescent="0.35">
      <c r="E2711" s="81"/>
      <c r="I2711" s="83" t="e">
        <f>VLOOKUP(E2711,[1]Mapping!$A$3:$B$14,2,FALSE)</f>
        <v>#N/A</v>
      </c>
      <c r="J2711" s="84">
        <f t="shared" si="86"/>
        <v>0</v>
      </c>
      <c r="K2711" s="84">
        <f t="shared" si="87"/>
        <v>0</v>
      </c>
      <c r="L2711" s="61" t="e">
        <f>VLOOKUP(K2711,[1]Mapping!$J$3:$Q$351,8,FALSE)</f>
        <v>#N/A</v>
      </c>
      <c r="M2711" t="s">
        <v>83</v>
      </c>
    </row>
    <row r="2712" spans="5:13" hidden="1" x14ac:dyDescent="0.35">
      <c r="E2712" s="81"/>
      <c r="I2712" s="83" t="e">
        <f>VLOOKUP(E2712,[1]Mapping!$A$3:$B$14,2,FALSE)</f>
        <v>#N/A</v>
      </c>
      <c r="J2712" s="84">
        <f t="shared" si="86"/>
        <v>0</v>
      </c>
      <c r="K2712" s="84">
        <f t="shared" si="87"/>
        <v>0</v>
      </c>
      <c r="L2712" s="61" t="e">
        <f>VLOOKUP(K2712,[1]Mapping!$J$3:$Q$351,8,FALSE)</f>
        <v>#N/A</v>
      </c>
      <c r="M2712" t="s">
        <v>83</v>
      </c>
    </row>
    <row r="2713" spans="5:13" hidden="1" x14ac:dyDescent="0.35">
      <c r="E2713" s="81"/>
      <c r="I2713" s="83" t="e">
        <f>VLOOKUP(E2713,[1]Mapping!$A$3:$B$14,2,FALSE)</f>
        <v>#N/A</v>
      </c>
      <c r="J2713" s="84">
        <f t="shared" si="86"/>
        <v>0</v>
      </c>
      <c r="K2713" s="84">
        <f t="shared" si="87"/>
        <v>0</v>
      </c>
      <c r="L2713" s="61" t="e">
        <f>VLOOKUP(K2713,[1]Mapping!$J$3:$Q$351,8,FALSE)</f>
        <v>#N/A</v>
      </c>
      <c r="M2713" t="s">
        <v>83</v>
      </c>
    </row>
    <row r="2714" spans="5:13" hidden="1" x14ac:dyDescent="0.35">
      <c r="E2714" s="81"/>
      <c r="I2714" s="83" t="e">
        <f>VLOOKUP(E2714,[1]Mapping!$A$3:$B$14,2,FALSE)</f>
        <v>#N/A</v>
      </c>
      <c r="J2714" s="84">
        <f t="shared" si="86"/>
        <v>0</v>
      </c>
      <c r="K2714" s="84">
        <f t="shared" si="87"/>
        <v>0</v>
      </c>
      <c r="L2714" s="61" t="e">
        <f>VLOOKUP(K2714,[1]Mapping!$J$3:$Q$351,8,FALSE)</f>
        <v>#N/A</v>
      </c>
      <c r="M2714" t="s">
        <v>83</v>
      </c>
    </row>
    <row r="2715" spans="5:13" hidden="1" x14ac:dyDescent="0.35">
      <c r="E2715" s="81"/>
      <c r="I2715" s="83" t="e">
        <f>VLOOKUP(E2715,[1]Mapping!$A$3:$B$14,2,FALSE)</f>
        <v>#N/A</v>
      </c>
      <c r="J2715" s="84">
        <f t="shared" si="86"/>
        <v>0</v>
      </c>
      <c r="K2715" s="84">
        <f t="shared" si="87"/>
        <v>0</v>
      </c>
      <c r="L2715" s="61" t="e">
        <f>VLOOKUP(K2715,[1]Mapping!$J$3:$Q$351,8,FALSE)</f>
        <v>#N/A</v>
      </c>
      <c r="M2715" t="s">
        <v>83</v>
      </c>
    </row>
    <row r="2716" spans="5:13" hidden="1" x14ac:dyDescent="0.35">
      <c r="E2716" s="81"/>
      <c r="I2716" s="83" t="e">
        <f>VLOOKUP(E2716,[1]Mapping!$A$3:$B$14,2,FALSE)</f>
        <v>#N/A</v>
      </c>
      <c r="J2716" s="84">
        <f t="shared" si="86"/>
        <v>0</v>
      </c>
      <c r="K2716" s="84">
        <f t="shared" si="87"/>
        <v>0</v>
      </c>
      <c r="L2716" s="61" t="e">
        <f>VLOOKUP(K2716,[1]Mapping!$J$3:$Q$351,8,FALSE)</f>
        <v>#N/A</v>
      </c>
      <c r="M2716" t="s">
        <v>83</v>
      </c>
    </row>
    <row r="2717" spans="5:13" hidden="1" x14ac:dyDescent="0.35">
      <c r="E2717" s="81"/>
      <c r="I2717" s="83" t="e">
        <f>VLOOKUP(E2717,[1]Mapping!$A$3:$B$14,2,FALSE)</f>
        <v>#N/A</v>
      </c>
      <c r="J2717" s="84">
        <f t="shared" si="86"/>
        <v>0</v>
      </c>
      <c r="K2717" s="84">
        <f t="shared" si="87"/>
        <v>0</v>
      </c>
      <c r="L2717" s="61" t="e">
        <f>VLOOKUP(K2717,[1]Mapping!$J$3:$Q$351,8,FALSE)</f>
        <v>#N/A</v>
      </c>
      <c r="M2717" t="s">
        <v>83</v>
      </c>
    </row>
    <row r="2718" spans="5:13" hidden="1" x14ac:dyDescent="0.35">
      <c r="E2718" s="81"/>
      <c r="I2718" s="83" t="e">
        <f>VLOOKUP(E2718,[1]Mapping!$A$3:$B$14,2,FALSE)</f>
        <v>#N/A</v>
      </c>
      <c r="J2718" s="84">
        <f t="shared" si="86"/>
        <v>0</v>
      </c>
      <c r="K2718" s="84">
        <f t="shared" si="87"/>
        <v>0</v>
      </c>
      <c r="L2718" s="61" t="e">
        <f>VLOOKUP(K2718,[1]Mapping!$J$3:$Q$351,8,FALSE)</f>
        <v>#N/A</v>
      </c>
      <c r="M2718" t="s">
        <v>83</v>
      </c>
    </row>
    <row r="2719" spans="5:13" hidden="1" x14ac:dyDescent="0.35">
      <c r="E2719" s="81"/>
      <c r="I2719" s="83" t="e">
        <f>VLOOKUP(E2719,[1]Mapping!$A$3:$B$14,2,FALSE)</f>
        <v>#N/A</v>
      </c>
      <c r="J2719" s="84">
        <f t="shared" si="86"/>
        <v>0</v>
      </c>
      <c r="K2719" s="84">
        <f t="shared" si="87"/>
        <v>0</v>
      </c>
      <c r="L2719" s="61" t="e">
        <f>VLOOKUP(K2719,[1]Mapping!$J$3:$Q$351,8,FALSE)</f>
        <v>#N/A</v>
      </c>
      <c r="M2719" t="s">
        <v>83</v>
      </c>
    </row>
    <row r="2720" spans="5:13" hidden="1" x14ac:dyDescent="0.35">
      <c r="E2720" s="81"/>
      <c r="I2720" s="83" t="e">
        <f>VLOOKUP(E2720,[1]Mapping!$A$3:$B$14,2,FALSE)</f>
        <v>#N/A</v>
      </c>
      <c r="J2720" s="84">
        <f t="shared" si="86"/>
        <v>0</v>
      </c>
      <c r="K2720" s="84">
        <f t="shared" si="87"/>
        <v>0</v>
      </c>
      <c r="L2720" s="61" t="e">
        <f>VLOOKUP(K2720,[1]Mapping!$J$3:$Q$351,8,FALSE)</f>
        <v>#N/A</v>
      </c>
      <c r="M2720" t="s">
        <v>83</v>
      </c>
    </row>
    <row r="2721" spans="5:13" hidden="1" x14ac:dyDescent="0.35">
      <c r="E2721" s="81"/>
      <c r="I2721" s="83" t="e">
        <f>VLOOKUP(E2721,[1]Mapping!$A$3:$B$14,2,FALSE)</f>
        <v>#N/A</v>
      </c>
      <c r="J2721" s="84">
        <f t="shared" si="86"/>
        <v>0</v>
      </c>
      <c r="K2721" s="84">
        <f t="shared" si="87"/>
        <v>0</v>
      </c>
      <c r="L2721" s="61" t="e">
        <f>VLOOKUP(K2721,[1]Mapping!$J$3:$Q$351,8,FALSE)</f>
        <v>#N/A</v>
      </c>
      <c r="M2721" t="s">
        <v>83</v>
      </c>
    </row>
    <row r="2722" spans="5:13" hidden="1" x14ac:dyDescent="0.35">
      <c r="E2722" s="81"/>
      <c r="I2722" s="83" t="e">
        <f>VLOOKUP(E2722,[1]Mapping!$A$3:$B$14,2,FALSE)</f>
        <v>#N/A</v>
      </c>
      <c r="J2722" s="84">
        <f t="shared" si="86"/>
        <v>0</v>
      </c>
      <c r="K2722" s="84">
        <f t="shared" si="87"/>
        <v>0</v>
      </c>
      <c r="L2722" s="61" t="e">
        <f>VLOOKUP(K2722,[1]Mapping!$J$3:$Q$351,8,FALSE)</f>
        <v>#N/A</v>
      </c>
      <c r="M2722" t="s">
        <v>83</v>
      </c>
    </row>
    <row r="2723" spans="5:13" hidden="1" x14ac:dyDescent="0.35">
      <c r="E2723" s="81"/>
      <c r="I2723" s="83" t="e">
        <f>VLOOKUP(E2723,[1]Mapping!$A$3:$B$14,2,FALSE)</f>
        <v>#N/A</v>
      </c>
      <c r="J2723" s="84">
        <f t="shared" si="86"/>
        <v>0</v>
      </c>
      <c r="K2723" s="84">
        <f t="shared" si="87"/>
        <v>0</v>
      </c>
      <c r="L2723" s="61" t="e">
        <f>VLOOKUP(K2723,[1]Mapping!$J$3:$Q$351,8,FALSE)</f>
        <v>#N/A</v>
      </c>
      <c r="M2723" t="s">
        <v>83</v>
      </c>
    </row>
    <row r="2724" spans="5:13" hidden="1" x14ac:dyDescent="0.35">
      <c r="E2724" s="81"/>
      <c r="I2724" s="83" t="e">
        <f>VLOOKUP(E2724,[1]Mapping!$A$3:$B$14,2,FALSE)</f>
        <v>#N/A</v>
      </c>
      <c r="J2724" s="84">
        <f t="shared" si="86"/>
        <v>0</v>
      </c>
      <c r="K2724" s="84">
        <f t="shared" si="87"/>
        <v>0</v>
      </c>
      <c r="L2724" s="61" t="e">
        <f>VLOOKUP(K2724,[1]Mapping!$J$3:$Q$351,8,FALSE)</f>
        <v>#N/A</v>
      </c>
      <c r="M2724" t="s">
        <v>83</v>
      </c>
    </row>
    <row r="2725" spans="5:13" hidden="1" x14ac:dyDescent="0.35">
      <c r="E2725" s="81"/>
      <c r="I2725" s="83" t="e">
        <f>VLOOKUP(E2725,[1]Mapping!$A$3:$B$14,2,FALSE)</f>
        <v>#N/A</v>
      </c>
      <c r="J2725" s="84">
        <f t="shared" si="86"/>
        <v>0</v>
      </c>
      <c r="K2725" s="84">
        <f t="shared" si="87"/>
        <v>0</v>
      </c>
      <c r="L2725" s="61" t="e">
        <f>VLOOKUP(K2725,[1]Mapping!$J$3:$Q$351,8,FALSE)</f>
        <v>#N/A</v>
      </c>
      <c r="M2725" t="s">
        <v>83</v>
      </c>
    </row>
    <row r="2726" spans="5:13" hidden="1" x14ac:dyDescent="0.35">
      <c r="E2726" s="81"/>
      <c r="I2726" s="83" t="e">
        <f>VLOOKUP(E2726,[1]Mapping!$A$3:$B$14,2,FALSE)</f>
        <v>#N/A</v>
      </c>
      <c r="J2726" s="84">
        <f t="shared" si="86"/>
        <v>0</v>
      </c>
      <c r="K2726" s="84">
        <f t="shared" si="87"/>
        <v>0</v>
      </c>
      <c r="L2726" s="61" t="e">
        <f>VLOOKUP(K2726,[1]Mapping!$J$3:$Q$351,8,FALSE)</f>
        <v>#N/A</v>
      </c>
      <c r="M2726" t="s">
        <v>83</v>
      </c>
    </row>
    <row r="2727" spans="5:13" hidden="1" x14ac:dyDescent="0.35">
      <c r="E2727" s="81"/>
      <c r="I2727" s="83" t="e">
        <f>VLOOKUP(E2727,[1]Mapping!$A$3:$B$14,2,FALSE)</f>
        <v>#N/A</v>
      </c>
      <c r="J2727" s="84">
        <f t="shared" si="86"/>
        <v>0</v>
      </c>
      <c r="K2727" s="84">
        <f t="shared" si="87"/>
        <v>0</v>
      </c>
      <c r="L2727" s="61" t="e">
        <f>VLOOKUP(K2727,[1]Mapping!$J$3:$Q$351,8,FALSE)</f>
        <v>#N/A</v>
      </c>
      <c r="M2727" t="s">
        <v>83</v>
      </c>
    </row>
    <row r="2728" spans="5:13" hidden="1" x14ac:dyDescent="0.35">
      <c r="E2728" s="81"/>
      <c r="I2728" s="83" t="e">
        <f>VLOOKUP(E2728,[1]Mapping!$A$3:$B$14,2,FALSE)</f>
        <v>#N/A</v>
      </c>
      <c r="J2728" s="84">
        <f t="shared" si="86"/>
        <v>0</v>
      </c>
      <c r="K2728" s="84">
        <f t="shared" si="87"/>
        <v>0</v>
      </c>
      <c r="L2728" s="61" t="e">
        <f>VLOOKUP(K2728,[1]Mapping!$J$3:$Q$351,8,FALSE)</f>
        <v>#N/A</v>
      </c>
      <c r="M2728" t="s">
        <v>83</v>
      </c>
    </row>
    <row r="2729" spans="5:13" hidden="1" x14ac:dyDescent="0.35">
      <c r="E2729" s="81"/>
      <c r="I2729" s="83" t="e">
        <f>VLOOKUP(E2729,[1]Mapping!$A$3:$B$14,2,FALSE)</f>
        <v>#N/A</v>
      </c>
      <c r="J2729" s="84">
        <f t="shared" si="86"/>
        <v>0</v>
      </c>
      <c r="K2729" s="84">
        <f t="shared" si="87"/>
        <v>0</v>
      </c>
      <c r="L2729" s="61" t="e">
        <f>VLOOKUP(K2729,[1]Mapping!$J$3:$Q$351,8,FALSE)</f>
        <v>#N/A</v>
      </c>
      <c r="M2729" t="s">
        <v>83</v>
      </c>
    </row>
    <row r="2730" spans="5:13" hidden="1" x14ac:dyDescent="0.35">
      <c r="E2730" s="81"/>
      <c r="I2730" s="83" t="e">
        <f>VLOOKUP(E2730,[1]Mapping!$A$3:$B$14,2,FALSE)</f>
        <v>#N/A</v>
      </c>
      <c r="J2730" s="84">
        <f t="shared" si="86"/>
        <v>0</v>
      </c>
      <c r="K2730" s="84">
        <f t="shared" si="87"/>
        <v>0</v>
      </c>
      <c r="L2730" s="61" t="e">
        <f>VLOOKUP(K2730,[1]Mapping!$J$3:$Q$351,8,FALSE)</f>
        <v>#N/A</v>
      </c>
      <c r="M2730" t="s">
        <v>83</v>
      </c>
    </row>
    <row r="2731" spans="5:13" hidden="1" x14ac:dyDescent="0.35">
      <c r="E2731" s="81"/>
      <c r="I2731" s="83" t="e">
        <f>VLOOKUP(E2731,[1]Mapping!$A$3:$B$14,2,FALSE)</f>
        <v>#N/A</v>
      </c>
      <c r="J2731" s="84">
        <f t="shared" si="86"/>
        <v>0</v>
      </c>
      <c r="K2731" s="84">
        <f t="shared" si="87"/>
        <v>0</v>
      </c>
      <c r="L2731" s="61" t="e">
        <f>VLOOKUP(K2731,[1]Mapping!$J$3:$Q$351,8,FALSE)</f>
        <v>#N/A</v>
      </c>
      <c r="M2731" t="s">
        <v>83</v>
      </c>
    </row>
    <row r="2732" spans="5:13" hidden="1" x14ac:dyDescent="0.35">
      <c r="E2732" s="81"/>
      <c r="I2732" s="83" t="e">
        <f>VLOOKUP(E2732,[1]Mapping!$A$3:$B$14,2,FALSE)</f>
        <v>#N/A</v>
      </c>
      <c r="J2732" s="84">
        <f t="shared" si="86"/>
        <v>0</v>
      </c>
      <c r="K2732" s="84">
        <f t="shared" si="87"/>
        <v>0</v>
      </c>
      <c r="L2732" s="61" t="e">
        <f>VLOOKUP(K2732,[1]Mapping!$J$3:$Q$351,8,FALSE)</f>
        <v>#N/A</v>
      </c>
      <c r="M2732" t="s">
        <v>83</v>
      </c>
    </row>
    <row r="2733" spans="5:13" hidden="1" x14ac:dyDescent="0.35">
      <c r="E2733" s="81"/>
      <c r="I2733" s="83" t="e">
        <f>VLOOKUP(E2733,[1]Mapping!$A$3:$B$14,2,FALSE)</f>
        <v>#N/A</v>
      </c>
      <c r="J2733" s="84">
        <f t="shared" si="86"/>
        <v>0</v>
      </c>
      <c r="K2733" s="84">
        <f t="shared" si="87"/>
        <v>0</v>
      </c>
      <c r="L2733" s="61" t="e">
        <f>VLOOKUP(K2733,[1]Mapping!$J$3:$Q$351,8,FALSE)</f>
        <v>#N/A</v>
      </c>
      <c r="M2733" t="s">
        <v>83</v>
      </c>
    </row>
    <row r="2734" spans="5:13" hidden="1" x14ac:dyDescent="0.35">
      <c r="E2734" s="81"/>
      <c r="I2734" s="83" t="e">
        <f>VLOOKUP(E2734,[1]Mapping!$A$3:$B$14,2,FALSE)</f>
        <v>#N/A</v>
      </c>
      <c r="J2734" s="84">
        <f t="shared" si="86"/>
        <v>0</v>
      </c>
      <c r="K2734" s="84">
        <f t="shared" si="87"/>
        <v>0</v>
      </c>
      <c r="L2734" s="61" t="e">
        <f>VLOOKUP(K2734,[1]Mapping!$J$3:$Q$351,8,FALSE)</f>
        <v>#N/A</v>
      </c>
      <c r="M2734" t="s">
        <v>83</v>
      </c>
    </row>
    <row r="2735" spans="5:13" hidden="1" x14ac:dyDescent="0.35">
      <c r="E2735" s="81"/>
      <c r="I2735" s="83" t="e">
        <f>VLOOKUP(E2735,[1]Mapping!$A$3:$B$14,2,FALSE)</f>
        <v>#N/A</v>
      </c>
      <c r="J2735" s="84">
        <f t="shared" si="86"/>
        <v>0</v>
      </c>
      <c r="K2735" s="84">
        <f t="shared" si="87"/>
        <v>0</v>
      </c>
      <c r="L2735" s="61" t="e">
        <f>VLOOKUP(K2735,[1]Mapping!$J$3:$Q$351,8,FALSE)</f>
        <v>#N/A</v>
      </c>
      <c r="M2735" t="s">
        <v>83</v>
      </c>
    </row>
    <row r="2736" spans="5:13" hidden="1" x14ac:dyDescent="0.35">
      <c r="E2736" s="81"/>
      <c r="I2736" s="83" t="e">
        <f>VLOOKUP(E2736,[1]Mapping!$A$3:$B$14,2,FALSE)</f>
        <v>#N/A</v>
      </c>
      <c r="J2736" s="84">
        <f t="shared" si="86"/>
        <v>0</v>
      </c>
      <c r="K2736" s="84">
        <f t="shared" si="87"/>
        <v>0</v>
      </c>
      <c r="L2736" s="61" t="e">
        <f>VLOOKUP(K2736,[1]Mapping!$J$3:$Q$351,8,FALSE)</f>
        <v>#N/A</v>
      </c>
      <c r="M2736" t="s">
        <v>83</v>
      </c>
    </row>
    <row r="2737" spans="5:13" hidden="1" x14ac:dyDescent="0.35">
      <c r="E2737" s="81"/>
      <c r="I2737" s="83" t="e">
        <f>VLOOKUP(E2737,[1]Mapping!$A$3:$B$14,2,FALSE)</f>
        <v>#N/A</v>
      </c>
      <c r="J2737" s="84">
        <f t="shared" si="86"/>
        <v>0</v>
      </c>
      <c r="K2737" s="84">
        <f t="shared" si="87"/>
        <v>0</v>
      </c>
      <c r="L2737" s="61" t="e">
        <f>VLOOKUP(K2737,[1]Mapping!$J$3:$Q$351,8,FALSE)</f>
        <v>#N/A</v>
      </c>
      <c r="M2737" t="s">
        <v>83</v>
      </c>
    </row>
    <row r="2738" spans="5:13" hidden="1" x14ac:dyDescent="0.35">
      <c r="E2738" s="81"/>
      <c r="I2738" s="83" t="e">
        <f>VLOOKUP(E2738,[1]Mapping!$A$3:$B$14,2,FALSE)</f>
        <v>#N/A</v>
      </c>
      <c r="J2738" s="84">
        <f t="shared" si="86"/>
        <v>0</v>
      </c>
      <c r="K2738" s="84">
        <f t="shared" si="87"/>
        <v>0</v>
      </c>
      <c r="L2738" s="61" t="e">
        <f>VLOOKUP(K2738,[1]Mapping!$J$3:$Q$351,8,FALSE)</f>
        <v>#N/A</v>
      </c>
      <c r="M2738" t="s">
        <v>83</v>
      </c>
    </row>
    <row r="2739" spans="5:13" hidden="1" x14ac:dyDescent="0.35">
      <c r="E2739" s="81"/>
      <c r="I2739" s="83" t="e">
        <f>VLOOKUP(E2739,[1]Mapping!$A$3:$B$14,2,FALSE)</f>
        <v>#N/A</v>
      </c>
      <c r="J2739" s="84">
        <f t="shared" si="86"/>
        <v>0</v>
      </c>
      <c r="K2739" s="84">
        <f t="shared" si="87"/>
        <v>0</v>
      </c>
      <c r="L2739" s="61" t="e">
        <f>VLOOKUP(K2739,[1]Mapping!$J$3:$Q$351,8,FALSE)</f>
        <v>#N/A</v>
      </c>
      <c r="M2739" t="s">
        <v>83</v>
      </c>
    </row>
    <row r="2740" spans="5:13" hidden="1" x14ac:dyDescent="0.35">
      <c r="E2740" s="81"/>
      <c r="I2740" s="83" t="e">
        <f>VLOOKUP(E2740,[1]Mapping!$A$3:$B$14,2,FALSE)</f>
        <v>#N/A</v>
      </c>
      <c r="J2740" s="84">
        <f t="shared" si="86"/>
        <v>0</v>
      </c>
      <c r="K2740" s="84">
        <f t="shared" si="87"/>
        <v>0</v>
      </c>
      <c r="L2740" s="61" t="e">
        <f>VLOOKUP(K2740,[1]Mapping!$J$3:$Q$351,8,FALSE)</f>
        <v>#N/A</v>
      </c>
      <c r="M2740" t="s">
        <v>83</v>
      </c>
    </row>
    <row r="2741" spans="5:13" hidden="1" x14ac:dyDescent="0.35">
      <c r="E2741" s="81"/>
      <c r="I2741" s="83" t="e">
        <f>VLOOKUP(E2741,[1]Mapping!$A$3:$B$14,2,FALSE)</f>
        <v>#N/A</v>
      </c>
      <c r="J2741" s="84">
        <f t="shared" si="86"/>
        <v>0</v>
      </c>
      <c r="K2741" s="84">
        <f t="shared" si="87"/>
        <v>0</v>
      </c>
      <c r="L2741" s="61" t="e">
        <f>VLOOKUP(K2741,[1]Mapping!$J$3:$Q$351,8,FALSE)</f>
        <v>#N/A</v>
      </c>
      <c r="M2741" t="s">
        <v>83</v>
      </c>
    </row>
    <row r="2742" spans="5:13" hidden="1" x14ac:dyDescent="0.35">
      <c r="E2742" s="81"/>
      <c r="I2742" s="83" t="e">
        <f>VLOOKUP(E2742,[1]Mapping!$A$3:$B$14,2,FALSE)</f>
        <v>#N/A</v>
      </c>
      <c r="J2742" s="84">
        <f t="shared" si="86"/>
        <v>0</v>
      </c>
      <c r="K2742" s="84">
        <f t="shared" si="87"/>
        <v>0</v>
      </c>
      <c r="L2742" s="61" t="e">
        <f>VLOOKUP(K2742,[1]Mapping!$J$3:$Q$351,8,FALSE)</f>
        <v>#N/A</v>
      </c>
      <c r="M2742" t="s">
        <v>83</v>
      </c>
    </row>
    <row r="2743" spans="5:13" hidden="1" x14ac:dyDescent="0.35">
      <c r="E2743" s="81"/>
      <c r="I2743" s="83" t="e">
        <f>VLOOKUP(E2743,[1]Mapping!$A$3:$B$14,2,FALSE)</f>
        <v>#N/A</v>
      </c>
      <c r="J2743" s="84">
        <f t="shared" si="86"/>
        <v>0</v>
      </c>
      <c r="K2743" s="84">
        <f t="shared" si="87"/>
        <v>0</v>
      </c>
      <c r="L2743" s="61" t="e">
        <f>VLOOKUP(K2743,[1]Mapping!$J$3:$Q$351,8,FALSE)</f>
        <v>#N/A</v>
      </c>
      <c r="M2743" t="s">
        <v>83</v>
      </c>
    </row>
    <row r="2744" spans="5:13" hidden="1" x14ac:dyDescent="0.35">
      <c r="E2744" s="81"/>
      <c r="I2744" s="83" t="e">
        <f>VLOOKUP(E2744,[1]Mapping!$A$3:$B$14,2,FALSE)</f>
        <v>#N/A</v>
      </c>
      <c r="J2744" s="84">
        <f t="shared" si="86"/>
        <v>0</v>
      </c>
      <c r="K2744" s="84">
        <f t="shared" si="87"/>
        <v>0</v>
      </c>
      <c r="L2744" s="61" t="e">
        <f>VLOOKUP(K2744,[1]Mapping!$J$3:$Q$351,8,FALSE)</f>
        <v>#N/A</v>
      </c>
      <c r="M2744" t="s">
        <v>83</v>
      </c>
    </row>
    <row r="2745" spans="5:13" hidden="1" x14ac:dyDescent="0.35">
      <c r="E2745" s="81"/>
      <c r="I2745" s="83" t="e">
        <f>VLOOKUP(E2745,[1]Mapping!$A$3:$B$14,2,FALSE)</f>
        <v>#N/A</v>
      </c>
      <c r="J2745" s="84">
        <f t="shared" si="86"/>
        <v>0</v>
      </c>
      <c r="K2745" s="84">
        <f t="shared" si="87"/>
        <v>0</v>
      </c>
      <c r="L2745" s="61" t="e">
        <f>VLOOKUP(K2745,[1]Mapping!$J$3:$Q$351,8,FALSE)</f>
        <v>#N/A</v>
      </c>
      <c r="M2745" t="s">
        <v>83</v>
      </c>
    </row>
    <row r="2746" spans="5:13" hidden="1" x14ac:dyDescent="0.35">
      <c r="E2746" s="81"/>
      <c r="I2746" s="83" t="e">
        <f>VLOOKUP(E2746,[1]Mapping!$A$3:$B$14,2,FALSE)</f>
        <v>#N/A</v>
      </c>
      <c r="J2746" s="84">
        <f t="shared" si="86"/>
        <v>0</v>
      </c>
      <c r="K2746" s="84">
        <f t="shared" si="87"/>
        <v>0</v>
      </c>
      <c r="L2746" s="61" t="e">
        <f>VLOOKUP(K2746,[1]Mapping!$J$3:$Q$351,8,FALSE)</f>
        <v>#N/A</v>
      </c>
      <c r="M2746" t="s">
        <v>83</v>
      </c>
    </row>
    <row r="2747" spans="5:13" hidden="1" x14ac:dyDescent="0.35">
      <c r="E2747" s="81"/>
      <c r="I2747" s="83" t="e">
        <f>VLOOKUP(E2747,[1]Mapping!$A$3:$B$14,2,FALSE)</f>
        <v>#N/A</v>
      </c>
      <c r="J2747" s="84">
        <f t="shared" si="86"/>
        <v>0</v>
      </c>
      <c r="K2747" s="84">
        <f t="shared" si="87"/>
        <v>0</v>
      </c>
      <c r="L2747" s="61" t="e">
        <f>VLOOKUP(K2747,[1]Mapping!$J$3:$Q$351,8,FALSE)</f>
        <v>#N/A</v>
      </c>
      <c r="M2747" t="s">
        <v>83</v>
      </c>
    </row>
    <row r="2748" spans="5:13" hidden="1" x14ac:dyDescent="0.35">
      <c r="E2748" s="81"/>
      <c r="I2748" s="83" t="e">
        <f>VLOOKUP(E2748,[1]Mapping!$A$3:$B$14,2,FALSE)</f>
        <v>#N/A</v>
      </c>
      <c r="J2748" s="84">
        <f t="shared" si="86"/>
        <v>0</v>
      </c>
      <c r="K2748" s="84">
        <f t="shared" si="87"/>
        <v>0</v>
      </c>
      <c r="L2748" s="61" t="e">
        <f>VLOOKUP(K2748,[1]Mapping!$J$3:$Q$351,8,FALSE)</f>
        <v>#N/A</v>
      </c>
      <c r="M2748" t="s">
        <v>83</v>
      </c>
    </row>
    <row r="2749" spans="5:13" hidden="1" x14ac:dyDescent="0.35">
      <c r="E2749" s="81"/>
      <c r="I2749" s="83" t="e">
        <f>VLOOKUP(E2749,[1]Mapping!$A$3:$B$14,2,FALSE)</f>
        <v>#N/A</v>
      </c>
      <c r="J2749" s="84">
        <f t="shared" si="86"/>
        <v>0</v>
      </c>
      <c r="K2749" s="84">
        <f t="shared" si="87"/>
        <v>0</v>
      </c>
      <c r="L2749" s="61" t="e">
        <f>VLOOKUP(K2749,[1]Mapping!$J$3:$Q$351,8,FALSE)</f>
        <v>#N/A</v>
      </c>
      <c r="M2749" t="s">
        <v>83</v>
      </c>
    </row>
    <row r="2750" spans="5:13" hidden="1" x14ac:dyDescent="0.35">
      <c r="E2750" s="81"/>
      <c r="I2750" s="83" t="e">
        <f>VLOOKUP(E2750,[1]Mapping!$A$3:$B$14,2,FALSE)</f>
        <v>#N/A</v>
      </c>
      <c r="J2750" s="84">
        <f t="shared" si="86"/>
        <v>0</v>
      </c>
      <c r="K2750" s="84">
        <f t="shared" si="87"/>
        <v>0</v>
      </c>
      <c r="L2750" s="61" t="e">
        <f>VLOOKUP(K2750,[1]Mapping!$J$3:$Q$351,8,FALSE)</f>
        <v>#N/A</v>
      </c>
      <c r="M2750" t="s">
        <v>83</v>
      </c>
    </row>
    <row r="2751" spans="5:13" hidden="1" x14ac:dyDescent="0.35">
      <c r="E2751" s="81"/>
      <c r="I2751" s="83" t="e">
        <f>VLOOKUP(E2751,[1]Mapping!$A$3:$B$14,2,FALSE)</f>
        <v>#N/A</v>
      </c>
      <c r="J2751" s="84">
        <f t="shared" si="86"/>
        <v>0</v>
      </c>
      <c r="K2751" s="84">
        <f t="shared" si="87"/>
        <v>0</v>
      </c>
      <c r="L2751" s="61" t="e">
        <f>VLOOKUP(K2751,[1]Mapping!$J$3:$Q$351,8,FALSE)</f>
        <v>#N/A</v>
      </c>
      <c r="M2751" t="s">
        <v>83</v>
      </c>
    </row>
    <row r="2752" spans="5:13" hidden="1" x14ac:dyDescent="0.35">
      <c r="E2752" s="81"/>
      <c r="I2752" s="83" t="e">
        <f>VLOOKUP(E2752,[1]Mapping!$A$3:$B$14,2,FALSE)</f>
        <v>#N/A</v>
      </c>
      <c r="J2752" s="84">
        <f t="shared" si="86"/>
        <v>0</v>
      </c>
      <c r="K2752" s="84">
        <f t="shared" si="87"/>
        <v>0</v>
      </c>
      <c r="L2752" s="61" t="e">
        <f>VLOOKUP(K2752,[1]Mapping!$J$3:$Q$351,8,FALSE)</f>
        <v>#N/A</v>
      </c>
      <c r="M2752" t="s">
        <v>83</v>
      </c>
    </row>
    <row r="2753" spans="5:13" hidden="1" x14ac:dyDescent="0.35">
      <c r="E2753" s="81"/>
      <c r="I2753" s="83" t="e">
        <f>VLOOKUP(E2753,[1]Mapping!$A$3:$B$14,2,FALSE)</f>
        <v>#N/A</v>
      </c>
      <c r="J2753" s="84">
        <f t="shared" si="86"/>
        <v>0</v>
      </c>
      <c r="K2753" s="84">
        <f t="shared" si="87"/>
        <v>0</v>
      </c>
      <c r="L2753" s="61" t="e">
        <f>VLOOKUP(K2753,[1]Mapping!$J$3:$Q$351,8,FALSE)</f>
        <v>#N/A</v>
      </c>
      <c r="M2753" t="s">
        <v>83</v>
      </c>
    </row>
    <row r="2754" spans="5:13" hidden="1" x14ac:dyDescent="0.35">
      <c r="E2754" s="81"/>
      <c r="I2754" s="83" t="e">
        <f>VLOOKUP(E2754,[1]Mapping!$A$3:$B$14,2,FALSE)</f>
        <v>#N/A</v>
      </c>
      <c r="J2754" s="84">
        <f t="shared" si="86"/>
        <v>0</v>
      </c>
      <c r="K2754" s="84">
        <f t="shared" si="87"/>
        <v>0</v>
      </c>
      <c r="L2754" s="61" t="e">
        <f>VLOOKUP(K2754,[1]Mapping!$J$3:$Q$351,8,FALSE)</f>
        <v>#N/A</v>
      </c>
      <c r="M2754" t="s">
        <v>83</v>
      </c>
    </row>
    <row r="2755" spans="5:13" hidden="1" x14ac:dyDescent="0.35">
      <c r="E2755" s="81"/>
      <c r="I2755" s="83" t="e">
        <f>VLOOKUP(E2755,[1]Mapping!$A$3:$B$14,2,FALSE)</f>
        <v>#N/A</v>
      </c>
      <c r="J2755" s="84">
        <f t="shared" si="86"/>
        <v>0</v>
      </c>
      <c r="K2755" s="84">
        <f t="shared" si="87"/>
        <v>0</v>
      </c>
      <c r="L2755" s="61" t="e">
        <f>VLOOKUP(K2755,[1]Mapping!$J$3:$Q$351,8,FALSE)</f>
        <v>#N/A</v>
      </c>
      <c r="M2755" t="s">
        <v>83</v>
      </c>
    </row>
    <row r="2756" spans="5:13" hidden="1" x14ac:dyDescent="0.35">
      <c r="E2756" s="81"/>
      <c r="I2756" s="83" t="e">
        <f>VLOOKUP(E2756,[1]Mapping!$A$3:$B$14,2,FALSE)</f>
        <v>#N/A</v>
      </c>
      <c r="J2756" s="84">
        <f t="shared" ref="J2756:J2819" si="88">VALUE(A2756)</f>
        <v>0</v>
      </c>
      <c r="K2756" s="84">
        <f t="shared" ref="K2756:K2819" si="89">VALUE(C2756)</f>
        <v>0</v>
      </c>
      <c r="L2756" s="61" t="e">
        <f>VLOOKUP(K2756,[1]Mapping!$J$3:$Q$351,8,FALSE)</f>
        <v>#N/A</v>
      </c>
      <c r="M2756" t="s">
        <v>83</v>
      </c>
    </row>
    <row r="2757" spans="5:13" hidden="1" x14ac:dyDescent="0.35">
      <c r="E2757" s="81"/>
      <c r="I2757" s="83" t="e">
        <f>VLOOKUP(E2757,[1]Mapping!$A$3:$B$14,2,FALSE)</f>
        <v>#N/A</v>
      </c>
      <c r="J2757" s="84">
        <f t="shared" si="88"/>
        <v>0</v>
      </c>
      <c r="K2757" s="84">
        <f t="shared" si="89"/>
        <v>0</v>
      </c>
      <c r="L2757" s="61" t="e">
        <f>VLOOKUP(K2757,[1]Mapping!$J$3:$Q$351,8,FALSE)</f>
        <v>#N/A</v>
      </c>
      <c r="M2757" t="s">
        <v>83</v>
      </c>
    </row>
    <row r="2758" spans="5:13" hidden="1" x14ac:dyDescent="0.35">
      <c r="E2758" s="81"/>
      <c r="I2758" s="83" t="e">
        <f>VLOOKUP(E2758,[1]Mapping!$A$3:$B$14,2,FALSE)</f>
        <v>#N/A</v>
      </c>
      <c r="J2758" s="84">
        <f t="shared" si="88"/>
        <v>0</v>
      </c>
      <c r="K2758" s="84">
        <f t="shared" si="89"/>
        <v>0</v>
      </c>
      <c r="L2758" s="61" t="e">
        <f>VLOOKUP(K2758,[1]Mapping!$J$3:$Q$351,8,FALSE)</f>
        <v>#N/A</v>
      </c>
      <c r="M2758" t="s">
        <v>83</v>
      </c>
    </row>
    <row r="2759" spans="5:13" hidden="1" x14ac:dyDescent="0.35">
      <c r="E2759" s="81"/>
      <c r="I2759" s="83" t="e">
        <f>VLOOKUP(E2759,[1]Mapping!$A$3:$B$14,2,FALSE)</f>
        <v>#N/A</v>
      </c>
      <c r="J2759" s="84">
        <f t="shared" si="88"/>
        <v>0</v>
      </c>
      <c r="K2759" s="84">
        <f t="shared" si="89"/>
        <v>0</v>
      </c>
      <c r="L2759" s="61" t="e">
        <f>VLOOKUP(K2759,[1]Mapping!$J$3:$Q$351,8,FALSE)</f>
        <v>#N/A</v>
      </c>
      <c r="M2759" t="s">
        <v>83</v>
      </c>
    </row>
    <row r="2760" spans="5:13" hidden="1" x14ac:dyDescent="0.35">
      <c r="E2760" s="81"/>
      <c r="I2760" s="83" t="e">
        <f>VLOOKUP(E2760,[1]Mapping!$A$3:$B$14,2,FALSE)</f>
        <v>#N/A</v>
      </c>
      <c r="J2760" s="84">
        <f t="shared" si="88"/>
        <v>0</v>
      </c>
      <c r="K2760" s="84">
        <f t="shared" si="89"/>
        <v>0</v>
      </c>
      <c r="L2760" s="61" t="e">
        <f>VLOOKUP(K2760,[1]Mapping!$J$3:$Q$351,8,FALSE)</f>
        <v>#N/A</v>
      </c>
      <c r="M2760" t="s">
        <v>83</v>
      </c>
    </row>
    <row r="2761" spans="5:13" hidden="1" x14ac:dyDescent="0.35">
      <c r="E2761" s="81"/>
      <c r="I2761" s="83" t="e">
        <f>VLOOKUP(E2761,[1]Mapping!$A$3:$B$14,2,FALSE)</f>
        <v>#N/A</v>
      </c>
      <c r="J2761" s="84">
        <f t="shared" si="88"/>
        <v>0</v>
      </c>
      <c r="K2761" s="84">
        <f t="shared" si="89"/>
        <v>0</v>
      </c>
      <c r="L2761" s="61" t="e">
        <f>VLOOKUP(K2761,[1]Mapping!$J$3:$Q$351,8,FALSE)</f>
        <v>#N/A</v>
      </c>
      <c r="M2761" t="s">
        <v>83</v>
      </c>
    </row>
    <row r="2762" spans="5:13" hidden="1" x14ac:dyDescent="0.35">
      <c r="E2762" s="81"/>
      <c r="I2762" s="83" t="e">
        <f>VLOOKUP(E2762,[1]Mapping!$A$3:$B$14,2,FALSE)</f>
        <v>#N/A</v>
      </c>
      <c r="J2762" s="84">
        <f t="shared" si="88"/>
        <v>0</v>
      </c>
      <c r="K2762" s="84">
        <f t="shared" si="89"/>
        <v>0</v>
      </c>
      <c r="L2762" s="61" t="e">
        <f>VLOOKUP(K2762,[1]Mapping!$J$3:$Q$351,8,FALSE)</f>
        <v>#N/A</v>
      </c>
      <c r="M2762" t="s">
        <v>83</v>
      </c>
    </row>
    <row r="2763" spans="5:13" hidden="1" x14ac:dyDescent="0.35">
      <c r="E2763" s="81"/>
      <c r="I2763" s="83" t="e">
        <f>VLOOKUP(E2763,[1]Mapping!$A$3:$B$14,2,FALSE)</f>
        <v>#N/A</v>
      </c>
      <c r="J2763" s="84">
        <f t="shared" si="88"/>
        <v>0</v>
      </c>
      <c r="K2763" s="84">
        <f t="shared" si="89"/>
        <v>0</v>
      </c>
      <c r="L2763" s="61" t="e">
        <f>VLOOKUP(K2763,[1]Mapping!$J$3:$Q$351,8,FALSE)</f>
        <v>#N/A</v>
      </c>
      <c r="M2763" t="s">
        <v>83</v>
      </c>
    </row>
    <row r="2764" spans="5:13" hidden="1" x14ac:dyDescent="0.35">
      <c r="E2764" s="81"/>
      <c r="I2764" s="83" t="e">
        <f>VLOOKUP(E2764,[1]Mapping!$A$3:$B$14,2,FALSE)</f>
        <v>#N/A</v>
      </c>
      <c r="J2764" s="84">
        <f t="shared" si="88"/>
        <v>0</v>
      </c>
      <c r="K2764" s="84">
        <f t="shared" si="89"/>
        <v>0</v>
      </c>
      <c r="L2764" s="61" t="e">
        <f>VLOOKUP(K2764,[1]Mapping!$J$3:$Q$351,8,FALSE)</f>
        <v>#N/A</v>
      </c>
      <c r="M2764" t="s">
        <v>83</v>
      </c>
    </row>
    <row r="2765" spans="5:13" hidden="1" x14ac:dyDescent="0.35">
      <c r="E2765" s="81"/>
      <c r="I2765" s="83" t="e">
        <f>VLOOKUP(E2765,[1]Mapping!$A$3:$B$14,2,FALSE)</f>
        <v>#N/A</v>
      </c>
      <c r="J2765" s="84">
        <f t="shared" si="88"/>
        <v>0</v>
      </c>
      <c r="K2765" s="84">
        <f t="shared" si="89"/>
        <v>0</v>
      </c>
      <c r="L2765" s="61" t="e">
        <f>VLOOKUP(K2765,[1]Mapping!$J$3:$Q$351,8,FALSE)</f>
        <v>#N/A</v>
      </c>
      <c r="M2765" t="s">
        <v>83</v>
      </c>
    </row>
    <row r="2766" spans="5:13" hidden="1" x14ac:dyDescent="0.35">
      <c r="E2766" s="81"/>
      <c r="I2766" s="83" t="e">
        <f>VLOOKUP(E2766,[1]Mapping!$A$3:$B$14,2,FALSE)</f>
        <v>#N/A</v>
      </c>
      <c r="J2766" s="84">
        <f t="shared" si="88"/>
        <v>0</v>
      </c>
      <c r="K2766" s="84">
        <f t="shared" si="89"/>
        <v>0</v>
      </c>
      <c r="L2766" s="61" t="e">
        <f>VLOOKUP(K2766,[1]Mapping!$J$3:$Q$351,8,FALSE)</f>
        <v>#N/A</v>
      </c>
      <c r="M2766" t="s">
        <v>83</v>
      </c>
    </row>
    <row r="2767" spans="5:13" hidden="1" x14ac:dyDescent="0.35">
      <c r="E2767" s="81"/>
      <c r="I2767" s="83" t="e">
        <f>VLOOKUP(E2767,[1]Mapping!$A$3:$B$14,2,FALSE)</f>
        <v>#N/A</v>
      </c>
      <c r="J2767" s="84">
        <f t="shared" si="88"/>
        <v>0</v>
      </c>
      <c r="K2767" s="84">
        <f t="shared" si="89"/>
        <v>0</v>
      </c>
      <c r="L2767" s="61" t="e">
        <f>VLOOKUP(K2767,[1]Mapping!$J$3:$Q$351,8,FALSE)</f>
        <v>#N/A</v>
      </c>
      <c r="M2767" t="s">
        <v>83</v>
      </c>
    </row>
    <row r="2768" spans="5:13" hidden="1" x14ac:dyDescent="0.35">
      <c r="E2768" s="81"/>
      <c r="I2768" s="83" t="e">
        <f>VLOOKUP(E2768,[1]Mapping!$A$3:$B$14,2,FALSE)</f>
        <v>#N/A</v>
      </c>
      <c r="J2768" s="84">
        <f t="shared" si="88"/>
        <v>0</v>
      </c>
      <c r="K2768" s="84">
        <f t="shared" si="89"/>
        <v>0</v>
      </c>
      <c r="L2768" s="61" t="e">
        <f>VLOOKUP(K2768,[1]Mapping!$J$3:$Q$351,8,FALSE)</f>
        <v>#N/A</v>
      </c>
      <c r="M2768" t="s">
        <v>83</v>
      </c>
    </row>
    <row r="2769" spans="5:13" hidden="1" x14ac:dyDescent="0.35">
      <c r="E2769" s="81"/>
      <c r="I2769" s="83" t="e">
        <f>VLOOKUP(E2769,[1]Mapping!$A$3:$B$14,2,FALSE)</f>
        <v>#N/A</v>
      </c>
      <c r="J2769" s="84">
        <f t="shared" si="88"/>
        <v>0</v>
      </c>
      <c r="K2769" s="84">
        <f t="shared" si="89"/>
        <v>0</v>
      </c>
      <c r="L2769" s="61" t="e">
        <f>VLOOKUP(K2769,[1]Mapping!$J$3:$Q$351,8,FALSE)</f>
        <v>#N/A</v>
      </c>
      <c r="M2769" t="s">
        <v>83</v>
      </c>
    </row>
    <row r="2770" spans="5:13" hidden="1" x14ac:dyDescent="0.35">
      <c r="E2770" s="81"/>
      <c r="I2770" s="83" t="e">
        <f>VLOOKUP(E2770,[1]Mapping!$A$3:$B$14,2,FALSE)</f>
        <v>#N/A</v>
      </c>
      <c r="J2770" s="84">
        <f t="shared" si="88"/>
        <v>0</v>
      </c>
      <c r="K2770" s="84">
        <f t="shared" si="89"/>
        <v>0</v>
      </c>
      <c r="L2770" s="61" t="e">
        <f>VLOOKUP(K2770,[1]Mapping!$J$3:$Q$351,8,FALSE)</f>
        <v>#N/A</v>
      </c>
      <c r="M2770" t="s">
        <v>83</v>
      </c>
    </row>
    <row r="2771" spans="5:13" hidden="1" x14ac:dyDescent="0.35">
      <c r="E2771" s="81"/>
      <c r="I2771" s="83" t="e">
        <f>VLOOKUP(E2771,[1]Mapping!$A$3:$B$14,2,FALSE)</f>
        <v>#N/A</v>
      </c>
      <c r="J2771" s="84">
        <f t="shared" si="88"/>
        <v>0</v>
      </c>
      <c r="K2771" s="84">
        <f t="shared" si="89"/>
        <v>0</v>
      </c>
      <c r="L2771" s="61" t="e">
        <f>VLOOKUP(K2771,[1]Mapping!$J$3:$Q$351,8,FALSE)</f>
        <v>#N/A</v>
      </c>
      <c r="M2771" t="s">
        <v>83</v>
      </c>
    </row>
    <row r="2772" spans="5:13" hidden="1" x14ac:dyDescent="0.35">
      <c r="E2772" s="81"/>
      <c r="I2772" s="83" t="e">
        <f>VLOOKUP(E2772,[1]Mapping!$A$3:$B$14,2,FALSE)</f>
        <v>#N/A</v>
      </c>
      <c r="J2772" s="84">
        <f t="shared" si="88"/>
        <v>0</v>
      </c>
      <c r="K2772" s="84">
        <f t="shared" si="89"/>
        <v>0</v>
      </c>
      <c r="L2772" s="61" t="e">
        <f>VLOOKUP(K2772,[1]Mapping!$J$3:$Q$351,8,FALSE)</f>
        <v>#N/A</v>
      </c>
      <c r="M2772" t="s">
        <v>83</v>
      </c>
    </row>
    <row r="2773" spans="5:13" hidden="1" x14ac:dyDescent="0.35">
      <c r="E2773" s="81"/>
      <c r="I2773" s="83" t="e">
        <f>VLOOKUP(E2773,[1]Mapping!$A$3:$B$14,2,FALSE)</f>
        <v>#N/A</v>
      </c>
      <c r="J2773" s="84">
        <f t="shared" si="88"/>
        <v>0</v>
      </c>
      <c r="K2773" s="84">
        <f t="shared" si="89"/>
        <v>0</v>
      </c>
      <c r="L2773" s="61" t="e">
        <f>VLOOKUP(K2773,[1]Mapping!$J$3:$Q$351,8,FALSE)</f>
        <v>#N/A</v>
      </c>
      <c r="M2773" t="s">
        <v>83</v>
      </c>
    </row>
    <row r="2774" spans="5:13" hidden="1" x14ac:dyDescent="0.35">
      <c r="E2774" s="81"/>
      <c r="I2774" s="83" t="e">
        <f>VLOOKUP(E2774,[1]Mapping!$A$3:$B$14,2,FALSE)</f>
        <v>#N/A</v>
      </c>
      <c r="J2774" s="84">
        <f t="shared" si="88"/>
        <v>0</v>
      </c>
      <c r="K2774" s="84">
        <f t="shared" si="89"/>
        <v>0</v>
      </c>
      <c r="L2774" s="61" t="e">
        <f>VLOOKUP(K2774,[1]Mapping!$J$3:$Q$351,8,FALSE)</f>
        <v>#N/A</v>
      </c>
      <c r="M2774" t="s">
        <v>83</v>
      </c>
    </row>
    <row r="2775" spans="5:13" hidden="1" x14ac:dyDescent="0.35">
      <c r="E2775" s="81"/>
      <c r="I2775" s="83" t="e">
        <f>VLOOKUP(E2775,[1]Mapping!$A$3:$B$14,2,FALSE)</f>
        <v>#N/A</v>
      </c>
      <c r="J2775" s="84">
        <f t="shared" si="88"/>
        <v>0</v>
      </c>
      <c r="K2775" s="84">
        <f t="shared" si="89"/>
        <v>0</v>
      </c>
      <c r="L2775" s="61" t="e">
        <f>VLOOKUP(K2775,[1]Mapping!$J$3:$Q$351,8,FALSE)</f>
        <v>#N/A</v>
      </c>
      <c r="M2775" t="s">
        <v>83</v>
      </c>
    </row>
    <row r="2776" spans="5:13" hidden="1" x14ac:dyDescent="0.35">
      <c r="E2776" s="81"/>
      <c r="I2776" s="83" t="e">
        <f>VLOOKUP(E2776,[1]Mapping!$A$3:$B$14,2,FALSE)</f>
        <v>#N/A</v>
      </c>
      <c r="J2776" s="84">
        <f t="shared" si="88"/>
        <v>0</v>
      </c>
      <c r="K2776" s="84">
        <f t="shared" si="89"/>
        <v>0</v>
      </c>
      <c r="L2776" s="61" t="e">
        <f>VLOOKUP(K2776,[1]Mapping!$J$3:$Q$351,8,FALSE)</f>
        <v>#N/A</v>
      </c>
      <c r="M2776" t="s">
        <v>83</v>
      </c>
    </row>
    <row r="2777" spans="5:13" hidden="1" x14ac:dyDescent="0.35">
      <c r="E2777" s="81"/>
      <c r="I2777" s="83" t="e">
        <f>VLOOKUP(E2777,[1]Mapping!$A$3:$B$14,2,FALSE)</f>
        <v>#N/A</v>
      </c>
      <c r="J2777" s="84">
        <f t="shared" si="88"/>
        <v>0</v>
      </c>
      <c r="K2777" s="84">
        <f t="shared" si="89"/>
        <v>0</v>
      </c>
      <c r="L2777" s="61" t="e">
        <f>VLOOKUP(K2777,[1]Mapping!$J$3:$Q$351,8,FALSE)</f>
        <v>#N/A</v>
      </c>
      <c r="M2777" t="s">
        <v>83</v>
      </c>
    </row>
    <row r="2778" spans="5:13" hidden="1" x14ac:dyDescent="0.35">
      <c r="E2778" s="81"/>
      <c r="I2778" s="83" t="e">
        <f>VLOOKUP(E2778,[1]Mapping!$A$3:$B$14,2,FALSE)</f>
        <v>#N/A</v>
      </c>
      <c r="J2778" s="84">
        <f t="shared" si="88"/>
        <v>0</v>
      </c>
      <c r="K2778" s="84">
        <f t="shared" si="89"/>
        <v>0</v>
      </c>
      <c r="L2778" s="61" t="e">
        <f>VLOOKUP(K2778,[1]Mapping!$J$3:$Q$351,8,FALSE)</f>
        <v>#N/A</v>
      </c>
      <c r="M2778" t="s">
        <v>83</v>
      </c>
    </row>
    <row r="2779" spans="5:13" hidden="1" x14ac:dyDescent="0.35">
      <c r="E2779" s="81"/>
      <c r="I2779" s="83" t="e">
        <f>VLOOKUP(E2779,[1]Mapping!$A$3:$B$14,2,FALSE)</f>
        <v>#N/A</v>
      </c>
      <c r="J2779" s="84">
        <f t="shared" si="88"/>
        <v>0</v>
      </c>
      <c r="K2779" s="84">
        <f t="shared" si="89"/>
        <v>0</v>
      </c>
      <c r="L2779" s="61" t="e">
        <f>VLOOKUP(K2779,[1]Mapping!$J$3:$Q$351,8,FALSE)</f>
        <v>#N/A</v>
      </c>
      <c r="M2779" t="s">
        <v>83</v>
      </c>
    </row>
    <row r="2780" spans="5:13" hidden="1" x14ac:dyDescent="0.35">
      <c r="E2780" s="81"/>
      <c r="I2780" s="83" t="e">
        <f>VLOOKUP(E2780,[1]Mapping!$A$3:$B$14,2,FALSE)</f>
        <v>#N/A</v>
      </c>
      <c r="J2780" s="84">
        <f t="shared" si="88"/>
        <v>0</v>
      </c>
      <c r="K2780" s="84">
        <f t="shared" si="89"/>
        <v>0</v>
      </c>
      <c r="L2780" s="61" t="e">
        <f>VLOOKUP(K2780,[1]Mapping!$J$3:$Q$351,8,FALSE)</f>
        <v>#N/A</v>
      </c>
      <c r="M2780" t="s">
        <v>83</v>
      </c>
    </row>
    <row r="2781" spans="5:13" hidden="1" x14ac:dyDescent="0.35">
      <c r="E2781" s="81"/>
      <c r="I2781" s="83" t="e">
        <f>VLOOKUP(E2781,[1]Mapping!$A$3:$B$14,2,FALSE)</f>
        <v>#N/A</v>
      </c>
      <c r="J2781" s="84">
        <f t="shared" si="88"/>
        <v>0</v>
      </c>
      <c r="K2781" s="84">
        <f t="shared" si="89"/>
        <v>0</v>
      </c>
      <c r="L2781" s="61" t="e">
        <f>VLOOKUP(K2781,[1]Mapping!$J$3:$Q$351,8,FALSE)</f>
        <v>#N/A</v>
      </c>
      <c r="M2781" t="s">
        <v>83</v>
      </c>
    </row>
    <row r="2782" spans="5:13" hidden="1" x14ac:dyDescent="0.35">
      <c r="E2782" s="81"/>
      <c r="I2782" s="83" t="e">
        <f>VLOOKUP(E2782,[1]Mapping!$A$3:$B$14,2,FALSE)</f>
        <v>#N/A</v>
      </c>
      <c r="J2782" s="84">
        <f t="shared" si="88"/>
        <v>0</v>
      </c>
      <c r="K2782" s="84">
        <f t="shared" si="89"/>
        <v>0</v>
      </c>
      <c r="L2782" s="61" t="e">
        <f>VLOOKUP(K2782,[1]Mapping!$J$3:$Q$351,8,FALSE)</f>
        <v>#N/A</v>
      </c>
      <c r="M2782" t="s">
        <v>83</v>
      </c>
    </row>
    <row r="2783" spans="5:13" hidden="1" x14ac:dyDescent="0.35">
      <c r="E2783" s="81"/>
      <c r="I2783" s="83" t="e">
        <f>VLOOKUP(E2783,[1]Mapping!$A$3:$B$14,2,FALSE)</f>
        <v>#N/A</v>
      </c>
      <c r="J2783" s="84">
        <f t="shared" si="88"/>
        <v>0</v>
      </c>
      <c r="K2783" s="84">
        <f t="shared" si="89"/>
        <v>0</v>
      </c>
      <c r="L2783" s="61" t="e">
        <f>VLOOKUP(K2783,[1]Mapping!$J$3:$Q$351,8,FALSE)</f>
        <v>#N/A</v>
      </c>
      <c r="M2783" t="s">
        <v>83</v>
      </c>
    </row>
    <row r="2784" spans="5:13" hidden="1" x14ac:dyDescent="0.35">
      <c r="E2784" s="81"/>
      <c r="I2784" s="83" t="e">
        <f>VLOOKUP(E2784,[1]Mapping!$A$3:$B$14,2,FALSE)</f>
        <v>#N/A</v>
      </c>
      <c r="J2784" s="84">
        <f t="shared" si="88"/>
        <v>0</v>
      </c>
      <c r="K2784" s="84">
        <f t="shared" si="89"/>
        <v>0</v>
      </c>
      <c r="L2784" s="61" t="e">
        <f>VLOOKUP(K2784,[1]Mapping!$J$3:$Q$351,8,FALSE)</f>
        <v>#N/A</v>
      </c>
      <c r="M2784" t="s">
        <v>83</v>
      </c>
    </row>
    <row r="2785" spans="5:13" hidden="1" x14ac:dyDescent="0.35">
      <c r="E2785" s="81"/>
      <c r="I2785" s="83" t="e">
        <f>VLOOKUP(E2785,[1]Mapping!$A$3:$B$14,2,FALSE)</f>
        <v>#N/A</v>
      </c>
      <c r="J2785" s="84">
        <f t="shared" si="88"/>
        <v>0</v>
      </c>
      <c r="K2785" s="84">
        <f t="shared" si="89"/>
        <v>0</v>
      </c>
      <c r="L2785" s="61" t="e">
        <f>VLOOKUP(K2785,[1]Mapping!$J$3:$Q$351,8,FALSE)</f>
        <v>#N/A</v>
      </c>
      <c r="M2785" t="s">
        <v>83</v>
      </c>
    </row>
    <row r="2786" spans="5:13" hidden="1" x14ac:dyDescent="0.35">
      <c r="E2786" s="81"/>
      <c r="I2786" s="83" t="e">
        <f>VLOOKUP(E2786,[1]Mapping!$A$3:$B$14,2,FALSE)</f>
        <v>#N/A</v>
      </c>
      <c r="J2786" s="84">
        <f t="shared" si="88"/>
        <v>0</v>
      </c>
      <c r="K2786" s="84">
        <f t="shared" si="89"/>
        <v>0</v>
      </c>
      <c r="L2786" s="61" t="e">
        <f>VLOOKUP(K2786,[1]Mapping!$J$3:$Q$351,8,FALSE)</f>
        <v>#N/A</v>
      </c>
      <c r="M2786" t="s">
        <v>83</v>
      </c>
    </row>
    <row r="2787" spans="5:13" hidden="1" x14ac:dyDescent="0.35">
      <c r="E2787" s="81"/>
      <c r="I2787" s="83" t="e">
        <f>VLOOKUP(E2787,[1]Mapping!$A$3:$B$14,2,FALSE)</f>
        <v>#N/A</v>
      </c>
      <c r="J2787" s="84">
        <f t="shared" si="88"/>
        <v>0</v>
      </c>
      <c r="K2787" s="84">
        <f t="shared" si="89"/>
        <v>0</v>
      </c>
      <c r="L2787" s="61" t="e">
        <f>VLOOKUP(K2787,[1]Mapping!$J$3:$Q$351,8,FALSE)</f>
        <v>#N/A</v>
      </c>
      <c r="M2787" t="s">
        <v>83</v>
      </c>
    </row>
    <row r="2788" spans="5:13" hidden="1" x14ac:dyDescent="0.35">
      <c r="E2788" s="81"/>
      <c r="I2788" s="83" t="e">
        <f>VLOOKUP(E2788,[1]Mapping!$A$3:$B$14,2,FALSE)</f>
        <v>#N/A</v>
      </c>
      <c r="J2788" s="84">
        <f t="shared" si="88"/>
        <v>0</v>
      </c>
      <c r="K2788" s="84">
        <f t="shared" si="89"/>
        <v>0</v>
      </c>
      <c r="L2788" s="61" t="e">
        <f>VLOOKUP(K2788,[1]Mapping!$J$3:$Q$351,8,FALSE)</f>
        <v>#N/A</v>
      </c>
      <c r="M2788" t="s">
        <v>83</v>
      </c>
    </row>
    <row r="2789" spans="5:13" hidden="1" x14ac:dyDescent="0.35">
      <c r="E2789" s="81"/>
      <c r="I2789" s="83" t="e">
        <f>VLOOKUP(E2789,[1]Mapping!$A$3:$B$14,2,FALSE)</f>
        <v>#N/A</v>
      </c>
      <c r="J2789" s="84">
        <f t="shared" si="88"/>
        <v>0</v>
      </c>
      <c r="K2789" s="84">
        <f t="shared" si="89"/>
        <v>0</v>
      </c>
      <c r="L2789" s="61" t="e">
        <f>VLOOKUP(K2789,[1]Mapping!$J$3:$Q$351,8,FALSE)</f>
        <v>#N/A</v>
      </c>
      <c r="M2789" t="s">
        <v>83</v>
      </c>
    </row>
    <row r="2790" spans="5:13" hidden="1" x14ac:dyDescent="0.35">
      <c r="E2790" s="81"/>
      <c r="I2790" s="83" t="e">
        <f>VLOOKUP(E2790,[1]Mapping!$A$3:$B$14,2,FALSE)</f>
        <v>#N/A</v>
      </c>
      <c r="J2790" s="84">
        <f t="shared" si="88"/>
        <v>0</v>
      </c>
      <c r="K2790" s="84">
        <f t="shared" si="89"/>
        <v>0</v>
      </c>
      <c r="L2790" s="61" t="e">
        <f>VLOOKUP(K2790,[1]Mapping!$J$3:$Q$351,8,FALSE)</f>
        <v>#N/A</v>
      </c>
      <c r="M2790" t="s">
        <v>83</v>
      </c>
    </row>
    <row r="2791" spans="5:13" hidden="1" x14ac:dyDescent="0.35">
      <c r="E2791" s="81"/>
      <c r="I2791" s="83" t="e">
        <f>VLOOKUP(E2791,[1]Mapping!$A$3:$B$14,2,FALSE)</f>
        <v>#N/A</v>
      </c>
      <c r="J2791" s="84">
        <f t="shared" si="88"/>
        <v>0</v>
      </c>
      <c r="K2791" s="84">
        <f t="shared" si="89"/>
        <v>0</v>
      </c>
      <c r="L2791" s="61" t="e">
        <f>VLOOKUP(K2791,[1]Mapping!$J$3:$Q$351,8,FALSE)</f>
        <v>#N/A</v>
      </c>
      <c r="M2791" t="s">
        <v>83</v>
      </c>
    </row>
    <row r="2792" spans="5:13" hidden="1" x14ac:dyDescent="0.35">
      <c r="E2792" s="81"/>
      <c r="I2792" s="83" t="e">
        <f>VLOOKUP(E2792,[1]Mapping!$A$3:$B$14,2,FALSE)</f>
        <v>#N/A</v>
      </c>
      <c r="J2792" s="84">
        <f t="shared" si="88"/>
        <v>0</v>
      </c>
      <c r="K2792" s="84">
        <f t="shared" si="89"/>
        <v>0</v>
      </c>
      <c r="L2792" s="61" t="e">
        <f>VLOOKUP(K2792,[1]Mapping!$J$3:$Q$351,8,FALSE)</f>
        <v>#N/A</v>
      </c>
      <c r="M2792" t="s">
        <v>83</v>
      </c>
    </row>
    <row r="2793" spans="5:13" hidden="1" x14ac:dyDescent="0.35">
      <c r="E2793" s="81"/>
      <c r="I2793" s="83" t="e">
        <f>VLOOKUP(E2793,[1]Mapping!$A$3:$B$14,2,FALSE)</f>
        <v>#N/A</v>
      </c>
      <c r="J2793" s="84">
        <f t="shared" si="88"/>
        <v>0</v>
      </c>
      <c r="K2793" s="84">
        <f t="shared" si="89"/>
        <v>0</v>
      </c>
      <c r="L2793" s="61" t="e">
        <f>VLOOKUP(K2793,[1]Mapping!$J$3:$Q$351,8,FALSE)</f>
        <v>#N/A</v>
      </c>
      <c r="M2793" t="s">
        <v>83</v>
      </c>
    </row>
    <row r="2794" spans="5:13" hidden="1" x14ac:dyDescent="0.35">
      <c r="E2794" s="81"/>
      <c r="I2794" s="83" t="e">
        <f>VLOOKUP(E2794,[1]Mapping!$A$3:$B$14,2,FALSE)</f>
        <v>#N/A</v>
      </c>
      <c r="J2794" s="84">
        <f t="shared" si="88"/>
        <v>0</v>
      </c>
      <c r="K2794" s="84">
        <f t="shared" si="89"/>
        <v>0</v>
      </c>
      <c r="L2794" s="61" t="e">
        <f>VLOOKUP(K2794,[1]Mapping!$J$3:$Q$351,8,FALSE)</f>
        <v>#N/A</v>
      </c>
      <c r="M2794" t="s">
        <v>83</v>
      </c>
    </row>
    <row r="2795" spans="5:13" hidden="1" x14ac:dyDescent="0.35">
      <c r="E2795" s="81"/>
      <c r="I2795" s="83" t="e">
        <f>VLOOKUP(E2795,[1]Mapping!$A$3:$B$14,2,FALSE)</f>
        <v>#N/A</v>
      </c>
      <c r="J2795" s="84">
        <f t="shared" si="88"/>
        <v>0</v>
      </c>
      <c r="K2795" s="84">
        <f t="shared" si="89"/>
        <v>0</v>
      </c>
      <c r="L2795" s="61" t="e">
        <f>VLOOKUP(K2795,[1]Mapping!$J$3:$Q$351,8,FALSE)</f>
        <v>#N/A</v>
      </c>
      <c r="M2795" t="s">
        <v>83</v>
      </c>
    </row>
    <row r="2796" spans="5:13" hidden="1" x14ac:dyDescent="0.35">
      <c r="E2796" s="81"/>
      <c r="I2796" s="83" t="e">
        <f>VLOOKUP(E2796,[1]Mapping!$A$3:$B$14,2,FALSE)</f>
        <v>#N/A</v>
      </c>
      <c r="J2796" s="84">
        <f t="shared" si="88"/>
        <v>0</v>
      </c>
      <c r="K2796" s="84">
        <f t="shared" si="89"/>
        <v>0</v>
      </c>
      <c r="L2796" s="61" t="e">
        <f>VLOOKUP(K2796,[1]Mapping!$J$3:$Q$351,8,FALSE)</f>
        <v>#N/A</v>
      </c>
      <c r="M2796" t="s">
        <v>83</v>
      </c>
    </row>
    <row r="2797" spans="5:13" hidden="1" x14ac:dyDescent="0.35">
      <c r="E2797" s="81"/>
      <c r="I2797" s="83" t="e">
        <f>VLOOKUP(E2797,[1]Mapping!$A$3:$B$14,2,FALSE)</f>
        <v>#N/A</v>
      </c>
      <c r="J2797" s="84">
        <f t="shared" si="88"/>
        <v>0</v>
      </c>
      <c r="K2797" s="84">
        <f t="shared" si="89"/>
        <v>0</v>
      </c>
      <c r="L2797" s="61" t="e">
        <f>VLOOKUP(K2797,[1]Mapping!$J$3:$Q$351,8,FALSE)</f>
        <v>#N/A</v>
      </c>
      <c r="M2797" t="s">
        <v>83</v>
      </c>
    </row>
    <row r="2798" spans="5:13" hidden="1" x14ac:dyDescent="0.35">
      <c r="E2798" s="81"/>
      <c r="I2798" s="83" t="e">
        <f>VLOOKUP(E2798,[1]Mapping!$A$3:$B$14,2,FALSE)</f>
        <v>#N/A</v>
      </c>
      <c r="J2798" s="84">
        <f t="shared" si="88"/>
        <v>0</v>
      </c>
      <c r="K2798" s="84">
        <f t="shared" si="89"/>
        <v>0</v>
      </c>
      <c r="L2798" s="61" t="e">
        <f>VLOOKUP(K2798,[1]Mapping!$J$3:$Q$351,8,FALSE)</f>
        <v>#N/A</v>
      </c>
      <c r="M2798" t="s">
        <v>83</v>
      </c>
    </row>
    <row r="2799" spans="5:13" hidden="1" x14ac:dyDescent="0.35">
      <c r="E2799" s="81"/>
      <c r="I2799" s="83" t="e">
        <f>VLOOKUP(E2799,[1]Mapping!$A$3:$B$14,2,FALSE)</f>
        <v>#N/A</v>
      </c>
      <c r="J2799" s="84">
        <f t="shared" si="88"/>
        <v>0</v>
      </c>
      <c r="K2799" s="84">
        <f t="shared" si="89"/>
        <v>0</v>
      </c>
      <c r="L2799" s="61" t="e">
        <f>VLOOKUP(K2799,[1]Mapping!$J$3:$Q$351,8,FALSE)</f>
        <v>#N/A</v>
      </c>
      <c r="M2799" t="s">
        <v>83</v>
      </c>
    </row>
    <row r="2800" spans="5:13" hidden="1" x14ac:dyDescent="0.35">
      <c r="E2800" s="81"/>
      <c r="I2800" s="83" t="e">
        <f>VLOOKUP(E2800,[1]Mapping!$A$3:$B$14,2,FALSE)</f>
        <v>#N/A</v>
      </c>
      <c r="J2800" s="84">
        <f t="shared" si="88"/>
        <v>0</v>
      </c>
      <c r="K2800" s="84">
        <f t="shared" si="89"/>
        <v>0</v>
      </c>
      <c r="L2800" s="61" t="e">
        <f>VLOOKUP(K2800,[1]Mapping!$J$3:$Q$351,8,FALSE)</f>
        <v>#N/A</v>
      </c>
      <c r="M2800" t="s">
        <v>83</v>
      </c>
    </row>
    <row r="2801" spans="5:13" hidden="1" x14ac:dyDescent="0.35">
      <c r="E2801" s="81"/>
      <c r="I2801" s="83" t="e">
        <f>VLOOKUP(E2801,[1]Mapping!$A$3:$B$14,2,FALSE)</f>
        <v>#N/A</v>
      </c>
      <c r="J2801" s="84">
        <f t="shared" si="88"/>
        <v>0</v>
      </c>
      <c r="K2801" s="84">
        <f t="shared" si="89"/>
        <v>0</v>
      </c>
      <c r="L2801" s="61" t="e">
        <f>VLOOKUP(K2801,[1]Mapping!$J$3:$Q$351,8,FALSE)</f>
        <v>#N/A</v>
      </c>
      <c r="M2801" t="s">
        <v>83</v>
      </c>
    </row>
    <row r="2802" spans="5:13" hidden="1" x14ac:dyDescent="0.35">
      <c r="E2802" s="81"/>
      <c r="I2802" s="83" t="e">
        <f>VLOOKUP(E2802,[1]Mapping!$A$3:$B$14,2,FALSE)</f>
        <v>#N/A</v>
      </c>
      <c r="J2802" s="84">
        <f t="shared" si="88"/>
        <v>0</v>
      </c>
      <c r="K2802" s="84">
        <f t="shared" si="89"/>
        <v>0</v>
      </c>
      <c r="L2802" s="61" t="e">
        <f>VLOOKUP(K2802,[1]Mapping!$J$3:$Q$351,8,FALSE)</f>
        <v>#N/A</v>
      </c>
      <c r="M2802" t="s">
        <v>83</v>
      </c>
    </row>
    <row r="2803" spans="5:13" hidden="1" x14ac:dyDescent="0.35">
      <c r="E2803" s="81"/>
      <c r="I2803" s="83" t="e">
        <f>VLOOKUP(E2803,[1]Mapping!$A$3:$B$14,2,FALSE)</f>
        <v>#N/A</v>
      </c>
      <c r="J2803" s="84">
        <f t="shared" si="88"/>
        <v>0</v>
      </c>
      <c r="K2803" s="84">
        <f t="shared" si="89"/>
        <v>0</v>
      </c>
      <c r="L2803" s="61" t="e">
        <f>VLOOKUP(K2803,[1]Mapping!$J$3:$Q$351,8,FALSE)</f>
        <v>#N/A</v>
      </c>
      <c r="M2803" t="s">
        <v>83</v>
      </c>
    </row>
    <row r="2804" spans="5:13" hidden="1" x14ac:dyDescent="0.35">
      <c r="E2804" s="81"/>
      <c r="I2804" s="83" t="e">
        <f>VLOOKUP(E2804,[1]Mapping!$A$3:$B$14,2,FALSE)</f>
        <v>#N/A</v>
      </c>
      <c r="J2804" s="84">
        <f t="shared" si="88"/>
        <v>0</v>
      </c>
      <c r="K2804" s="84">
        <f t="shared" si="89"/>
        <v>0</v>
      </c>
      <c r="L2804" s="61" t="e">
        <f>VLOOKUP(K2804,[1]Mapping!$J$3:$Q$351,8,FALSE)</f>
        <v>#N/A</v>
      </c>
      <c r="M2804" t="s">
        <v>83</v>
      </c>
    </row>
    <row r="2805" spans="5:13" hidden="1" x14ac:dyDescent="0.35">
      <c r="E2805" s="81"/>
      <c r="I2805" s="83" t="e">
        <f>VLOOKUP(E2805,[1]Mapping!$A$3:$B$14,2,FALSE)</f>
        <v>#N/A</v>
      </c>
      <c r="J2805" s="84">
        <f t="shared" si="88"/>
        <v>0</v>
      </c>
      <c r="K2805" s="84">
        <f t="shared" si="89"/>
        <v>0</v>
      </c>
      <c r="L2805" s="61" t="e">
        <f>VLOOKUP(K2805,[1]Mapping!$J$3:$Q$351,8,FALSE)</f>
        <v>#N/A</v>
      </c>
      <c r="M2805" t="s">
        <v>83</v>
      </c>
    </row>
    <row r="2806" spans="5:13" hidden="1" x14ac:dyDescent="0.35">
      <c r="E2806" s="81"/>
      <c r="I2806" s="83" t="e">
        <f>VLOOKUP(E2806,[1]Mapping!$A$3:$B$14,2,FALSE)</f>
        <v>#N/A</v>
      </c>
      <c r="J2806" s="84">
        <f t="shared" si="88"/>
        <v>0</v>
      </c>
      <c r="K2806" s="84">
        <f t="shared" si="89"/>
        <v>0</v>
      </c>
      <c r="L2806" s="61" t="e">
        <f>VLOOKUP(K2806,[1]Mapping!$J$3:$Q$351,8,FALSE)</f>
        <v>#N/A</v>
      </c>
      <c r="M2806" t="s">
        <v>83</v>
      </c>
    </row>
    <row r="2807" spans="5:13" hidden="1" x14ac:dyDescent="0.35">
      <c r="E2807" s="81"/>
      <c r="I2807" s="83" t="e">
        <f>VLOOKUP(E2807,[1]Mapping!$A$3:$B$14,2,FALSE)</f>
        <v>#N/A</v>
      </c>
      <c r="J2807" s="84">
        <f t="shared" si="88"/>
        <v>0</v>
      </c>
      <c r="K2807" s="84">
        <f t="shared" si="89"/>
        <v>0</v>
      </c>
      <c r="L2807" s="61" t="e">
        <f>VLOOKUP(K2807,[1]Mapping!$J$3:$Q$351,8,FALSE)</f>
        <v>#N/A</v>
      </c>
      <c r="M2807" t="s">
        <v>83</v>
      </c>
    </row>
    <row r="2808" spans="5:13" hidden="1" x14ac:dyDescent="0.35">
      <c r="E2808" s="81"/>
      <c r="I2808" s="83" t="e">
        <f>VLOOKUP(E2808,[1]Mapping!$A$3:$B$14,2,FALSE)</f>
        <v>#N/A</v>
      </c>
      <c r="J2808" s="84">
        <f t="shared" si="88"/>
        <v>0</v>
      </c>
      <c r="K2808" s="84">
        <f t="shared" si="89"/>
        <v>0</v>
      </c>
      <c r="L2808" s="61" t="e">
        <f>VLOOKUP(K2808,[1]Mapping!$J$3:$Q$351,8,FALSE)</f>
        <v>#N/A</v>
      </c>
      <c r="M2808" t="s">
        <v>83</v>
      </c>
    </row>
    <row r="2809" spans="5:13" hidden="1" x14ac:dyDescent="0.35">
      <c r="E2809" s="81"/>
      <c r="I2809" s="83" t="e">
        <f>VLOOKUP(E2809,[1]Mapping!$A$3:$B$14,2,FALSE)</f>
        <v>#N/A</v>
      </c>
      <c r="J2809" s="84">
        <f t="shared" si="88"/>
        <v>0</v>
      </c>
      <c r="K2809" s="84">
        <f t="shared" si="89"/>
        <v>0</v>
      </c>
      <c r="L2809" s="61" t="e">
        <f>VLOOKUP(K2809,[1]Mapping!$J$3:$Q$351,8,FALSE)</f>
        <v>#N/A</v>
      </c>
      <c r="M2809" t="s">
        <v>83</v>
      </c>
    </row>
    <row r="2810" spans="5:13" hidden="1" x14ac:dyDescent="0.35">
      <c r="E2810" s="81"/>
      <c r="I2810" s="83" t="e">
        <f>VLOOKUP(E2810,[1]Mapping!$A$3:$B$14,2,FALSE)</f>
        <v>#N/A</v>
      </c>
      <c r="J2810" s="84">
        <f t="shared" si="88"/>
        <v>0</v>
      </c>
      <c r="K2810" s="84">
        <f t="shared" si="89"/>
        <v>0</v>
      </c>
      <c r="L2810" s="61" t="e">
        <f>VLOOKUP(K2810,[1]Mapping!$J$3:$Q$351,8,FALSE)</f>
        <v>#N/A</v>
      </c>
      <c r="M2810" t="s">
        <v>83</v>
      </c>
    </row>
    <row r="2811" spans="5:13" hidden="1" x14ac:dyDescent="0.35">
      <c r="E2811" s="81"/>
      <c r="I2811" s="83" t="e">
        <f>VLOOKUP(E2811,[1]Mapping!$A$3:$B$14,2,FALSE)</f>
        <v>#N/A</v>
      </c>
      <c r="J2811" s="84">
        <f t="shared" si="88"/>
        <v>0</v>
      </c>
      <c r="K2811" s="84">
        <f t="shared" si="89"/>
        <v>0</v>
      </c>
      <c r="L2811" s="61" t="e">
        <f>VLOOKUP(K2811,[1]Mapping!$J$3:$Q$351,8,FALSE)</f>
        <v>#N/A</v>
      </c>
      <c r="M2811" t="s">
        <v>83</v>
      </c>
    </row>
    <row r="2812" spans="5:13" hidden="1" x14ac:dyDescent="0.35">
      <c r="E2812" s="81"/>
      <c r="I2812" s="83" t="e">
        <f>VLOOKUP(E2812,[1]Mapping!$A$3:$B$14,2,FALSE)</f>
        <v>#N/A</v>
      </c>
      <c r="J2812" s="84">
        <f t="shared" si="88"/>
        <v>0</v>
      </c>
      <c r="K2812" s="84">
        <f t="shared" si="89"/>
        <v>0</v>
      </c>
      <c r="L2812" s="61" t="e">
        <f>VLOOKUP(K2812,[1]Mapping!$J$3:$Q$351,8,FALSE)</f>
        <v>#N/A</v>
      </c>
      <c r="M2812" t="s">
        <v>83</v>
      </c>
    </row>
    <row r="2813" spans="5:13" hidden="1" x14ac:dyDescent="0.35">
      <c r="E2813" s="81"/>
      <c r="I2813" s="83" t="e">
        <f>VLOOKUP(E2813,[1]Mapping!$A$3:$B$14,2,FALSE)</f>
        <v>#N/A</v>
      </c>
      <c r="J2813" s="84">
        <f t="shared" si="88"/>
        <v>0</v>
      </c>
      <c r="K2813" s="84">
        <f t="shared" si="89"/>
        <v>0</v>
      </c>
      <c r="L2813" s="61" t="e">
        <f>VLOOKUP(K2813,[1]Mapping!$J$3:$Q$351,8,FALSE)</f>
        <v>#N/A</v>
      </c>
      <c r="M2813" t="s">
        <v>83</v>
      </c>
    </row>
    <row r="2814" spans="5:13" hidden="1" x14ac:dyDescent="0.35">
      <c r="E2814" s="81"/>
      <c r="I2814" s="83" t="e">
        <f>VLOOKUP(E2814,[1]Mapping!$A$3:$B$14,2,FALSE)</f>
        <v>#N/A</v>
      </c>
      <c r="J2814" s="84">
        <f t="shared" si="88"/>
        <v>0</v>
      </c>
      <c r="K2814" s="84">
        <f t="shared" si="89"/>
        <v>0</v>
      </c>
      <c r="L2814" s="61" t="e">
        <f>VLOOKUP(K2814,[1]Mapping!$J$3:$Q$351,8,FALSE)</f>
        <v>#N/A</v>
      </c>
      <c r="M2814" t="s">
        <v>83</v>
      </c>
    </row>
    <row r="2815" spans="5:13" hidden="1" x14ac:dyDescent="0.35">
      <c r="E2815" s="81"/>
      <c r="I2815" s="83" t="e">
        <f>VLOOKUP(E2815,[1]Mapping!$A$3:$B$14,2,FALSE)</f>
        <v>#N/A</v>
      </c>
      <c r="J2815" s="84">
        <f t="shared" si="88"/>
        <v>0</v>
      </c>
      <c r="K2815" s="84">
        <f t="shared" si="89"/>
        <v>0</v>
      </c>
      <c r="L2815" s="61" t="e">
        <f>VLOOKUP(K2815,[1]Mapping!$J$3:$Q$351,8,FALSE)</f>
        <v>#N/A</v>
      </c>
      <c r="M2815" t="s">
        <v>83</v>
      </c>
    </row>
    <row r="2816" spans="5:13" hidden="1" x14ac:dyDescent="0.35">
      <c r="E2816" s="81"/>
      <c r="I2816" s="83" t="e">
        <f>VLOOKUP(E2816,[1]Mapping!$A$3:$B$14,2,FALSE)</f>
        <v>#N/A</v>
      </c>
      <c r="J2816" s="84">
        <f t="shared" si="88"/>
        <v>0</v>
      </c>
      <c r="K2816" s="84">
        <f t="shared" si="89"/>
        <v>0</v>
      </c>
      <c r="L2816" s="61" t="e">
        <f>VLOOKUP(K2816,[1]Mapping!$J$3:$Q$351,8,FALSE)</f>
        <v>#N/A</v>
      </c>
      <c r="M2816" t="s">
        <v>83</v>
      </c>
    </row>
    <row r="2817" spans="5:13" hidden="1" x14ac:dyDescent="0.35">
      <c r="E2817" s="81"/>
      <c r="I2817" s="83" t="e">
        <f>VLOOKUP(E2817,[1]Mapping!$A$3:$B$14,2,FALSE)</f>
        <v>#N/A</v>
      </c>
      <c r="J2817" s="84">
        <f t="shared" si="88"/>
        <v>0</v>
      </c>
      <c r="K2817" s="84">
        <f t="shared" si="89"/>
        <v>0</v>
      </c>
      <c r="L2817" s="61" t="e">
        <f>VLOOKUP(K2817,[1]Mapping!$J$3:$Q$351,8,FALSE)</f>
        <v>#N/A</v>
      </c>
      <c r="M2817" t="s">
        <v>83</v>
      </c>
    </row>
    <row r="2818" spans="5:13" hidden="1" x14ac:dyDescent="0.35">
      <c r="E2818" s="81"/>
      <c r="I2818" s="83" t="e">
        <f>VLOOKUP(E2818,[1]Mapping!$A$3:$B$14,2,FALSE)</f>
        <v>#N/A</v>
      </c>
      <c r="J2818" s="84">
        <f t="shared" si="88"/>
        <v>0</v>
      </c>
      <c r="K2818" s="84">
        <f t="shared" si="89"/>
        <v>0</v>
      </c>
      <c r="L2818" s="61" t="e">
        <f>VLOOKUP(K2818,[1]Mapping!$J$3:$Q$351,8,FALSE)</f>
        <v>#N/A</v>
      </c>
      <c r="M2818" t="s">
        <v>83</v>
      </c>
    </row>
    <row r="2819" spans="5:13" hidden="1" x14ac:dyDescent="0.35">
      <c r="E2819" s="81"/>
      <c r="I2819" s="83" t="e">
        <f>VLOOKUP(E2819,[1]Mapping!$A$3:$B$14,2,FALSE)</f>
        <v>#N/A</v>
      </c>
      <c r="J2819" s="84">
        <f t="shared" si="88"/>
        <v>0</v>
      </c>
      <c r="K2819" s="84">
        <f t="shared" si="89"/>
        <v>0</v>
      </c>
      <c r="L2819" s="61" t="e">
        <f>VLOOKUP(K2819,[1]Mapping!$J$3:$Q$351,8,FALSE)</f>
        <v>#N/A</v>
      </c>
      <c r="M2819" t="s">
        <v>83</v>
      </c>
    </row>
    <row r="2820" spans="5:13" hidden="1" x14ac:dyDescent="0.35">
      <c r="E2820" s="81"/>
      <c r="I2820" s="83" t="e">
        <f>VLOOKUP(E2820,[1]Mapping!$A$3:$B$14,2,FALSE)</f>
        <v>#N/A</v>
      </c>
      <c r="J2820" s="84">
        <f t="shared" ref="J2820:J2883" si="90">VALUE(A2820)</f>
        <v>0</v>
      </c>
      <c r="K2820" s="84">
        <f t="shared" ref="K2820:K2883" si="91">VALUE(C2820)</f>
        <v>0</v>
      </c>
      <c r="L2820" s="61" t="e">
        <f>VLOOKUP(K2820,[1]Mapping!$J$3:$Q$351,8,FALSE)</f>
        <v>#N/A</v>
      </c>
      <c r="M2820" t="s">
        <v>83</v>
      </c>
    </row>
    <row r="2821" spans="5:13" hidden="1" x14ac:dyDescent="0.35">
      <c r="E2821" s="81"/>
      <c r="I2821" s="83" t="e">
        <f>VLOOKUP(E2821,[1]Mapping!$A$3:$B$14,2,FALSE)</f>
        <v>#N/A</v>
      </c>
      <c r="J2821" s="84">
        <f t="shared" si="90"/>
        <v>0</v>
      </c>
      <c r="K2821" s="84">
        <f t="shared" si="91"/>
        <v>0</v>
      </c>
      <c r="L2821" s="61" t="e">
        <f>VLOOKUP(K2821,[1]Mapping!$J$3:$Q$351,8,FALSE)</f>
        <v>#N/A</v>
      </c>
      <c r="M2821" t="s">
        <v>83</v>
      </c>
    </row>
    <row r="2822" spans="5:13" hidden="1" x14ac:dyDescent="0.35">
      <c r="E2822" s="81"/>
      <c r="I2822" s="83" t="e">
        <f>VLOOKUP(E2822,[1]Mapping!$A$3:$B$14,2,FALSE)</f>
        <v>#N/A</v>
      </c>
      <c r="J2822" s="84">
        <f t="shared" si="90"/>
        <v>0</v>
      </c>
      <c r="K2822" s="84">
        <f t="shared" si="91"/>
        <v>0</v>
      </c>
      <c r="L2822" s="61" t="e">
        <f>VLOOKUP(K2822,[1]Mapping!$J$3:$Q$351,8,FALSE)</f>
        <v>#N/A</v>
      </c>
      <c r="M2822" t="s">
        <v>83</v>
      </c>
    </row>
    <row r="2823" spans="5:13" hidden="1" x14ac:dyDescent="0.35">
      <c r="E2823" s="81"/>
      <c r="I2823" s="83" t="e">
        <f>VLOOKUP(E2823,[1]Mapping!$A$3:$B$14,2,FALSE)</f>
        <v>#N/A</v>
      </c>
      <c r="J2823" s="84">
        <f t="shared" si="90"/>
        <v>0</v>
      </c>
      <c r="K2823" s="84">
        <f t="shared" si="91"/>
        <v>0</v>
      </c>
      <c r="L2823" s="61" t="e">
        <f>VLOOKUP(K2823,[1]Mapping!$J$3:$Q$351,8,FALSE)</f>
        <v>#N/A</v>
      </c>
      <c r="M2823" t="s">
        <v>83</v>
      </c>
    </row>
    <row r="2824" spans="5:13" hidden="1" x14ac:dyDescent="0.35">
      <c r="E2824" s="81"/>
      <c r="I2824" s="83" t="e">
        <f>VLOOKUP(E2824,[1]Mapping!$A$3:$B$14,2,FALSE)</f>
        <v>#N/A</v>
      </c>
      <c r="J2824" s="84">
        <f t="shared" si="90"/>
        <v>0</v>
      </c>
      <c r="K2824" s="84">
        <f t="shared" si="91"/>
        <v>0</v>
      </c>
      <c r="L2824" s="61" t="e">
        <f>VLOOKUP(K2824,[1]Mapping!$J$3:$Q$351,8,FALSE)</f>
        <v>#N/A</v>
      </c>
      <c r="M2824" t="s">
        <v>83</v>
      </c>
    </row>
    <row r="2825" spans="5:13" hidden="1" x14ac:dyDescent="0.35">
      <c r="E2825" s="81"/>
      <c r="I2825" s="83" t="e">
        <f>VLOOKUP(E2825,[1]Mapping!$A$3:$B$14,2,FALSE)</f>
        <v>#N/A</v>
      </c>
      <c r="J2825" s="84">
        <f t="shared" si="90"/>
        <v>0</v>
      </c>
      <c r="K2825" s="84">
        <f t="shared" si="91"/>
        <v>0</v>
      </c>
      <c r="L2825" s="61" t="e">
        <f>VLOOKUP(K2825,[1]Mapping!$J$3:$Q$351,8,FALSE)</f>
        <v>#N/A</v>
      </c>
      <c r="M2825" t="s">
        <v>83</v>
      </c>
    </row>
    <row r="2826" spans="5:13" hidden="1" x14ac:dyDescent="0.35">
      <c r="E2826" s="81"/>
      <c r="I2826" s="83" t="e">
        <f>VLOOKUP(E2826,[1]Mapping!$A$3:$B$14,2,FALSE)</f>
        <v>#N/A</v>
      </c>
      <c r="J2826" s="84">
        <f t="shared" si="90"/>
        <v>0</v>
      </c>
      <c r="K2826" s="84">
        <f t="shared" si="91"/>
        <v>0</v>
      </c>
      <c r="L2826" s="61" t="e">
        <f>VLOOKUP(K2826,[1]Mapping!$J$3:$Q$351,8,FALSE)</f>
        <v>#N/A</v>
      </c>
      <c r="M2826" t="s">
        <v>83</v>
      </c>
    </row>
    <row r="2827" spans="5:13" hidden="1" x14ac:dyDescent="0.35">
      <c r="E2827" s="81"/>
      <c r="I2827" s="83" t="e">
        <f>VLOOKUP(E2827,[1]Mapping!$A$3:$B$14,2,FALSE)</f>
        <v>#N/A</v>
      </c>
      <c r="J2827" s="84">
        <f t="shared" si="90"/>
        <v>0</v>
      </c>
      <c r="K2827" s="84">
        <f t="shared" si="91"/>
        <v>0</v>
      </c>
      <c r="L2827" s="61" t="e">
        <f>VLOOKUP(K2827,[1]Mapping!$J$3:$Q$351,8,FALSE)</f>
        <v>#N/A</v>
      </c>
      <c r="M2827" t="s">
        <v>83</v>
      </c>
    </row>
    <row r="2828" spans="5:13" hidden="1" x14ac:dyDescent="0.35">
      <c r="E2828" s="81"/>
      <c r="I2828" s="83" t="e">
        <f>VLOOKUP(E2828,[1]Mapping!$A$3:$B$14,2,FALSE)</f>
        <v>#N/A</v>
      </c>
      <c r="J2828" s="84">
        <f t="shared" si="90"/>
        <v>0</v>
      </c>
      <c r="K2828" s="84">
        <f t="shared" si="91"/>
        <v>0</v>
      </c>
      <c r="L2828" s="61" t="e">
        <f>VLOOKUP(K2828,[1]Mapping!$J$3:$Q$351,8,FALSE)</f>
        <v>#N/A</v>
      </c>
      <c r="M2828" t="s">
        <v>83</v>
      </c>
    </row>
    <row r="2829" spans="5:13" hidden="1" x14ac:dyDescent="0.35">
      <c r="E2829" s="81"/>
      <c r="I2829" s="83" t="e">
        <f>VLOOKUP(E2829,[1]Mapping!$A$3:$B$14,2,FALSE)</f>
        <v>#N/A</v>
      </c>
      <c r="J2829" s="84">
        <f t="shared" si="90"/>
        <v>0</v>
      </c>
      <c r="K2829" s="84">
        <f t="shared" si="91"/>
        <v>0</v>
      </c>
      <c r="L2829" s="61" t="e">
        <f>VLOOKUP(K2829,[1]Mapping!$J$3:$Q$351,8,FALSE)</f>
        <v>#N/A</v>
      </c>
      <c r="M2829" t="s">
        <v>83</v>
      </c>
    </row>
    <row r="2830" spans="5:13" hidden="1" x14ac:dyDescent="0.35">
      <c r="E2830" s="81"/>
      <c r="I2830" s="83" t="e">
        <f>VLOOKUP(E2830,[1]Mapping!$A$3:$B$14,2,FALSE)</f>
        <v>#N/A</v>
      </c>
      <c r="J2830" s="84">
        <f t="shared" si="90"/>
        <v>0</v>
      </c>
      <c r="K2830" s="84">
        <f t="shared" si="91"/>
        <v>0</v>
      </c>
      <c r="L2830" s="61" t="e">
        <f>VLOOKUP(K2830,[1]Mapping!$J$3:$Q$351,8,FALSE)</f>
        <v>#N/A</v>
      </c>
      <c r="M2830" t="s">
        <v>83</v>
      </c>
    </row>
    <row r="2831" spans="5:13" hidden="1" x14ac:dyDescent="0.35">
      <c r="E2831" s="81"/>
      <c r="I2831" s="83" t="e">
        <f>VLOOKUP(E2831,[1]Mapping!$A$3:$B$14,2,FALSE)</f>
        <v>#N/A</v>
      </c>
      <c r="J2831" s="84">
        <f t="shared" si="90"/>
        <v>0</v>
      </c>
      <c r="K2831" s="84">
        <f t="shared" si="91"/>
        <v>0</v>
      </c>
      <c r="L2831" s="61" t="e">
        <f>VLOOKUP(K2831,[1]Mapping!$J$3:$Q$351,8,FALSE)</f>
        <v>#N/A</v>
      </c>
      <c r="M2831" t="s">
        <v>83</v>
      </c>
    </row>
    <row r="2832" spans="5:13" hidden="1" x14ac:dyDescent="0.35">
      <c r="E2832" s="81"/>
      <c r="I2832" s="83" t="e">
        <f>VLOOKUP(E2832,[1]Mapping!$A$3:$B$14,2,FALSE)</f>
        <v>#N/A</v>
      </c>
      <c r="J2832" s="84">
        <f t="shared" si="90"/>
        <v>0</v>
      </c>
      <c r="K2832" s="84">
        <f t="shared" si="91"/>
        <v>0</v>
      </c>
      <c r="L2832" s="61" t="e">
        <f>VLOOKUP(K2832,[1]Mapping!$J$3:$Q$351,8,FALSE)</f>
        <v>#N/A</v>
      </c>
      <c r="M2832" t="s">
        <v>83</v>
      </c>
    </row>
    <row r="2833" spans="5:13" hidden="1" x14ac:dyDescent="0.35">
      <c r="E2833" s="81"/>
      <c r="I2833" s="83" t="e">
        <f>VLOOKUP(E2833,[1]Mapping!$A$3:$B$14,2,FALSE)</f>
        <v>#N/A</v>
      </c>
      <c r="J2833" s="84">
        <f t="shared" si="90"/>
        <v>0</v>
      </c>
      <c r="K2833" s="84">
        <f t="shared" si="91"/>
        <v>0</v>
      </c>
      <c r="L2833" s="61" t="e">
        <f>VLOOKUP(K2833,[1]Mapping!$J$3:$Q$351,8,FALSE)</f>
        <v>#N/A</v>
      </c>
      <c r="M2833" t="s">
        <v>83</v>
      </c>
    </row>
    <row r="2834" spans="5:13" hidden="1" x14ac:dyDescent="0.35">
      <c r="E2834" s="81"/>
      <c r="I2834" s="83" t="e">
        <f>VLOOKUP(E2834,[1]Mapping!$A$3:$B$14,2,FALSE)</f>
        <v>#N/A</v>
      </c>
      <c r="J2834" s="84">
        <f t="shared" si="90"/>
        <v>0</v>
      </c>
      <c r="K2834" s="84">
        <f t="shared" si="91"/>
        <v>0</v>
      </c>
      <c r="L2834" s="61" t="e">
        <f>VLOOKUP(K2834,[1]Mapping!$J$3:$Q$351,8,FALSE)</f>
        <v>#N/A</v>
      </c>
      <c r="M2834" t="s">
        <v>83</v>
      </c>
    </row>
    <row r="2835" spans="5:13" hidden="1" x14ac:dyDescent="0.35">
      <c r="E2835" s="81"/>
      <c r="I2835" s="83" t="e">
        <f>VLOOKUP(E2835,[1]Mapping!$A$3:$B$14,2,FALSE)</f>
        <v>#N/A</v>
      </c>
      <c r="J2835" s="84">
        <f t="shared" si="90"/>
        <v>0</v>
      </c>
      <c r="K2835" s="84">
        <f t="shared" si="91"/>
        <v>0</v>
      </c>
      <c r="L2835" s="61" t="e">
        <f>VLOOKUP(K2835,[1]Mapping!$J$3:$Q$351,8,FALSE)</f>
        <v>#N/A</v>
      </c>
      <c r="M2835" t="s">
        <v>83</v>
      </c>
    </row>
    <row r="2836" spans="5:13" hidden="1" x14ac:dyDescent="0.35">
      <c r="E2836" s="81"/>
      <c r="I2836" s="83" t="e">
        <f>VLOOKUP(E2836,[1]Mapping!$A$3:$B$14,2,FALSE)</f>
        <v>#N/A</v>
      </c>
      <c r="J2836" s="84">
        <f t="shared" si="90"/>
        <v>0</v>
      </c>
      <c r="K2836" s="84">
        <f t="shared" si="91"/>
        <v>0</v>
      </c>
      <c r="L2836" s="61" t="e">
        <f>VLOOKUP(K2836,[1]Mapping!$J$3:$Q$351,8,FALSE)</f>
        <v>#N/A</v>
      </c>
      <c r="M2836" t="s">
        <v>83</v>
      </c>
    </row>
    <row r="2837" spans="5:13" hidden="1" x14ac:dyDescent="0.35">
      <c r="E2837" s="81"/>
      <c r="I2837" s="83" t="e">
        <f>VLOOKUP(E2837,[1]Mapping!$A$3:$B$14,2,FALSE)</f>
        <v>#N/A</v>
      </c>
      <c r="J2837" s="84">
        <f t="shared" si="90"/>
        <v>0</v>
      </c>
      <c r="K2837" s="84">
        <f t="shared" si="91"/>
        <v>0</v>
      </c>
      <c r="L2837" s="61" t="e">
        <f>VLOOKUP(K2837,[1]Mapping!$J$3:$Q$351,8,FALSE)</f>
        <v>#N/A</v>
      </c>
      <c r="M2837" t="s">
        <v>83</v>
      </c>
    </row>
    <row r="2838" spans="5:13" hidden="1" x14ac:dyDescent="0.35">
      <c r="E2838" s="81"/>
      <c r="I2838" s="83" t="e">
        <f>VLOOKUP(E2838,[1]Mapping!$A$3:$B$14,2,FALSE)</f>
        <v>#N/A</v>
      </c>
      <c r="J2838" s="84">
        <f t="shared" si="90"/>
        <v>0</v>
      </c>
      <c r="K2838" s="84">
        <f t="shared" si="91"/>
        <v>0</v>
      </c>
      <c r="L2838" s="61" t="e">
        <f>VLOOKUP(K2838,[1]Mapping!$J$3:$Q$351,8,FALSE)</f>
        <v>#N/A</v>
      </c>
      <c r="M2838" t="s">
        <v>83</v>
      </c>
    </row>
    <row r="2839" spans="5:13" hidden="1" x14ac:dyDescent="0.35">
      <c r="E2839" s="81"/>
      <c r="I2839" s="83" t="e">
        <f>VLOOKUP(E2839,[1]Mapping!$A$3:$B$14,2,FALSE)</f>
        <v>#N/A</v>
      </c>
      <c r="J2839" s="84">
        <f t="shared" si="90"/>
        <v>0</v>
      </c>
      <c r="K2839" s="84">
        <f t="shared" si="91"/>
        <v>0</v>
      </c>
      <c r="L2839" s="61" t="e">
        <f>VLOOKUP(K2839,[1]Mapping!$J$3:$Q$351,8,FALSE)</f>
        <v>#N/A</v>
      </c>
      <c r="M2839" t="s">
        <v>83</v>
      </c>
    </row>
    <row r="2840" spans="5:13" hidden="1" x14ac:dyDescent="0.35">
      <c r="E2840" s="81"/>
      <c r="I2840" s="83" t="e">
        <f>VLOOKUP(E2840,[1]Mapping!$A$3:$B$14,2,FALSE)</f>
        <v>#N/A</v>
      </c>
      <c r="J2840" s="84">
        <f t="shared" si="90"/>
        <v>0</v>
      </c>
      <c r="K2840" s="84">
        <f t="shared" si="91"/>
        <v>0</v>
      </c>
      <c r="L2840" s="61" t="e">
        <f>VLOOKUP(K2840,[1]Mapping!$J$3:$Q$351,8,FALSE)</f>
        <v>#N/A</v>
      </c>
      <c r="M2840" t="s">
        <v>83</v>
      </c>
    </row>
    <row r="2841" spans="5:13" hidden="1" x14ac:dyDescent="0.35">
      <c r="E2841" s="81"/>
      <c r="I2841" s="83" t="e">
        <f>VLOOKUP(E2841,[1]Mapping!$A$3:$B$14,2,FALSE)</f>
        <v>#N/A</v>
      </c>
      <c r="J2841" s="84">
        <f t="shared" si="90"/>
        <v>0</v>
      </c>
      <c r="K2841" s="84">
        <f t="shared" si="91"/>
        <v>0</v>
      </c>
      <c r="L2841" s="61" t="e">
        <f>VLOOKUP(K2841,[1]Mapping!$J$3:$Q$351,8,FALSE)</f>
        <v>#N/A</v>
      </c>
      <c r="M2841" t="s">
        <v>83</v>
      </c>
    </row>
    <row r="2842" spans="5:13" hidden="1" x14ac:dyDescent="0.35">
      <c r="E2842" s="81"/>
      <c r="I2842" s="83" t="e">
        <f>VLOOKUP(E2842,[1]Mapping!$A$3:$B$14,2,FALSE)</f>
        <v>#N/A</v>
      </c>
      <c r="J2842" s="84">
        <f t="shared" si="90"/>
        <v>0</v>
      </c>
      <c r="K2842" s="84">
        <f t="shared" si="91"/>
        <v>0</v>
      </c>
      <c r="L2842" s="61" t="e">
        <f>VLOOKUP(K2842,[1]Mapping!$J$3:$Q$351,8,FALSE)</f>
        <v>#N/A</v>
      </c>
      <c r="M2842" t="s">
        <v>83</v>
      </c>
    </row>
    <row r="2843" spans="5:13" hidden="1" x14ac:dyDescent="0.35">
      <c r="E2843" s="81"/>
      <c r="I2843" s="83" t="e">
        <f>VLOOKUP(E2843,[1]Mapping!$A$3:$B$14,2,FALSE)</f>
        <v>#N/A</v>
      </c>
      <c r="J2843" s="84">
        <f t="shared" si="90"/>
        <v>0</v>
      </c>
      <c r="K2843" s="84">
        <f t="shared" si="91"/>
        <v>0</v>
      </c>
      <c r="L2843" s="61" t="e">
        <f>VLOOKUP(K2843,[1]Mapping!$J$3:$Q$351,8,FALSE)</f>
        <v>#N/A</v>
      </c>
      <c r="M2843" t="s">
        <v>83</v>
      </c>
    </row>
    <row r="2844" spans="5:13" hidden="1" x14ac:dyDescent="0.35">
      <c r="E2844" s="81"/>
      <c r="I2844" s="83" t="e">
        <f>VLOOKUP(E2844,[1]Mapping!$A$3:$B$14,2,FALSE)</f>
        <v>#N/A</v>
      </c>
      <c r="J2844" s="84">
        <f t="shared" si="90"/>
        <v>0</v>
      </c>
      <c r="K2844" s="84">
        <f t="shared" si="91"/>
        <v>0</v>
      </c>
      <c r="L2844" s="61" t="e">
        <f>VLOOKUP(K2844,[1]Mapping!$J$3:$Q$351,8,FALSE)</f>
        <v>#N/A</v>
      </c>
      <c r="M2844" t="s">
        <v>83</v>
      </c>
    </row>
    <row r="2845" spans="5:13" hidden="1" x14ac:dyDescent="0.35">
      <c r="E2845" s="81"/>
      <c r="I2845" s="83" t="e">
        <f>VLOOKUP(E2845,[1]Mapping!$A$3:$B$14,2,FALSE)</f>
        <v>#N/A</v>
      </c>
      <c r="J2845" s="84">
        <f t="shared" si="90"/>
        <v>0</v>
      </c>
      <c r="K2845" s="84">
        <f t="shared" si="91"/>
        <v>0</v>
      </c>
      <c r="L2845" s="61" t="e">
        <f>VLOOKUP(K2845,[1]Mapping!$J$3:$Q$351,8,FALSE)</f>
        <v>#N/A</v>
      </c>
      <c r="M2845" t="s">
        <v>83</v>
      </c>
    </row>
    <row r="2846" spans="5:13" hidden="1" x14ac:dyDescent="0.35">
      <c r="E2846" s="81"/>
      <c r="I2846" s="83" t="e">
        <f>VLOOKUP(E2846,[1]Mapping!$A$3:$B$14,2,FALSE)</f>
        <v>#N/A</v>
      </c>
      <c r="J2846" s="84">
        <f t="shared" si="90"/>
        <v>0</v>
      </c>
      <c r="K2846" s="84">
        <f t="shared" si="91"/>
        <v>0</v>
      </c>
      <c r="L2846" s="61" t="e">
        <f>VLOOKUP(K2846,[1]Mapping!$J$3:$Q$351,8,FALSE)</f>
        <v>#N/A</v>
      </c>
      <c r="M2846" t="s">
        <v>83</v>
      </c>
    </row>
    <row r="2847" spans="5:13" hidden="1" x14ac:dyDescent="0.35">
      <c r="E2847" s="81"/>
      <c r="I2847" s="83" t="e">
        <f>VLOOKUP(E2847,[1]Mapping!$A$3:$B$14,2,FALSE)</f>
        <v>#N/A</v>
      </c>
      <c r="J2847" s="84">
        <f t="shared" si="90"/>
        <v>0</v>
      </c>
      <c r="K2847" s="84">
        <f t="shared" si="91"/>
        <v>0</v>
      </c>
      <c r="L2847" s="61" t="e">
        <f>VLOOKUP(K2847,[1]Mapping!$J$3:$Q$351,8,FALSE)</f>
        <v>#N/A</v>
      </c>
      <c r="M2847" t="s">
        <v>83</v>
      </c>
    </row>
    <row r="2848" spans="5:13" hidden="1" x14ac:dyDescent="0.35">
      <c r="E2848" s="81"/>
      <c r="I2848" s="83" t="e">
        <f>VLOOKUP(E2848,[1]Mapping!$A$3:$B$14,2,FALSE)</f>
        <v>#N/A</v>
      </c>
      <c r="J2848" s="84">
        <f t="shared" si="90"/>
        <v>0</v>
      </c>
      <c r="K2848" s="84">
        <f t="shared" si="91"/>
        <v>0</v>
      </c>
      <c r="L2848" s="61" t="e">
        <f>VLOOKUP(K2848,[1]Mapping!$J$3:$Q$351,8,FALSE)</f>
        <v>#N/A</v>
      </c>
      <c r="M2848" t="s">
        <v>83</v>
      </c>
    </row>
    <row r="2849" spans="5:15" hidden="1" x14ac:dyDescent="0.35">
      <c r="E2849" s="81"/>
      <c r="I2849" s="83" t="e">
        <f>VLOOKUP(E2849,[1]Mapping!$A$3:$B$14,2,FALSE)</f>
        <v>#N/A</v>
      </c>
      <c r="J2849" s="84">
        <f t="shared" si="90"/>
        <v>0</v>
      </c>
      <c r="K2849" s="84">
        <f t="shared" si="91"/>
        <v>0</v>
      </c>
      <c r="L2849" s="61" t="e">
        <f>VLOOKUP(K2849,[1]Mapping!$J$3:$Q$351,8,FALSE)</f>
        <v>#N/A</v>
      </c>
      <c r="M2849" t="s">
        <v>83</v>
      </c>
    </row>
    <row r="2850" spans="5:15" hidden="1" x14ac:dyDescent="0.35">
      <c r="E2850" s="81"/>
      <c r="I2850" s="83" t="e">
        <f>VLOOKUP(E2850,[1]Mapping!$A$3:$B$14,2,FALSE)</f>
        <v>#N/A</v>
      </c>
      <c r="J2850" s="84">
        <f t="shared" si="90"/>
        <v>0</v>
      </c>
      <c r="K2850" s="84">
        <f t="shared" si="91"/>
        <v>0</v>
      </c>
      <c r="L2850" s="61" t="e">
        <f>VLOOKUP(K2850,[1]Mapping!$J$3:$Q$351,8,FALSE)</f>
        <v>#N/A</v>
      </c>
      <c r="M2850" t="s">
        <v>83</v>
      </c>
    </row>
    <row r="2851" spans="5:15" hidden="1" x14ac:dyDescent="0.35">
      <c r="E2851" s="81"/>
      <c r="I2851" s="83" t="e">
        <f>VLOOKUP(E2851,[1]Mapping!$A$3:$B$14,2,FALSE)</f>
        <v>#N/A</v>
      </c>
      <c r="J2851" s="84">
        <f t="shared" si="90"/>
        <v>0</v>
      </c>
      <c r="K2851" s="84">
        <f t="shared" si="91"/>
        <v>0</v>
      </c>
      <c r="L2851" s="61" t="e">
        <f>VLOOKUP(K2851,[1]Mapping!$J$3:$Q$351,8,FALSE)</f>
        <v>#N/A</v>
      </c>
      <c r="M2851" t="s">
        <v>83</v>
      </c>
    </row>
    <row r="2852" spans="5:15" hidden="1" x14ac:dyDescent="0.35">
      <c r="E2852" s="81"/>
      <c r="I2852" s="83" t="e">
        <f>VLOOKUP(E2852,[1]Mapping!$A$3:$B$14,2,FALSE)</f>
        <v>#N/A</v>
      </c>
      <c r="J2852" s="84">
        <f t="shared" si="90"/>
        <v>0</v>
      </c>
      <c r="K2852" s="84">
        <f t="shared" si="91"/>
        <v>0</v>
      </c>
      <c r="L2852" s="61" t="e">
        <f>VLOOKUP(K2852,[1]Mapping!$J$3:$Q$351,8,FALSE)</f>
        <v>#N/A</v>
      </c>
      <c r="M2852" t="s">
        <v>83</v>
      </c>
    </row>
    <row r="2853" spans="5:15" hidden="1" x14ac:dyDescent="0.35">
      <c r="E2853" s="81"/>
      <c r="I2853" s="83" t="e">
        <f>VLOOKUP(E2853,[1]Mapping!$A$3:$B$14,2,FALSE)</f>
        <v>#N/A</v>
      </c>
      <c r="J2853" s="84">
        <f t="shared" si="90"/>
        <v>0</v>
      </c>
      <c r="K2853" s="84">
        <f t="shared" si="91"/>
        <v>0</v>
      </c>
      <c r="L2853" s="61" t="e">
        <f>VLOOKUP(K2853,[1]Mapping!$J$3:$Q$351,8,FALSE)</f>
        <v>#N/A</v>
      </c>
      <c r="M2853" t="s">
        <v>83</v>
      </c>
    </row>
    <row r="2854" spans="5:15" hidden="1" x14ac:dyDescent="0.35">
      <c r="E2854" s="81"/>
      <c r="I2854" s="83" t="e">
        <f>VLOOKUP(E2854,[1]Mapping!$A$3:$B$14,2,FALSE)</f>
        <v>#N/A</v>
      </c>
      <c r="J2854" s="84">
        <f t="shared" si="90"/>
        <v>0</v>
      </c>
      <c r="K2854" s="84">
        <f t="shared" si="91"/>
        <v>0</v>
      </c>
      <c r="L2854" s="61" t="e">
        <f>VLOOKUP(K2854,[1]Mapping!$J$3:$Q$351,8,FALSE)</f>
        <v>#N/A</v>
      </c>
      <c r="M2854" t="s">
        <v>83</v>
      </c>
    </row>
    <row r="2855" spans="5:15" hidden="1" x14ac:dyDescent="0.35">
      <c r="E2855" s="81"/>
      <c r="I2855" s="83" t="e">
        <f>VLOOKUP(E2855,[1]Mapping!$A$3:$B$14,2,FALSE)</f>
        <v>#N/A</v>
      </c>
      <c r="J2855" s="84">
        <f t="shared" si="90"/>
        <v>0</v>
      </c>
      <c r="K2855" s="84">
        <f t="shared" si="91"/>
        <v>0</v>
      </c>
      <c r="L2855" s="61" t="e">
        <f>VLOOKUP(K2855,[1]Mapping!$J$3:$Q$351,8,FALSE)</f>
        <v>#N/A</v>
      </c>
      <c r="M2855" t="s">
        <v>83</v>
      </c>
    </row>
    <row r="2856" spans="5:15" hidden="1" x14ac:dyDescent="0.35">
      <c r="E2856" s="81"/>
      <c r="I2856" s="83" t="e">
        <f>VLOOKUP(E2856,[1]Mapping!$A$3:$B$14,2,FALSE)</f>
        <v>#N/A</v>
      </c>
      <c r="J2856" s="84">
        <f t="shared" si="90"/>
        <v>0</v>
      </c>
      <c r="K2856" s="84">
        <f t="shared" si="91"/>
        <v>0</v>
      </c>
      <c r="L2856" s="61" t="e">
        <f>VLOOKUP(K2856,[1]Mapping!$J$3:$Q$351,8,FALSE)</f>
        <v>#N/A</v>
      </c>
      <c r="M2856" t="s">
        <v>83</v>
      </c>
    </row>
    <row r="2857" spans="5:15" hidden="1" x14ac:dyDescent="0.35">
      <c r="E2857" s="81"/>
      <c r="I2857" s="83" t="e">
        <f>VLOOKUP(E2857,[1]Mapping!$A$3:$B$14,2,FALSE)</f>
        <v>#N/A</v>
      </c>
      <c r="J2857" s="84">
        <f t="shared" si="90"/>
        <v>0</v>
      </c>
      <c r="K2857" s="84">
        <f t="shared" si="91"/>
        <v>0</v>
      </c>
      <c r="L2857" s="61" t="e">
        <f>VLOOKUP(K2857,[1]Mapping!$J$3:$Q$351,8,FALSE)</f>
        <v>#N/A</v>
      </c>
      <c r="M2857" t="s">
        <v>83</v>
      </c>
    </row>
    <row r="2858" spans="5:15" hidden="1" x14ac:dyDescent="0.35">
      <c r="E2858" s="81"/>
      <c r="I2858" s="83" t="e">
        <f>VLOOKUP(E2858,[1]Mapping!$A$3:$B$14,2,FALSE)</f>
        <v>#N/A</v>
      </c>
      <c r="J2858" s="84">
        <f t="shared" si="90"/>
        <v>0</v>
      </c>
      <c r="K2858" s="84">
        <f t="shared" si="91"/>
        <v>0</v>
      </c>
      <c r="L2858" s="61" t="e">
        <f>VLOOKUP(K2858,[1]Mapping!$J$3:$Q$351,8,FALSE)</f>
        <v>#N/A</v>
      </c>
      <c r="M2858" t="s">
        <v>83</v>
      </c>
    </row>
    <row r="2859" spans="5:15" hidden="1" x14ac:dyDescent="0.35">
      <c r="E2859" s="81"/>
      <c r="I2859" s="83" t="e">
        <f>VLOOKUP(E2859,[1]Mapping!$A$3:$B$14,2,FALSE)</f>
        <v>#N/A</v>
      </c>
      <c r="J2859" s="84">
        <f t="shared" si="90"/>
        <v>0</v>
      </c>
      <c r="K2859" s="84">
        <f t="shared" si="91"/>
        <v>0</v>
      </c>
      <c r="L2859" s="61" t="e">
        <f>VLOOKUP(K2859,[1]Mapping!$J$3:$Q$351,8,FALSE)</f>
        <v>#N/A</v>
      </c>
      <c r="M2859" t="s">
        <v>83</v>
      </c>
    </row>
    <row r="2860" spans="5:15" hidden="1" x14ac:dyDescent="0.35">
      <c r="E2860" s="81"/>
      <c r="I2860" s="83" t="e">
        <f>VLOOKUP(E2860,[1]Mapping!$A$3:$B$14,2,FALSE)</f>
        <v>#N/A</v>
      </c>
      <c r="J2860" s="84">
        <f t="shared" si="90"/>
        <v>0</v>
      </c>
      <c r="K2860" s="84">
        <f t="shared" si="91"/>
        <v>0</v>
      </c>
      <c r="L2860" s="61" t="e">
        <f>VLOOKUP(K2860,[1]Mapping!$J$3:$Q$351,8,FALSE)</f>
        <v>#N/A</v>
      </c>
      <c r="M2860" t="s">
        <v>83</v>
      </c>
    </row>
    <row r="2861" spans="5:15" hidden="1" x14ac:dyDescent="0.35">
      <c r="E2861" s="81"/>
      <c r="I2861" s="83" t="e">
        <f>VLOOKUP(E2861,[1]Mapping!$A$3:$B$14,2,FALSE)</f>
        <v>#N/A</v>
      </c>
      <c r="J2861" s="84">
        <f t="shared" si="90"/>
        <v>0</v>
      </c>
      <c r="K2861" s="84">
        <f t="shared" si="91"/>
        <v>0</v>
      </c>
      <c r="L2861" s="61" t="e">
        <f>VLOOKUP(K2861,[1]Mapping!$J$3:$Q$351,8,FALSE)</f>
        <v>#N/A</v>
      </c>
      <c r="M2861" t="s">
        <v>83</v>
      </c>
    </row>
    <row r="2862" spans="5:15" hidden="1" x14ac:dyDescent="0.35">
      <c r="E2862" s="81"/>
      <c r="H2862" s="82"/>
      <c r="I2862" s="83" t="e">
        <f>VLOOKUP(E2862,[1]Mapping!$A$3:$B$14,2,FALSE)</f>
        <v>#N/A</v>
      </c>
      <c r="J2862" s="84">
        <f t="shared" si="90"/>
        <v>0</v>
      </c>
      <c r="K2862" s="84">
        <f t="shared" si="91"/>
        <v>0</v>
      </c>
      <c r="L2862" s="61" t="e">
        <f>VLOOKUP(K2862,[1]Mapping!$J$3:$Q$351,8,FALSE)</f>
        <v>#N/A</v>
      </c>
      <c r="M2862" t="s">
        <v>83</v>
      </c>
      <c r="N2862" t="s">
        <v>180</v>
      </c>
      <c r="O2862" t="s">
        <v>178</v>
      </c>
    </row>
    <row r="2863" spans="5:15" hidden="1" x14ac:dyDescent="0.35">
      <c r="E2863" s="81"/>
      <c r="H2863" s="82"/>
      <c r="I2863" s="83" t="e">
        <f>VLOOKUP(E2863,[1]Mapping!$A$3:$B$14,2,FALSE)</f>
        <v>#N/A</v>
      </c>
      <c r="J2863" s="84">
        <f t="shared" si="90"/>
        <v>0</v>
      </c>
      <c r="K2863" s="84">
        <f t="shared" si="91"/>
        <v>0</v>
      </c>
      <c r="L2863" s="61" t="e">
        <f>VLOOKUP(K2863,[1]Mapping!$J$3:$Q$351,8,FALSE)</f>
        <v>#N/A</v>
      </c>
      <c r="M2863" t="s">
        <v>83</v>
      </c>
      <c r="N2863" t="s">
        <v>180</v>
      </c>
      <c r="O2863" t="s">
        <v>178</v>
      </c>
    </row>
    <row r="2864" spans="5:15" hidden="1" x14ac:dyDescent="0.35">
      <c r="E2864" s="81"/>
      <c r="I2864" s="83" t="e">
        <f>VLOOKUP(E2864,[1]Mapping!$A$3:$B$14,2,FALSE)</f>
        <v>#N/A</v>
      </c>
      <c r="J2864" s="84">
        <f t="shared" si="90"/>
        <v>0</v>
      </c>
      <c r="K2864" s="84">
        <f t="shared" si="91"/>
        <v>0</v>
      </c>
      <c r="L2864" s="61" t="e">
        <f>VLOOKUP(K2864,[1]Mapping!$J$3:$Q$351,8,FALSE)</f>
        <v>#N/A</v>
      </c>
      <c r="M2864" t="s">
        <v>83</v>
      </c>
    </row>
    <row r="2865" spans="5:13" hidden="1" x14ac:dyDescent="0.35">
      <c r="E2865" s="81"/>
      <c r="I2865" s="83" t="e">
        <f>VLOOKUP(E2865,[1]Mapping!$A$3:$B$14,2,FALSE)</f>
        <v>#N/A</v>
      </c>
      <c r="J2865" s="84">
        <f t="shared" si="90"/>
        <v>0</v>
      </c>
      <c r="K2865" s="84">
        <f t="shared" si="91"/>
        <v>0</v>
      </c>
      <c r="L2865" s="61" t="e">
        <f>VLOOKUP(K2865,[1]Mapping!$J$3:$Q$351,8,FALSE)</f>
        <v>#N/A</v>
      </c>
      <c r="M2865" t="s">
        <v>83</v>
      </c>
    </row>
    <row r="2866" spans="5:13" hidden="1" x14ac:dyDescent="0.35">
      <c r="E2866" s="81"/>
      <c r="I2866" s="83" t="e">
        <f>VLOOKUP(E2866,[1]Mapping!$A$3:$B$14,2,FALSE)</f>
        <v>#N/A</v>
      </c>
      <c r="J2866" s="84">
        <f t="shared" si="90"/>
        <v>0</v>
      </c>
      <c r="K2866" s="84">
        <f t="shared" si="91"/>
        <v>0</v>
      </c>
      <c r="L2866" s="61" t="e">
        <f>VLOOKUP(K2866,[1]Mapping!$J$3:$Q$351,8,FALSE)</f>
        <v>#N/A</v>
      </c>
      <c r="M2866" t="s">
        <v>83</v>
      </c>
    </row>
    <row r="2867" spans="5:13" hidden="1" x14ac:dyDescent="0.35">
      <c r="E2867" s="81"/>
      <c r="I2867" s="83" t="e">
        <f>VLOOKUP(E2867,[1]Mapping!$A$3:$B$14,2,FALSE)</f>
        <v>#N/A</v>
      </c>
      <c r="J2867" s="84">
        <f t="shared" si="90"/>
        <v>0</v>
      </c>
      <c r="K2867" s="84">
        <f t="shared" si="91"/>
        <v>0</v>
      </c>
      <c r="L2867" s="61" t="e">
        <f>VLOOKUP(K2867,[1]Mapping!$J$3:$Q$351,8,FALSE)</f>
        <v>#N/A</v>
      </c>
      <c r="M2867" t="s">
        <v>83</v>
      </c>
    </row>
    <row r="2868" spans="5:13" hidden="1" x14ac:dyDescent="0.35">
      <c r="E2868" s="81"/>
      <c r="I2868" s="83" t="e">
        <f>VLOOKUP(E2868,[1]Mapping!$A$3:$B$14,2,FALSE)</f>
        <v>#N/A</v>
      </c>
      <c r="J2868" s="84">
        <f t="shared" si="90"/>
        <v>0</v>
      </c>
      <c r="K2868" s="84">
        <f t="shared" si="91"/>
        <v>0</v>
      </c>
      <c r="L2868" s="61" t="e">
        <f>VLOOKUP(K2868,[1]Mapping!$J$3:$Q$351,8,FALSE)</f>
        <v>#N/A</v>
      </c>
      <c r="M2868" t="s">
        <v>83</v>
      </c>
    </row>
    <row r="2869" spans="5:13" hidden="1" x14ac:dyDescent="0.35">
      <c r="E2869" s="81"/>
      <c r="I2869" s="83" t="e">
        <f>VLOOKUP(E2869,[1]Mapping!$A$3:$B$14,2,FALSE)</f>
        <v>#N/A</v>
      </c>
      <c r="J2869" s="84">
        <f t="shared" si="90"/>
        <v>0</v>
      </c>
      <c r="K2869" s="84">
        <f t="shared" si="91"/>
        <v>0</v>
      </c>
      <c r="L2869" s="61" t="e">
        <f>VLOOKUP(K2869,[1]Mapping!$J$3:$Q$351,8,FALSE)</f>
        <v>#N/A</v>
      </c>
      <c r="M2869" t="s">
        <v>83</v>
      </c>
    </row>
    <row r="2870" spans="5:13" hidden="1" x14ac:dyDescent="0.35">
      <c r="E2870" s="81"/>
      <c r="I2870" s="83" t="e">
        <f>VLOOKUP(E2870,[1]Mapping!$A$3:$B$14,2,FALSE)</f>
        <v>#N/A</v>
      </c>
      <c r="J2870" s="84">
        <f t="shared" si="90"/>
        <v>0</v>
      </c>
      <c r="K2870" s="84">
        <f t="shared" si="91"/>
        <v>0</v>
      </c>
      <c r="L2870" s="61" t="e">
        <f>VLOOKUP(K2870,[1]Mapping!$J$3:$Q$351,8,FALSE)</f>
        <v>#N/A</v>
      </c>
      <c r="M2870" t="s">
        <v>83</v>
      </c>
    </row>
    <row r="2871" spans="5:13" hidden="1" x14ac:dyDescent="0.35">
      <c r="E2871" s="81"/>
      <c r="I2871" s="83" t="e">
        <f>VLOOKUP(E2871,[1]Mapping!$A$3:$B$14,2,FALSE)</f>
        <v>#N/A</v>
      </c>
      <c r="J2871" s="84">
        <f t="shared" si="90"/>
        <v>0</v>
      </c>
      <c r="K2871" s="84">
        <f t="shared" si="91"/>
        <v>0</v>
      </c>
      <c r="L2871" s="61" t="e">
        <f>VLOOKUP(K2871,[1]Mapping!$J$3:$Q$351,8,FALSE)</f>
        <v>#N/A</v>
      </c>
      <c r="M2871" t="s">
        <v>83</v>
      </c>
    </row>
    <row r="2872" spans="5:13" hidden="1" x14ac:dyDescent="0.35">
      <c r="E2872" s="81"/>
      <c r="I2872" s="83" t="e">
        <f>VLOOKUP(E2872,[1]Mapping!$A$3:$B$14,2,FALSE)</f>
        <v>#N/A</v>
      </c>
      <c r="J2872" s="84">
        <f t="shared" si="90"/>
        <v>0</v>
      </c>
      <c r="K2872" s="84">
        <f t="shared" si="91"/>
        <v>0</v>
      </c>
      <c r="L2872" s="61" t="e">
        <f>VLOOKUP(K2872,[1]Mapping!$J$3:$Q$351,8,FALSE)</f>
        <v>#N/A</v>
      </c>
      <c r="M2872" t="s">
        <v>83</v>
      </c>
    </row>
    <row r="2873" spans="5:13" hidden="1" x14ac:dyDescent="0.35">
      <c r="E2873" s="81"/>
      <c r="I2873" s="83" t="e">
        <f>VLOOKUP(E2873,[1]Mapping!$A$3:$B$14,2,FALSE)</f>
        <v>#N/A</v>
      </c>
      <c r="J2873" s="84">
        <f t="shared" si="90"/>
        <v>0</v>
      </c>
      <c r="K2873" s="84">
        <f t="shared" si="91"/>
        <v>0</v>
      </c>
      <c r="L2873" s="61" t="e">
        <f>VLOOKUP(K2873,[1]Mapping!$J$3:$Q$351,8,FALSE)</f>
        <v>#N/A</v>
      </c>
      <c r="M2873" t="s">
        <v>83</v>
      </c>
    </row>
    <row r="2874" spans="5:13" hidden="1" x14ac:dyDescent="0.35">
      <c r="E2874" s="81"/>
      <c r="I2874" s="83" t="e">
        <f>VLOOKUP(E2874,[1]Mapping!$A$3:$B$14,2,FALSE)</f>
        <v>#N/A</v>
      </c>
      <c r="J2874" s="84">
        <f t="shared" si="90"/>
        <v>0</v>
      </c>
      <c r="K2874" s="84">
        <f t="shared" si="91"/>
        <v>0</v>
      </c>
      <c r="L2874" s="61" t="e">
        <f>VLOOKUP(K2874,[1]Mapping!$J$3:$Q$351,8,FALSE)</f>
        <v>#N/A</v>
      </c>
      <c r="M2874" t="s">
        <v>83</v>
      </c>
    </row>
    <row r="2875" spans="5:13" hidden="1" x14ac:dyDescent="0.35">
      <c r="E2875" s="81"/>
      <c r="I2875" s="83" t="e">
        <f>VLOOKUP(E2875,[1]Mapping!$A$3:$B$14,2,FALSE)</f>
        <v>#N/A</v>
      </c>
      <c r="J2875" s="84">
        <f t="shared" si="90"/>
        <v>0</v>
      </c>
      <c r="K2875" s="84">
        <f t="shared" si="91"/>
        <v>0</v>
      </c>
      <c r="L2875" s="61" t="e">
        <f>VLOOKUP(K2875,[1]Mapping!$J$3:$Q$351,8,FALSE)</f>
        <v>#N/A</v>
      </c>
      <c r="M2875" t="s">
        <v>83</v>
      </c>
    </row>
    <row r="2876" spans="5:13" hidden="1" x14ac:dyDescent="0.35">
      <c r="E2876" s="81"/>
      <c r="I2876" s="83" t="e">
        <f>VLOOKUP(E2876,[1]Mapping!$A$3:$B$14,2,FALSE)</f>
        <v>#N/A</v>
      </c>
      <c r="J2876" s="84">
        <f t="shared" si="90"/>
        <v>0</v>
      </c>
      <c r="K2876" s="84">
        <f t="shared" si="91"/>
        <v>0</v>
      </c>
      <c r="L2876" s="61" t="e">
        <f>VLOOKUP(K2876,[1]Mapping!$J$3:$Q$351,8,FALSE)</f>
        <v>#N/A</v>
      </c>
      <c r="M2876" t="s">
        <v>83</v>
      </c>
    </row>
    <row r="2877" spans="5:13" hidden="1" x14ac:dyDescent="0.35">
      <c r="E2877" s="81"/>
      <c r="I2877" s="83" t="e">
        <f>VLOOKUP(E2877,[1]Mapping!$A$3:$B$14,2,FALSE)</f>
        <v>#N/A</v>
      </c>
      <c r="J2877" s="84">
        <f t="shared" si="90"/>
        <v>0</v>
      </c>
      <c r="K2877" s="84">
        <f t="shared" si="91"/>
        <v>0</v>
      </c>
      <c r="L2877" s="61" t="e">
        <f>VLOOKUP(K2877,[1]Mapping!$J$3:$Q$351,8,FALSE)</f>
        <v>#N/A</v>
      </c>
      <c r="M2877" t="s">
        <v>83</v>
      </c>
    </row>
    <row r="2878" spans="5:13" hidden="1" x14ac:dyDescent="0.35">
      <c r="E2878" s="81"/>
      <c r="I2878" s="83" t="e">
        <f>VLOOKUP(E2878,[1]Mapping!$A$3:$B$14,2,FALSE)</f>
        <v>#N/A</v>
      </c>
      <c r="J2878" s="84">
        <f t="shared" si="90"/>
        <v>0</v>
      </c>
      <c r="K2878" s="84">
        <f t="shared" si="91"/>
        <v>0</v>
      </c>
      <c r="L2878" s="61" t="e">
        <f>VLOOKUP(K2878,[1]Mapping!$J$3:$Q$351,8,FALSE)</f>
        <v>#N/A</v>
      </c>
      <c r="M2878" t="s">
        <v>83</v>
      </c>
    </row>
    <row r="2879" spans="5:13" hidden="1" x14ac:dyDescent="0.35">
      <c r="E2879" s="81"/>
      <c r="I2879" s="83" t="e">
        <f>VLOOKUP(E2879,[1]Mapping!$A$3:$B$14,2,FALSE)</f>
        <v>#N/A</v>
      </c>
      <c r="J2879" s="84">
        <f t="shared" si="90"/>
        <v>0</v>
      </c>
      <c r="K2879" s="84">
        <f t="shared" si="91"/>
        <v>0</v>
      </c>
      <c r="L2879" s="61" t="e">
        <f>VLOOKUP(K2879,[1]Mapping!$J$3:$Q$351,8,FALSE)</f>
        <v>#N/A</v>
      </c>
      <c r="M2879" t="s">
        <v>83</v>
      </c>
    </row>
    <row r="2880" spans="5:13" hidden="1" x14ac:dyDescent="0.35">
      <c r="E2880" s="81"/>
      <c r="I2880" s="83" t="e">
        <f>VLOOKUP(E2880,[1]Mapping!$A$3:$B$14,2,FALSE)</f>
        <v>#N/A</v>
      </c>
      <c r="J2880" s="84">
        <f t="shared" si="90"/>
        <v>0</v>
      </c>
      <c r="K2880" s="84">
        <f t="shared" si="91"/>
        <v>0</v>
      </c>
      <c r="L2880" s="61" t="e">
        <f>VLOOKUP(K2880,[1]Mapping!$J$3:$Q$351,8,FALSE)</f>
        <v>#N/A</v>
      </c>
      <c r="M2880" t="s">
        <v>83</v>
      </c>
    </row>
    <row r="2881" spans="5:13" hidden="1" x14ac:dyDescent="0.35">
      <c r="E2881" s="81"/>
      <c r="I2881" s="83" t="e">
        <f>VLOOKUP(E2881,[1]Mapping!$A$3:$B$14,2,FALSE)</f>
        <v>#N/A</v>
      </c>
      <c r="J2881" s="84">
        <f t="shared" si="90"/>
        <v>0</v>
      </c>
      <c r="K2881" s="84">
        <f t="shared" si="91"/>
        <v>0</v>
      </c>
      <c r="L2881" s="61" t="e">
        <f>VLOOKUP(K2881,[1]Mapping!$J$3:$Q$351,8,FALSE)</f>
        <v>#N/A</v>
      </c>
      <c r="M2881" t="s">
        <v>83</v>
      </c>
    </row>
    <row r="2882" spans="5:13" hidden="1" x14ac:dyDescent="0.35">
      <c r="E2882" s="81"/>
      <c r="I2882" s="83" t="e">
        <f>VLOOKUP(E2882,[1]Mapping!$A$3:$B$14,2,FALSE)</f>
        <v>#N/A</v>
      </c>
      <c r="J2882" s="84">
        <f t="shared" si="90"/>
        <v>0</v>
      </c>
      <c r="K2882" s="84">
        <f t="shared" si="91"/>
        <v>0</v>
      </c>
      <c r="L2882" s="61" t="e">
        <f>VLOOKUP(K2882,[1]Mapping!$J$3:$Q$351,8,FALSE)</f>
        <v>#N/A</v>
      </c>
      <c r="M2882" t="s">
        <v>83</v>
      </c>
    </row>
    <row r="2883" spans="5:13" hidden="1" x14ac:dyDescent="0.35">
      <c r="E2883" s="81"/>
      <c r="I2883" s="83" t="e">
        <f>VLOOKUP(E2883,[1]Mapping!$A$3:$B$14,2,FALSE)</f>
        <v>#N/A</v>
      </c>
      <c r="J2883" s="84">
        <f t="shared" si="90"/>
        <v>0</v>
      </c>
      <c r="K2883" s="84">
        <f t="shared" si="91"/>
        <v>0</v>
      </c>
      <c r="L2883" s="61" t="e">
        <f>VLOOKUP(K2883,[1]Mapping!$J$3:$Q$351,8,FALSE)</f>
        <v>#N/A</v>
      </c>
      <c r="M2883" t="s">
        <v>83</v>
      </c>
    </row>
    <row r="2884" spans="5:13" hidden="1" x14ac:dyDescent="0.35">
      <c r="E2884" s="81"/>
      <c r="I2884" s="83" t="e">
        <f>VLOOKUP(E2884,[1]Mapping!$A$3:$B$14,2,FALSE)</f>
        <v>#N/A</v>
      </c>
      <c r="J2884" s="84">
        <f t="shared" ref="J2884:J2947" si="92">VALUE(A2884)</f>
        <v>0</v>
      </c>
      <c r="K2884" s="84">
        <f t="shared" ref="K2884:K2947" si="93">VALUE(C2884)</f>
        <v>0</v>
      </c>
      <c r="L2884" s="61" t="e">
        <f>VLOOKUP(K2884,[1]Mapping!$J$3:$Q$351,8,FALSE)</f>
        <v>#N/A</v>
      </c>
      <c r="M2884" t="s">
        <v>83</v>
      </c>
    </row>
    <row r="2885" spans="5:13" hidden="1" x14ac:dyDescent="0.35">
      <c r="E2885" s="81"/>
      <c r="I2885" s="83" t="e">
        <f>VLOOKUP(E2885,[1]Mapping!$A$3:$B$14,2,FALSE)</f>
        <v>#N/A</v>
      </c>
      <c r="J2885" s="84">
        <f t="shared" si="92"/>
        <v>0</v>
      </c>
      <c r="K2885" s="84">
        <f t="shared" si="93"/>
        <v>0</v>
      </c>
      <c r="L2885" s="61" t="e">
        <f>VLOOKUP(K2885,[1]Mapping!$J$3:$Q$351,8,FALSE)</f>
        <v>#N/A</v>
      </c>
      <c r="M2885" t="s">
        <v>83</v>
      </c>
    </row>
    <row r="2886" spans="5:13" hidden="1" x14ac:dyDescent="0.35">
      <c r="E2886" s="81"/>
      <c r="I2886" s="83" t="e">
        <f>VLOOKUP(E2886,[1]Mapping!$A$3:$B$14,2,FALSE)</f>
        <v>#N/A</v>
      </c>
      <c r="J2886" s="84">
        <f t="shared" si="92"/>
        <v>0</v>
      </c>
      <c r="K2886" s="84">
        <f t="shared" si="93"/>
        <v>0</v>
      </c>
      <c r="L2886" s="61" t="e">
        <f>VLOOKUP(K2886,[1]Mapping!$J$3:$Q$351,8,FALSE)</f>
        <v>#N/A</v>
      </c>
      <c r="M2886" t="s">
        <v>83</v>
      </c>
    </row>
    <row r="2887" spans="5:13" hidden="1" x14ac:dyDescent="0.35">
      <c r="E2887" s="81"/>
      <c r="I2887" s="83" t="e">
        <f>VLOOKUP(E2887,[1]Mapping!$A$3:$B$14,2,FALSE)</f>
        <v>#N/A</v>
      </c>
      <c r="J2887" s="84">
        <f t="shared" si="92"/>
        <v>0</v>
      </c>
      <c r="K2887" s="84">
        <f t="shared" si="93"/>
        <v>0</v>
      </c>
      <c r="L2887" s="61" t="e">
        <f>VLOOKUP(K2887,[1]Mapping!$J$3:$Q$351,8,FALSE)</f>
        <v>#N/A</v>
      </c>
      <c r="M2887" t="s">
        <v>83</v>
      </c>
    </row>
    <row r="2888" spans="5:13" hidden="1" x14ac:dyDescent="0.35">
      <c r="E2888" s="81"/>
      <c r="I2888" s="83" t="e">
        <f>VLOOKUP(E2888,[1]Mapping!$A$3:$B$14,2,FALSE)</f>
        <v>#N/A</v>
      </c>
      <c r="J2888" s="84">
        <f t="shared" si="92"/>
        <v>0</v>
      </c>
      <c r="K2888" s="84">
        <f t="shared" si="93"/>
        <v>0</v>
      </c>
      <c r="L2888" s="61" t="e">
        <f>VLOOKUP(K2888,[1]Mapping!$J$3:$Q$351,8,FALSE)</f>
        <v>#N/A</v>
      </c>
      <c r="M2888" t="s">
        <v>83</v>
      </c>
    </row>
    <row r="2889" spans="5:13" hidden="1" x14ac:dyDescent="0.35">
      <c r="E2889" s="81"/>
      <c r="I2889" s="83" t="e">
        <f>VLOOKUP(E2889,[1]Mapping!$A$3:$B$14,2,FALSE)</f>
        <v>#N/A</v>
      </c>
      <c r="J2889" s="84">
        <f t="shared" si="92"/>
        <v>0</v>
      </c>
      <c r="K2889" s="84">
        <f t="shared" si="93"/>
        <v>0</v>
      </c>
      <c r="L2889" s="61" t="e">
        <f>VLOOKUP(K2889,[1]Mapping!$J$3:$Q$351,8,FALSE)</f>
        <v>#N/A</v>
      </c>
      <c r="M2889" t="s">
        <v>83</v>
      </c>
    </row>
    <row r="2890" spans="5:13" hidden="1" x14ac:dyDescent="0.35">
      <c r="E2890" s="81"/>
      <c r="I2890" s="83" t="e">
        <f>VLOOKUP(E2890,[1]Mapping!$A$3:$B$14,2,FALSE)</f>
        <v>#N/A</v>
      </c>
      <c r="J2890" s="84">
        <f t="shared" si="92"/>
        <v>0</v>
      </c>
      <c r="K2890" s="84">
        <f t="shared" si="93"/>
        <v>0</v>
      </c>
      <c r="L2890" s="61" t="e">
        <f>VLOOKUP(K2890,[1]Mapping!$J$3:$Q$351,8,FALSE)</f>
        <v>#N/A</v>
      </c>
      <c r="M2890" t="s">
        <v>83</v>
      </c>
    </row>
    <row r="2891" spans="5:13" hidden="1" x14ac:dyDescent="0.35">
      <c r="E2891" s="81"/>
      <c r="I2891" s="83" t="e">
        <f>VLOOKUP(E2891,[1]Mapping!$A$3:$B$14,2,FALSE)</f>
        <v>#N/A</v>
      </c>
      <c r="J2891" s="84">
        <f t="shared" si="92"/>
        <v>0</v>
      </c>
      <c r="K2891" s="84">
        <f t="shared" si="93"/>
        <v>0</v>
      </c>
      <c r="L2891" s="61" t="e">
        <f>VLOOKUP(K2891,[1]Mapping!$J$3:$Q$351,8,FALSE)</f>
        <v>#N/A</v>
      </c>
      <c r="M2891" t="s">
        <v>83</v>
      </c>
    </row>
    <row r="2892" spans="5:13" hidden="1" x14ac:dyDescent="0.35">
      <c r="E2892" s="81"/>
      <c r="I2892" s="83" t="e">
        <f>VLOOKUP(E2892,[1]Mapping!$A$3:$B$14,2,FALSE)</f>
        <v>#N/A</v>
      </c>
      <c r="J2892" s="84">
        <f t="shared" si="92"/>
        <v>0</v>
      </c>
      <c r="K2892" s="84">
        <f t="shared" si="93"/>
        <v>0</v>
      </c>
      <c r="L2892" s="61" t="e">
        <f>VLOOKUP(K2892,[1]Mapping!$J$3:$Q$351,8,FALSE)</f>
        <v>#N/A</v>
      </c>
      <c r="M2892" t="s">
        <v>83</v>
      </c>
    </row>
    <row r="2893" spans="5:13" hidden="1" x14ac:dyDescent="0.35">
      <c r="E2893" s="81"/>
      <c r="I2893" s="83" t="e">
        <f>VLOOKUP(E2893,[1]Mapping!$A$3:$B$14,2,FALSE)</f>
        <v>#N/A</v>
      </c>
      <c r="J2893" s="84">
        <f t="shared" si="92"/>
        <v>0</v>
      </c>
      <c r="K2893" s="84">
        <f t="shared" si="93"/>
        <v>0</v>
      </c>
      <c r="L2893" s="61" t="e">
        <f>VLOOKUP(K2893,[1]Mapping!$J$3:$Q$351,8,FALSE)</f>
        <v>#N/A</v>
      </c>
      <c r="M2893" t="s">
        <v>83</v>
      </c>
    </row>
    <row r="2894" spans="5:13" hidden="1" x14ac:dyDescent="0.35">
      <c r="E2894" s="81"/>
      <c r="I2894" s="83" t="e">
        <f>VLOOKUP(E2894,[1]Mapping!$A$3:$B$14,2,FALSE)</f>
        <v>#N/A</v>
      </c>
      <c r="J2894" s="84">
        <f t="shared" si="92"/>
        <v>0</v>
      </c>
      <c r="K2894" s="84">
        <f t="shared" si="93"/>
        <v>0</v>
      </c>
      <c r="L2894" s="61" t="e">
        <f>VLOOKUP(K2894,[1]Mapping!$J$3:$Q$351,8,FALSE)</f>
        <v>#N/A</v>
      </c>
      <c r="M2894" t="s">
        <v>83</v>
      </c>
    </row>
    <row r="2895" spans="5:13" hidden="1" x14ac:dyDescent="0.35">
      <c r="E2895" s="81"/>
      <c r="I2895" s="83" t="e">
        <f>VLOOKUP(E2895,[1]Mapping!$A$3:$B$14,2,FALSE)</f>
        <v>#N/A</v>
      </c>
      <c r="J2895" s="84">
        <f t="shared" si="92"/>
        <v>0</v>
      </c>
      <c r="K2895" s="84">
        <f t="shared" si="93"/>
        <v>0</v>
      </c>
      <c r="L2895" s="61" t="e">
        <f>VLOOKUP(K2895,[1]Mapping!$J$3:$Q$351,8,FALSE)</f>
        <v>#N/A</v>
      </c>
      <c r="M2895" t="s">
        <v>83</v>
      </c>
    </row>
    <row r="2896" spans="5:13" hidden="1" x14ac:dyDescent="0.35">
      <c r="E2896" s="81"/>
      <c r="I2896" s="83" t="e">
        <f>VLOOKUP(E2896,[1]Mapping!$A$3:$B$14,2,FALSE)</f>
        <v>#N/A</v>
      </c>
      <c r="J2896" s="84">
        <f t="shared" si="92"/>
        <v>0</v>
      </c>
      <c r="K2896" s="84">
        <f t="shared" si="93"/>
        <v>0</v>
      </c>
      <c r="L2896" s="61" t="e">
        <f>VLOOKUP(K2896,[1]Mapping!$J$3:$Q$351,8,FALSE)</f>
        <v>#N/A</v>
      </c>
      <c r="M2896" t="s">
        <v>83</v>
      </c>
    </row>
    <row r="2897" spans="5:13" hidden="1" x14ac:dyDescent="0.35">
      <c r="E2897" s="81"/>
      <c r="I2897" s="83" t="e">
        <f>VLOOKUP(E2897,[1]Mapping!$A$3:$B$14,2,FALSE)</f>
        <v>#N/A</v>
      </c>
      <c r="J2897" s="84">
        <f t="shared" si="92"/>
        <v>0</v>
      </c>
      <c r="K2897" s="84">
        <f t="shared" si="93"/>
        <v>0</v>
      </c>
      <c r="L2897" s="61" t="e">
        <f>VLOOKUP(K2897,[1]Mapping!$J$3:$Q$351,8,FALSE)</f>
        <v>#N/A</v>
      </c>
      <c r="M2897" t="s">
        <v>83</v>
      </c>
    </row>
    <row r="2898" spans="5:13" hidden="1" x14ac:dyDescent="0.35">
      <c r="E2898" s="81"/>
      <c r="I2898" s="83" t="e">
        <f>VLOOKUP(E2898,[1]Mapping!$A$3:$B$14,2,FALSE)</f>
        <v>#N/A</v>
      </c>
      <c r="J2898" s="84">
        <f t="shared" si="92"/>
        <v>0</v>
      </c>
      <c r="K2898" s="84">
        <f t="shared" si="93"/>
        <v>0</v>
      </c>
      <c r="L2898" s="61" t="e">
        <f>VLOOKUP(K2898,[1]Mapping!$J$3:$Q$351,8,FALSE)</f>
        <v>#N/A</v>
      </c>
      <c r="M2898" t="s">
        <v>83</v>
      </c>
    </row>
    <row r="2899" spans="5:13" hidden="1" x14ac:dyDescent="0.35">
      <c r="E2899" s="81"/>
      <c r="I2899" s="83" t="e">
        <f>VLOOKUP(E2899,[1]Mapping!$A$3:$B$14,2,FALSE)</f>
        <v>#N/A</v>
      </c>
      <c r="J2899" s="84">
        <f t="shared" si="92"/>
        <v>0</v>
      </c>
      <c r="K2899" s="84">
        <f t="shared" si="93"/>
        <v>0</v>
      </c>
      <c r="L2899" s="61" t="e">
        <f>VLOOKUP(K2899,[1]Mapping!$J$3:$Q$351,8,FALSE)</f>
        <v>#N/A</v>
      </c>
      <c r="M2899" t="s">
        <v>83</v>
      </c>
    </row>
    <row r="2900" spans="5:13" hidden="1" x14ac:dyDescent="0.35">
      <c r="E2900" s="81"/>
      <c r="I2900" s="83" t="e">
        <f>VLOOKUP(E2900,[1]Mapping!$A$3:$B$14,2,FALSE)</f>
        <v>#N/A</v>
      </c>
      <c r="J2900" s="84">
        <f t="shared" si="92"/>
        <v>0</v>
      </c>
      <c r="K2900" s="84">
        <f t="shared" si="93"/>
        <v>0</v>
      </c>
      <c r="L2900" s="61" t="e">
        <f>VLOOKUP(K2900,[1]Mapping!$J$3:$Q$351,8,FALSE)</f>
        <v>#N/A</v>
      </c>
      <c r="M2900" t="s">
        <v>83</v>
      </c>
    </row>
    <row r="2901" spans="5:13" hidden="1" x14ac:dyDescent="0.35">
      <c r="E2901" s="81"/>
      <c r="I2901" s="83" t="e">
        <f>VLOOKUP(E2901,[1]Mapping!$A$3:$B$14,2,FALSE)</f>
        <v>#N/A</v>
      </c>
      <c r="J2901" s="84">
        <f t="shared" si="92"/>
        <v>0</v>
      </c>
      <c r="K2901" s="84">
        <f t="shared" si="93"/>
        <v>0</v>
      </c>
      <c r="L2901" s="61" t="e">
        <f>VLOOKUP(K2901,[1]Mapping!$J$3:$Q$351,8,FALSE)</f>
        <v>#N/A</v>
      </c>
      <c r="M2901" t="s">
        <v>83</v>
      </c>
    </row>
    <row r="2902" spans="5:13" hidden="1" x14ac:dyDescent="0.35">
      <c r="E2902" s="81"/>
      <c r="I2902" s="83" t="e">
        <f>VLOOKUP(E2902,[1]Mapping!$A$3:$B$14,2,FALSE)</f>
        <v>#N/A</v>
      </c>
      <c r="J2902" s="84">
        <f t="shared" si="92"/>
        <v>0</v>
      </c>
      <c r="K2902" s="84">
        <f t="shared" si="93"/>
        <v>0</v>
      </c>
      <c r="L2902" s="61" t="e">
        <f>VLOOKUP(K2902,[1]Mapping!$J$3:$Q$351,8,FALSE)</f>
        <v>#N/A</v>
      </c>
      <c r="M2902" t="s">
        <v>83</v>
      </c>
    </row>
    <row r="2903" spans="5:13" hidden="1" x14ac:dyDescent="0.35">
      <c r="E2903" s="81"/>
      <c r="I2903" s="83" t="e">
        <f>VLOOKUP(E2903,[1]Mapping!$A$3:$B$14,2,FALSE)</f>
        <v>#N/A</v>
      </c>
      <c r="J2903" s="84">
        <f t="shared" si="92"/>
        <v>0</v>
      </c>
      <c r="K2903" s="84">
        <f t="shared" si="93"/>
        <v>0</v>
      </c>
      <c r="L2903" s="61" t="e">
        <f>VLOOKUP(K2903,[1]Mapping!$J$3:$Q$351,8,FALSE)</f>
        <v>#N/A</v>
      </c>
      <c r="M2903" t="s">
        <v>83</v>
      </c>
    </row>
    <row r="2904" spans="5:13" hidden="1" x14ac:dyDescent="0.35">
      <c r="E2904" s="81"/>
      <c r="I2904" s="83" t="e">
        <f>VLOOKUP(E2904,[1]Mapping!$A$3:$B$14,2,FALSE)</f>
        <v>#N/A</v>
      </c>
      <c r="J2904" s="84">
        <f t="shared" si="92"/>
        <v>0</v>
      </c>
      <c r="K2904" s="84">
        <f t="shared" si="93"/>
        <v>0</v>
      </c>
      <c r="L2904" s="61" t="e">
        <f>VLOOKUP(K2904,[1]Mapping!$J$3:$Q$351,8,FALSE)</f>
        <v>#N/A</v>
      </c>
      <c r="M2904" t="s">
        <v>83</v>
      </c>
    </row>
    <row r="2905" spans="5:13" hidden="1" x14ac:dyDescent="0.35">
      <c r="E2905" s="81"/>
      <c r="I2905" s="83" t="e">
        <f>VLOOKUP(E2905,[1]Mapping!$A$3:$B$14,2,FALSE)</f>
        <v>#N/A</v>
      </c>
      <c r="J2905" s="84">
        <f t="shared" si="92"/>
        <v>0</v>
      </c>
      <c r="K2905" s="84">
        <f t="shared" si="93"/>
        <v>0</v>
      </c>
      <c r="L2905" s="61" t="e">
        <f>VLOOKUP(K2905,[1]Mapping!$J$3:$Q$351,8,FALSE)</f>
        <v>#N/A</v>
      </c>
      <c r="M2905" t="s">
        <v>83</v>
      </c>
    </row>
    <row r="2906" spans="5:13" hidden="1" x14ac:dyDescent="0.35">
      <c r="E2906" s="81"/>
      <c r="I2906" s="83" t="e">
        <f>VLOOKUP(E2906,[1]Mapping!$A$3:$B$14,2,FALSE)</f>
        <v>#N/A</v>
      </c>
      <c r="J2906" s="84">
        <f t="shared" si="92"/>
        <v>0</v>
      </c>
      <c r="K2906" s="84">
        <f t="shared" si="93"/>
        <v>0</v>
      </c>
      <c r="L2906" s="61" t="e">
        <f>VLOOKUP(K2906,[1]Mapping!$J$3:$Q$351,8,FALSE)</f>
        <v>#N/A</v>
      </c>
      <c r="M2906" t="s">
        <v>83</v>
      </c>
    </row>
    <row r="2907" spans="5:13" hidden="1" x14ac:dyDescent="0.35">
      <c r="E2907" s="81"/>
      <c r="I2907" s="83" t="e">
        <f>VLOOKUP(E2907,[1]Mapping!$A$3:$B$14,2,FALSE)</f>
        <v>#N/A</v>
      </c>
      <c r="J2907" s="84">
        <f t="shared" si="92"/>
        <v>0</v>
      </c>
      <c r="K2907" s="84">
        <f t="shared" si="93"/>
        <v>0</v>
      </c>
      <c r="L2907" s="61" t="e">
        <f>VLOOKUP(K2907,[1]Mapping!$J$3:$Q$351,8,FALSE)</f>
        <v>#N/A</v>
      </c>
      <c r="M2907" t="s">
        <v>83</v>
      </c>
    </row>
    <row r="2908" spans="5:13" hidden="1" x14ac:dyDescent="0.35">
      <c r="E2908" s="81"/>
      <c r="I2908" s="83" t="e">
        <f>VLOOKUP(E2908,[1]Mapping!$A$3:$B$14,2,FALSE)</f>
        <v>#N/A</v>
      </c>
      <c r="J2908" s="84">
        <f t="shared" si="92"/>
        <v>0</v>
      </c>
      <c r="K2908" s="84">
        <f t="shared" si="93"/>
        <v>0</v>
      </c>
      <c r="L2908" s="61" t="e">
        <f>VLOOKUP(K2908,[1]Mapping!$J$3:$Q$351,8,FALSE)</f>
        <v>#N/A</v>
      </c>
      <c r="M2908" t="s">
        <v>83</v>
      </c>
    </row>
    <row r="2909" spans="5:13" hidden="1" x14ac:dyDescent="0.35">
      <c r="E2909" s="81"/>
      <c r="I2909" s="83" t="e">
        <f>VLOOKUP(E2909,[1]Mapping!$A$3:$B$14,2,FALSE)</f>
        <v>#N/A</v>
      </c>
      <c r="J2909" s="84">
        <f t="shared" si="92"/>
        <v>0</v>
      </c>
      <c r="K2909" s="84">
        <f t="shared" si="93"/>
        <v>0</v>
      </c>
      <c r="L2909" s="61" t="e">
        <f>VLOOKUP(K2909,[1]Mapping!$J$3:$Q$351,8,FALSE)</f>
        <v>#N/A</v>
      </c>
      <c r="M2909" t="s">
        <v>83</v>
      </c>
    </row>
    <row r="2910" spans="5:13" hidden="1" x14ac:dyDescent="0.35">
      <c r="E2910" s="81"/>
      <c r="I2910" s="83" t="e">
        <f>VLOOKUP(E2910,[1]Mapping!$A$3:$B$14,2,FALSE)</f>
        <v>#N/A</v>
      </c>
      <c r="J2910" s="84">
        <f t="shared" si="92"/>
        <v>0</v>
      </c>
      <c r="K2910" s="84">
        <f t="shared" si="93"/>
        <v>0</v>
      </c>
      <c r="L2910" s="61" t="e">
        <f>VLOOKUP(K2910,[1]Mapping!$J$3:$Q$351,8,FALSE)</f>
        <v>#N/A</v>
      </c>
      <c r="M2910" t="s">
        <v>83</v>
      </c>
    </row>
    <row r="2911" spans="5:13" hidden="1" x14ac:dyDescent="0.35">
      <c r="E2911" s="81"/>
      <c r="I2911" s="83" t="e">
        <f>VLOOKUP(E2911,[1]Mapping!$A$3:$B$14,2,FALSE)</f>
        <v>#N/A</v>
      </c>
      <c r="J2911" s="84">
        <f t="shared" si="92"/>
        <v>0</v>
      </c>
      <c r="K2911" s="84">
        <f t="shared" si="93"/>
        <v>0</v>
      </c>
      <c r="L2911" s="61" t="e">
        <f>VLOOKUP(K2911,[1]Mapping!$J$3:$Q$351,8,FALSE)</f>
        <v>#N/A</v>
      </c>
      <c r="M2911" t="s">
        <v>83</v>
      </c>
    </row>
    <row r="2912" spans="5:13" hidden="1" x14ac:dyDescent="0.35">
      <c r="E2912" s="81"/>
      <c r="I2912" s="83" t="e">
        <f>VLOOKUP(E2912,[1]Mapping!$A$3:$B$14,2,FALSE)</f>
        <v>#N/A</v>
      </c>
      <c r="J2912" s="84">
        <f t="shared" si="92"/>
        <v>0</v>
      </c>
      <c r="K2912" s="84">
        <f t="shared" si="93"/>
        <v>0</v>
      </c>
      <c r="L2912" s="61" t="e">
        <f>VLOOKUP(K2912,[1]Mapping!$J$3:$Q$351,8,FALSE)</f>
        <v>#N/A</v>
      </c>
      <c r="M2912" t="s">
        <v>83</v>
      </c>
    </row>
    <row r="2913" spans="5:13" hidden="1" x14ac:dyDescent="0.35">
      <c r="E2913" s="81"/>
      <c r="I2913" s="83" t="e">
        <f>VLOOKUP(E2913,[1]Mapping!$A$3:$B$14,2,FALSE)</f>
        <v>#N/A</v>
      </c>
      <c r="J2913" s="84">
        <f t="shared" si="92"/>
        <v>0</v>
      </c>
      <c r="K2913" s="84">
        <f t="shared" si="93"/>
        <v>0</v>
      </c>
      <c r="L2913" s="61" t="e">
        <f>VLOOKUP(K2913,[1]Mapping!$J$3:$Q$351,8,FALSE)</f>
        <v>#N/A</v>
      </c>
      <c r="M2913" t="s">
        <v>83</v>
      </c>
    </row>
    <row r="2914" spans="5:13" hidden="1" x14ac:dyDescent="0.35">
      <c r="E2914" s="81"/>
      <c r="I2914" s="83" t="e">
        <f>VLOOKUP(E2914,[1]Mapping!$A$3:$B$14,2,FALSE)</f>
        <v>#N/A</v>
      </c>
      <c r="J2914" s="84">
        <f t="shared" si="92"/>
        <v>0</v>
      </c>
      <c r="K2914" s="84">
        <f t="shared" si="93"/>
        <v>0</v>
      </c>
      <c r="L2914" s="61" t="e">
        <f>VLOOKUP(K2914,[1]Mapping!$J$3:$Q$351,8,FALSE)</f>
        <v>#N/A</v>
      </c>
      <c r="M2914" t="s">
        <v>83</v>
      </c>
    </row>
    <row r="2915" spans="5:13" hidden="1" x14ac:dyDescent="0.35">
      <c r="E2915" s="81"/>
      <c r="I2915" s="83" t="e">
        <f>VLOOKUP(E2915,[1]Mapping!$A$3:$B$14,2,FALSE)</f>
        <v>#N/A</v>
      </c>
      <c r="J2915" s="84">
        <f t="shared" si="92"/>
        <v>0</v>
      </c>
      <c r="K2915" s="84">
        <f t="shared" si="93"/>
        <v>0</v>
      </c>
      <c r="L2915" s="61" t="e">
        <f>VLOOKUP(K2915,[1]Mapping!$J$3:$Q$351,8,FALSE)</f>
        <v>#N/A</v>
      </c>
      <c r="M2915" t="s">
        <v>83</v>
      </c>
    </row>
    <row r="2916" spans="5:13" hidden="1" x14ac:dyDescent="0.35">
      <c r="E2916" s="81"/>
      <c r="I2916" s="83" t="e">
        <f>VLOOKUP(E2916,[1]Mapping!$A$3:$B$14,2,FALSE)</f>
        <v>#N/A</v>
      </c>
      <c r="J2916" s="84">
        <f t="shared" si="92"/>
        <v>0</v>
      </c>
      <c r="K2916" s="84">
        <f t="shared" si="93"/>
        <v>0</v>
      </c>
      <c r="L2916" s="61" t="e">
        <f>VLOOKUP(K2916,[1]Mapping!$J$3:$Q$351,8,FALSE)</f>
        <v>#N/A</v>
      </c>
      <c r="M2916" t="s">
        <v>83</v>
      </c>
    </row>
    <row r="2917" spans="5:13" hidden="1" x14ac:dyDescent="0.35">
      <c r="E2917" s="81"/>
      <c r="I2917" s="83" t="e">
        <f>VLOOKUP(E2917,[1]Mapping!$A$3:$B$14,2,FALSE)</f>
        <v>#N/A</v>
      </c>
      <c r="J2917" s="84">
        <f t="shared" si="92"/>
        <v>0</v>
      </c>
      <c r="K2917" s="84">
        <f t="shared" si="93"/>
        <v>0</v>
      </c>
      <c r="L2917" s="61" t="e">
        <f>VLOOKUP(K2917,[1]Mapping!$J$3:$Q$351,8,FALSE)</f>
        <v>#N/A</v>
      </c>
      <c r="M2917" t="s">
        <v>83</v>
      </c>
    </row>
    <row r="2918" spans="5:13" hidden="1" x14ac:dyDescent="0.35">
      <c r="E2918" s="81"/>
      <c r="I2918" s="83" t="e">
        <f>VLOOKUP(E2918,[1]Mapping!$A$3:$B$14,2,FALSE)</f>
        <v>#N/A</v>
      </c>
      <c r="J2918" s="84">
        <f t="shared" si="92"/>
        <v>0</v>
      </c>
      <c r="K2918" s="84">
        <f t="shared" si="93"/>
        <v>0</v>
      </c>
      <c r="L2918" s="61" t="e">
        <f>VLOOKUP(K2918,[1]Mapping!$J$3:$Q$351,8,FALSE)</f>
        <v>#N/A</v>
      </c>
      <c r="M2918" t="s">
        <v>83</v>
      </c>
    </row>
    <row r="2919" spans="5:13" hidden="1" x14ac:dyDescent="0.35">
      <c r="E2919" s="81"/>
      <c r="I2919" s="83" t="e">
        <f>VLOOKUP(E2919,[1]Mapping!$A$3:$B$14,2,FALSE)</f>
        <v>#N/A</v>
      </c>
      <c r="J2919" s="84">
        <f t="shared" si="92"/>
        <v>0</v>
      </c>
      <c r="K2919" s="84">
        <f t="shared" si="93"/>
        <v>0</v>
      </c>
      <c r="L2919" s="61" t="e">
        <f>VLOOKUP(K2919,[1]Mapping!$J$3:$Q$351,8,FALSE)</f>
        <v>#N/A</v>
      </c>
      <c r="M2919" t="s">
        <v>83</v>
      </c>
    </row>
    <row r="2920" spans="5:13" hidden="1" x14ac:dyDescent="0.35">
      <c r="E2920" s="81"/>
      <c r="I2920" s="83" t="e">
        <f>VLOOKUP(E2920,[1]Mapping!$A$3:$B$14,2,FALSE)</f>
        <v>#N/A</v>
      </c>
      <c r="J2920" s="84">
        <f t="shared" si="92"/>
        <v>0</v>
      </c>
      <c r="K2920" s="84">
        <f t="shared" si="93"/>
        <v>0</v>
      </c>
      <c r="L2920" s="61" t="e">
        <f>VLOOKUP(K2920,[1]Mapping!$J$3:$Q$351,8,FALSE)</f>
        <v>#N/A</v>
      </c>
      <c r="M2920" t="s">
        <v>83</v>
      </c>
    </row>
    <row r="2921" spans="5:13" hidden="1" x14ac:dyDescent="0.35">
      <c r="E2921" s="81"/>
      <c r="I2921" s="83" t="e">
        <f>VLOOKUP(E2921,[1]Mapping!$A$3:$B$14,2,FALSE)</f>
        <v>#N/A</v>
      </c>
      <c r="J2921" s="84">
        <f t="shared" si="92"/>
        <v>0</v>
      </c>
      <c r="K2921" s="84">
        <f t="shared" si="93"/>
        <v>0</v>
      </c>
      <c r="L2921" s="61" t="e">
        <f>VLOOKUP(K2921,[1]Mapping!$J$3:$Q$351,8,FALSE)</f>
        <v>#N/A</v>
      </c>
      <c r="M2921" t="s">
        <v>83</v>
      </c>
    </row>
    <row r="2922" spans="5:13" hidden="1" x14ac:dyDescent="0.35">
      <c r="E2922" s="81"/>
      <c r="I2922" s="83" t="e">
        <f>VLOOKUP(E2922,[1]Mapping!$A$3:$B$14,2,FALSE)</f>
        <v>#N/A</v>
      </c>
      <c r="J2922" s="84">
        <f t="shared" si="92"/>
        <v>0</v>
      </c>
      <c r="K2922" s="84">
        <f t="shared" si="93"/>
        <v>0</v>
      </c>
      <c r="L2922" s="61" t="e">
        <f>VLOOKUP(K2922,[1]Mapping!$J$3:$Q$351,8,FALSE)</f>
        <v>#N/A</v>
      </c>
      <c r="M2922" t="s">
        <v>83</v>
      </c>
    </row>
    <row r="2923" spans="5:13" hidden="1" x14ac:dyDescent="0.35">
      <c r="E2923" s="81"/>
      <c r="I2923" s="83" t="e">
        <f>VLOOKUP(E2923,[1]Mapping!$A$3:$B$14,2,FALSE)</f>
        <v>#N/A</v>
      </c>
      <c r="J2923" s="84">
        <f t="shared" si="92"/>
        <v>0</v>
      </c>
      <c r="K2923" s="84">
        <f t="shared" si="93"/>
        <v>0</v>
      </c>
      <c r="L2923" s="61" t="e">
        <f>VLOOKUP(K2923,[1]Mapping!$J$3:$Q$351,8,FALSE)</f>
        <v>#N/A</v>
      </c>
      <c r="M2923" t="s">
        <v>83</v>
      </c>
    </row>
    <row r="2924" spans="5:13" hidden="1" x14ac:dyDescent="0.35">
      <c r="E2924" s="81"/>
      <c r="I2924" s="83" t="e">
        <f>VLOOKUP(E2924,[1]Mapping!$A$3:$B$14,2,FALSE)</f>
        <v>#N/A</v>
      </c>
      <c r="J2924" s="84">
        <f t="shared" si="92"/>
        <v>0</v>
      </c>
      <c r="K2924" s="84">
        <f t="shared" si="93"/>
        <v>0</v>
      </c>
      <c r="L2924" s="61" t="e">
        <f>VLOOKUP(K2924,[1]Mapping!$J$3:$Q$351,8,FALSE)</f>
        <v>#N/A</v>
      </c>
      <c r="M2924" t="s">
        <v>83</v>
      </c>
    </row>
    <row r="2925" spans="5:13" hidden="1" x14ac:dyDescent="0.35">
      <c r="E2925" s="81"/>
      <c r="I2925" s="83" t="e">
        <f>VLOOKUP(E2925,[1]Mapping!$A$3:$B$14,2,FALSE)</f>
        <v>#N/A</v>
      </c>
      <c r="J2925" s="84">
        <f t="shared" si="92"/>
        <v>0</v>
      </c>
      <c r="K2925" s="84">
        <f t="shared" si="93"/>
        <v>0</v>
      </c>
      <c r="L2925" s="61" t="e">
        <f>VLOOKUP(K2925,[1]Mapping!$J$3:$Q$351,8,FALSE)</f>
        <v>#N/A</v>
      </c>
      <c r="M2925" t="s">
        <v>83</v>
      </c>
    </row>
    <row r="2926" spans="5:13" hidden="1" x14ac:dyDescent="0.35">
      <c r="E2926" s="81"/>
      <c r="I2926" s="83" t="e">
        <f>VLOOKUP(E2926,[1]Mapping!$A$3:$B$14,2,FALSE)</f>
        <v>#N/A</v>
      </c>
      <c r="J2926" s="84">
        <f t="shared" si="92"/>
        <v>0</v>
      </c>
      <c r="K2926" s="84">
        <f t="shared" si="93"/>
        <v>0</v>
      </c>
      <c r="L2926" s="61" t="e">
        <f>VLOOKUP(K2926,[1]Mapping!$J$3:$Q$351,8,FALSE)</f>
        <v>#N/A</v>
      </c>
      <c r="M2926" t="s">
        <v>83</v>
      </c>
    </row>
    <row r="2927" spans="5:13" hidden="1" x14ac:dyDescent="0.35">
      <c r="E2927" s="81"/>
      <c r="I2927" s="83" t="e">
        <f>VLOOKUP(E2927,[1]Mapping!$A$3:$B$14,2,FALSE)</f>
        <v>#N/A</v>
      </c>
      <c r="J2927" s="84">
        <f t="shared" si="92"/>
        <v>0</v>
      </c>
      <c r="K2927" s="84">
        <f t="shared" si="93"/>
        <v>0</v>
      </c>
      <c r="L2927" s="61" t="e">
        <f>VLOOKUP(K2927,[1]Mapping!$J$3:$Q$351,8,FALSE)</f>
        <v>#N/A</v>
      </c>
      <c r="M2927" t="s">
        <v>83</v>
      </c>
    </row>
    <row r="2928" spans="5:13" hidden="1" x14ac:dyDescent="0.35">
      <c r="E2928" s="81"/>
      <c r="I2928" s="83" t="e">
        <f>VLOOKUP(E2928,[1]Mapping!$A$3:$B$14,2,FALSE)</f>
        <v>#N/A</v>
      </c>
      <c r="J2928" s="84">
        <f t="shared" si="92"/>
        <v>0</v>
      </c>
      <c r="K2928" s="84">
        <f t="shared" si="93"/>
        <v>0</v>
      </c>
      <c r="L2928" s="61" t="e">
        <f>VLOOKUP(K2928,[1]Mapping!$J$3:$Q$351,8,FALSE)</f>
        <v>#N/A</v>
      </c>
      <c r="M2928" t="s">
        <v>83</v>
      </c>
    </row>
    <row r="2929" spans="5:13" hidden="1" x14ac:dyDescent="0.35">
      <c r="E2929" s="81"/>
      <c r="I2929" s="83" t="e">
        <f>VLOOKUP(E2929,[1]Mapping!$A$3:$B$14,2,FALSE)</f>
        <v>#N/A</v>
      </c>
      <c r="J2929" s="84">
        <f t="shared" si="92"/>
        <v>0</v>
      </c>
      <c r="K2929" s="84">
        <f t="shared" si="93"/>
        <v>0</v>
      </c>
      <c r="L2929" s="61" t="e">
        <f>VLOOKUP(K2929,[1]Mapping!$J$3:$Q$351,8,FALSE)</f>
        <v>#N/A</v>
      </c>
      <c r="M2929" t="s">
        <v>83</v>
      </c>
    </row>
    <row r="2930" spans="5:13" hidden="1" x14ac:dyDescent="0.35">
      <c r="E2930" s="81"/>
      <c r="I2930" s="83" t="e">
        <f>VLOOKUP(E2930,[1]Mapping!$A$3:$B$14,2,FALSE)</f>
        <v>#N/A</v>
      </c>
      <c r="J2930" s="84">
        <f t="shared" si="92"/>
        <v>0</v>
      </c>
      <c r="K2930" s="84">
        <f t="shared" si="93"/>
        <v>0</v>
      </c>
      <c r="L2930" s="61" t="e">
        <f>VLOOKUP(K2930,[1]Mapping!$J$3:$Q$351,8,FALSE)</f>
        <v>#N/A</v>
      </c>
      <c r="M2930" t="s">
        <v>83</v>
      </c>
    </row>
    <row r="2931" spans="5:13" hidden="1" x14ac:dyDescent="0.35">
      <c r="E2931" s="81"/>
      <c r="I2931" s="83" t="e">
        <f>VLOOKUP(E2931,[1]Mapping!$A$3:$B$14,2,FALSE)</f>
        <v>#N/A</v>
      </c>
      <c r="J2931" s="84">
        <f t="shared" si="92"/>
        <v>0</v>
      </c>
      <c r="K2931" s="84">
        <f t="shared" si="93"/>
        <v>0</v>
      </c>
      <c r="L2931" s="61" t="e">
        <f>VLOOKUP(K2931,[1]Mapping!$J$3:$Q$351,8,FALSE)</f>
        <v>#N/A</v>
      </c>
      <c r="M2931" t="s">
        <v>83</v>
      </c>
    </row>
    <row r="2932" spans="5:13" hidden="1" x14ac:dyDescent="0.35">
      <c r="E2932" s="81"/>
      <c r="I2932" s="83" t="e">
        <f>VLOOKUP(E2932,[1]Mapping!$A$3:$B$14,2,FALSE)</f>
        <v>#N/A</v>
      </c>
      <c r="J2932" s="84">
        <f t="shared" si="92"/>
        <v>0</v>
      </c>
      <c r="K2932" s="84">
        <f t="shared" si="93"/>
        <v>0</v>
      </c>
      <c r="L2932" s="61" t="e">
        <f>VLOOKUP(K2932,[1]Mapping!$J$3:$Q$351,8,FALSE)</f>
        <v>#N/A</v>
      </c>
      <c r="M2932" t="s">
        <v>83</v>
      </c>
    </row>
    <row r="2933" spans="5:13" hidden="1" x14ac:dyDescent="0.35">
      <c r="E2933" s="81"/>
      <c r="I2933" s="83" t="e">
        <f>VLOOKUP(E2933,[1]Mapping!$A$3:$B$14,2,FALSE)</f>
        <v>#N/A</v>
      </c>
      <c r="J2933" s="84">
        <f t="shared" si="92"/>
        <v>0</v>
      </c>
      <c r="K2933" s="84">
        <f t="shared" si="93"/>
        <v>0</v>
      </c>
      <c r="L2933" s="61" t="e">
        <f>VLOOKUP(K2933,[1]Mapping!$J$3:$Q$351,8,FALSE)</f>
        <v>#N/A</v>
      </c>
      <c r="M2933" t="s">
        <v>83</v>
      </c>
    </row>
    <row r="2934" spans="5:13" hidden="1" x14ac:dyDescent="0.35">
      <c r="E2934" s="81"/>
      <c r="I2934" s="83" t="e">
        <f>VLOOKUP(E2934,[1]Mapping!$A$3:$B$14,2,FALSE)</f>
        <v>#N/A</v>
      </c>
      <c r="J2934" s="84">
        <f t="shared" si="92"/>
        <v>0</v>
      </c>
      <c r="K2934" s="84">
        <f t="shared" si="93"/>
        <v>0</v>
      </c>
      <c r="L2934" s="61" t="e">
        <f>VLOOKUP(K2934,[1]Mapping!$J$3:$Q$351,8,FALSE)</f>
        <v>#N/A</v>
      </c>
      <c r="M2934" t="s">
        <v>83</v>
      </c>
    </row>
    <row r="2935" spans="5:13" hidden="1" x14ac:dyDescent="0.35">
      <c r="E2935" s="81"/>
      <c r="I2935" s="83" t="e">
        <f>VLOOKUP(E2935,[1]Mapping!$A$3:$B$14,2,FALSE)</f>
        <v>#N/A</v>
      </c>
      <c r="J2935" s="84">
        <f t="shared" si="92"/>
        <v>0</v>
      </c>
      <c r="K2935" s="84">
        <f t="shared" si="93"/>
        <v>0</v>
      </c>
      <c r="L2935" s="61" t="e">
        <f>VLOOKUP(K2935,[1]Mapping!$J$3:$Q$351,8,FALSE)</f>
        <v>#N/A</v>
      </c>
      <c r="M2935" t="s">
        <v>83</v>
      </c>
    </row>
    <row r="2936" spans="5:13" hidden="1" x14ac:dyDescent="0.35">
      <c r="E2936" s="81"/>
      <c r="I2936" s="83" t="e">
        <f>VLOOKUP(E2936,[1]Mapping!$A$3:$B$14,2,FALSE)</f>
        <v>#N/A</v>
      </c>
      <c r="J2936" s="84">
        <f t="shared" si="92"/>
        <v>0</v>
      </c>
      <c r="K2936" s="84">
        <f t="shared" si="93"/>
        <v>0</v>
      </c>
      <c r="L2936" s="61" t="e">
        <f>VLOOKUP(K2936,[1]Mapping!$J$3:$Q$351,8,FALSE)</f>
        <v>#N/A</v>
      </c>
      <c r="M2936" t="s">
        <v>83</v>
      </c>
    </row>
    <row r="2937" spans="5:13" hidden="1" x14ac:dyDescent="0.35">
      <c r="E2937" s="81"/>
      <c r="I2937" s="83" t="e">
        <f>VLOOKUP(E2937,[1]Mapping!$A$3:$B$14,2,FALSE)</f>
        <v>#N/A</v>
      </c>
      <c r="J2937" s="84">
        <f t="shared" si="92"/>
        <v>0</v>
      </c>
      <c r="K2937" s="84">
        <f t="shared" si="93"/>
        <v>0</v>
      </c>
      <c r="L2937" s="61" t="e">
        <f>VLOOKUP(K2937,[1]Mapping!$J$3:$Q$351,8,FALSE)</f>
        <v>#N/A</v>
      </c>
      <c r="M2937" t="s">
        <v>83</v>
      </c>
    </row>
    <row r="2938" spans="5:13" hidden="1" x14ac:dyDescent="0.35">
      <c r="E2938" s="81"/>
      <c r="I2938" s="83" t="e">
        <f>VLOOKUP(E2938,[1]Mapping!$A$3:$B$14,2,FALSE)</f>
        <v>#N/A</v>
      </c>
      <c r="J2938" s="84">
        <f t="shared" si="92"/>
        <v>0</v>
      </c>
      <c r="K2938" s="84">
        <f t="shared" si="93"/>
        <v>0</v>
      </c>
      <c r="L2938" s="61" t="e">
        <f>VLOOKUP(K2938,[1]Mapping!$J$3:$Q$351,8,FALSE)</f>
        <v>#N/A</v>
      </c>
      <c r="M2938" t="s">
        <v>83</v>
      </c>
    </row>
    <row r="2939" spans="5:13" hidden="1" x14ac:dyDescent="0.35">
      <c r="E2939" s="81"/>
      <c r="I2939" s="83" t="e">
        <f>VLOOKUP(E2939,[1]Mapping!$A$3:$B$14,2,FALSE)</f>
        <v>#N/A</v>
      </c>
      <c r="J2939" s="84">
        <f t="shared" si="92"/>
        <v>0</v>
      </c>
      <c r="K2939" s="84">
        <f t="shared" si="93"/>
        <v>0</v>
      </c>
      <c r="L2939" s="61" t="e">
        <f>VLOOKUP(K2939,[1]Mapping!$J$3:$Q$351,8,FALSE)</f>
        <v>#N/A</v>
      </c>
      <c r="M2939" t="s">
        <v>83</v>
      </c>
    </row>
    <row r="2940" spans="5:13" hidden="1" x14ac:dyDescent="0.35">
      <c r="E2940" s="81"/>
      <c r="I2940" s="83" t="e">
        <f>VLOOKUP(E2940,[1]Mapping!$A$3:$B$14,2,FALSE)</f>
        <v>#N/A</v>
      </c>
      <c r="J2940" s="84">
        <f t="shared" si="92"/>
        <v>0</v>
      </c>
      <c r="K2940" s="84">
        <f t="shared" si="93"/>
        <v>0</v>
      </c>
      <c r="L2940" s="61" t="e">
        <f>VLOOKUP(K2940,[1]Mapping!$J$3:$Q$351,8,FALSE)</f>
        <v>#N/A</v>
      </c>
      <c r="M2940" t="s">
        <v>83</v>
      </c>
    </row>
    <row r="2941" spans="5:13" hidden="1" x14ac:dyDescent="0.35">
      <c r="E2941" s="81"/>
      <c r="I2941" s="83" t="e">
        <f>VLOOKUP(E2941,[1]Mapping!$A$3:$B$14,2,FALSE)</f>
        <v>#N/A</v>
      </c>
      <c r="J2941" s="84">
        <f t="shared" si="92"/>
        <v>0</v>
      </c>
      <c r="K2941" s="84">
        <f t="shared" si="93"/>
        <v>0</v>
      </c>
      <c r="L2941" s="61" t="e">
        <f>VLOOKUP(K2941,[1]Mapping!$J$3:$Q$351,8,FALSE)</f>
        <v>#N/A</v>
      </c>
      <c r="M2941" t="s">
        <v>83</v>
      </c>
    </row>
    <row r="2942" spans="5:13" hidden="1" x14ac:dyDescent="0.35">
      <c r="E2942" s="81"/>
      <c r="I2942" s="83" t="e">
        <f>VLOOKUP(E2942,[1]Mapping!$A$3:$B$14,2,FALSE)</f>
        <v>#N/A</v>
      </c>
      <c r="J2942" s="84">
        <f t="shared" si="92"/>
        <v>0</v>
      </c>
      <c r="K2942" s="84">
        <f t="shared" si="93"/>
        <v>0</v>
      </c>
      <c r="L2942" s="61" t="e">
        <f>VLOOKUP(K2942,[1]Mapping!$J$3:$Q$351,8,FALSE)</f>
        <v>#N/A</v>
      </c>
      <c r="M2942" t="s">
        <v>83</v>
      </c>
    </row>
    <row r="2943" spans="5:13" hidden="1" x14ac:dyDescent="0.35">
      <c r="E2943" s="81"/>
      <c r="I2943" s="83" t="e">
        <f>VLOOKUP(E2943,[1]Mapping!$A$3:$B$14,2,FALSE)</f>
        <v>#N/A</v>
      </c>
      <c r="J2943" s="84">
        <f t="shared" si="92"/>
        <v>0</v>
      </c>
      <c r="K2943" s="84">
        <f t="shared" si="93"/>
        <v>0</v>
      </c>
      <c r="L2943" s="61" t="e">
        <f>VLOOKUP(K2943,[1]Mapping!$J$3:$Q$351,8,FALSE)</f>
        <v>#N/A</v>
      </c>
      <c r="M2943" t="s">
        <v>83</v>
      </c>
    </row>
    <row r="2944" spans="5:13" hidden="1" x14ac:dyDescent="0.35">
      <c r="E2944" s="81"/>
      <c r="I2944" s="83" t="e">
        <f>VLOOKUP(E2944,[1]Mapping!$A$3:$B$14,2,FALSE)</f>
        <v>#N/A</v>
      </c>
      <c r="J2944" s="84">
        <f t="shared" si="92"/>
        <v>0</v>
      </c>
      <c r="K2944" s="84">
        <f t="shared" si="93"/>
        <v>0</v>
      </c>
      <c r="L2944" s="61" t="e">
        <f>VLOOKUP(K2944,[1]Mapping!$J$3:$Q$351,8,FALSE)</f>
        <v>#N/A</v>
      </c>
      <c r="M2944" t="s">
        <v>83</v>
      </c>
    </row>
    <row r="2945" spans="5:13" hidden="1" x14ac:dyDescent="0.35">
      <c r="E2945" s="81"/>
      <c r="I2945" s="83" t="e">
        <f>VLOOKUP(E2945,[1]Mapping!$A$3:$B$14,2,FALSE)</f>
        <v>#N/A</v>
      </c>
      <c r="J2945" s="84">
        <f t="shared" si="92"/>
        <v>0</v>
      </c>
      <c r="K2945" s="84">
        <f t="shared" si="93"/>
        <v>0</v>
      </c>
      <c r="L2945" s="61" t="e">
        <f>VLOOKUP(K2945,[1]Mapping!$J$3:$Q$351,8,FALSE)</f>
        <v>#N/A</v>
      </c>
      <c r="M2945" t="s">
        <v>83</v>
      </c>
    </row>
    <row r="2946" spans="5:13" hidden="1" x14ac:dyDescent="0.35">
      <c r="E2946" s="81"/>
      <c r="I2946" s="83" t="e">
        <f>VLOOKUP(E2946,[1]Mapping!$A$3:$B$14,2,FALSE)</f>
        <v>#N/A</v>
      </c>
      <c r="J2946" s="84">
        <f t="shared" si="92"/>
        <v>0</v>
      </c>
      <c r="K2946" s="84">
        <f t="shared" si="93"/>
        <v>0</v>
      </c>
      <c r="L2946" s="61" t="e">
        <f>VLOOKUP(K2946,[1]Mapping!$J$3:$Q$351,8,FALSE)</f>
        <v>#N/A</v>
      </c>
      <c r="M2946" t="s">
        <v>83</v>
      </c>
    </row>
    <row r="2947" spans="5:13" hidden="1" x14ac:dyDescent="0.35">
      <c r="E2947" s="81"/>
      <c r="I2947" s="83" t="e">
        <f>VLOOKUP(E2947,[1]Mapping!$A$3:$B$14,2,FALSE)</f>
        <v>#N/A</v>
      </c>
      <c r="J2947" s="84">
        <f t="shared" si="92"/>
        <v>0</v>
      </c>
      <c r="K2947" s="84">
        <f t="shared" si="93"/>
        <v>0</v>
      </c>
      <c r="L2947" s="61" t="e">
        <f>VLOOKUP(K2947,[1]Mapping!$J$3:$Q$351,8,FALSE)</f>
        <v>#N/A</v>
      </c>
      <c r="M2947" t="s">
        <v>83</v>
      </c>
    </row>
    <row r="2948" spans="5:13" hidden="1" x14ac:dyDescent="0.35">
      <c r="E2948" s="81"/>
      <c r="I2948" s="83" t="e">
        <f>VLOOKUP(E2948,[1]Mapping!$A$3:$B$14,2,FALSE)</f>
        <v>#N/A</v>
      </c>
      <c r="J2948" s="84">
        <f t="shared" ref="J2948:J3011" si="94">VALUE(A2948)</f>
        <v>0</v>
      </c>
      <c r="K2948" s="84">
        <f t="shared" ref="K2948:K3011" si="95">VALUE(C2948)</f>
        <v>0</v>
      </c>
      <c r="L2948" s="61" t="e">
        <f>VLOOKUP(K2948,[1]Mapping!$J$3:$Q$351,8,FALSE)</f>
        <v>#N/A</v>
      </c>
      <c r="M2948" t="s">
        <v>83</v>
      </c>
    </row>
    <row r="2949" spans="5:13" hidden="1" x14ac:dyDescent="0.35">
      <c r="E2949" s="81"/>
      <c r="I2949" s="83" t="e">
        <f>VLOOKUP(E2949,[1]Mapping!$A$3:$B$14,2,FALSE)</f>
        <v>#N/A</v>
      </c>
      <c r="J2949" s="84">
        <f t="shared" si="94"/>
        <v>0</v>
      </c>
      <c r="K2949" s="84">
        <f t="shared" si="95"/>
        <v>0</v>
      </c>
      <c r="L2949" s="61" t="e">
        <f>VLOOKUP(K2949,[1]Mapping!$J$3:$Q$351,8,FALSE)</f>
        <v>#N/A</v>
      </c>
      <c r="M2949" t="s">
        <v>83</v>
      </c>
    </row>
    <row r="2950" spans="5:13" hidden="1" x14ac:dyDescent="0.35">
      <c r="E2950" s="81"/>
      <c r="I2950" s="83" t="e">
        <f>VLOOKUP(E2950,[1]Mapping!$A$3:$B$14,2,FALSE)</f>
        <v>#N/A</v>
      </c>
      <c r="J2950" s="84">
        <f t="shared" si="94"/>
        <v>0</v>
      </c>
      <c r="K2950" s="84">
        <f t="shared" si="95"/>
        <v>0</v>
      </c>
      <c r="L2950" s="61" t="e">
        <f>VLOOKUP(K2950,[1]Mapping!$J$3:$Q$351,8,FALSE)</f>
        <v>#N/A</v>
      </c>
      <c r="M2950" t="s">
        <v>83</v>
      </c>
    </row>
    <row r="2951" spans="5:13" hidden="1" x14ac:dyDescent="0.35">
      <c r="E2951" s="81"/>
      <c r="I2951" s="83" t="e">
        <f>VLOOKUP(E2951,[1]Mapping!$A$3:$B$14,2,FALSE)</f>
        <v>#N/A</v>
      </c>
      <c r="J2951" s="84">
        <f t="shared" si="94"/>
        <v>0</v>
      </c>
      <c r="K2951" s="84">
        <f t="shared" si="95"/>
        <v>0</v>
      </c>
      <c r="L2951" s="61" t="e">
        <f>VLOOKUP(K2951,[1]Mapping!$J$3:$Q$351,8,FALSE)</f>
        <v>#N/A</v>
      </c>
      <c r="M2951" t="s">
        <v>83</v>
      </c>
    </row>
    <row r="2952" spans="5:13" hidden="1" x14ac:dyDescent="0.35">
      <c r="E2952" s="81"/>
      <c r="I2952" s="83" t="e">
        <f>VLOOKUP(E2952,[1]Mapping!$A$3:$B$14,2,FALSE)</f>
        <v>#N/A</v>
      </c>
      <c r="J2952" s="84">
        <f t="shared" si="94"/>
        <v>0</v>
      </c>
      <c r="K2952" s="84">
        <f t="shared" si="95"/>
        <v>0</v>
      </c>
      <c r="L2952" s="61" t="e">
        <f>VLOOKUP(K2952,[1]Mapping!$J$3:$Q$351,8,FALSE)</f>
        <v>#N/A</v>
      </c>
      <c r="M2952" t="s">
        <v>83</v>
      </c>
    </row>
    <row r="2953" spans="5:13" hidden="1" x14ac:dyDescent="0.35">
      <c r="E2953" s="81"/>
      <c r="I2953" s="83" t="e">
        <f>VLOOKUP(E2953,[1]Mapping!$A$3:$B$14,2,FALSE)</f>
        <v>#N/A</v>
      </c>
      <c r="J2953" s="84">
        <f t="shared" si="94"/>
        <v>0</v>
      </c>
      <c r="K2953" s="84">
        <f t="shared" si="95"/>
        <v>0</v>
      </c>
      <c r="L2953" s="61" t="e">
        <f>VLOOKUP(K2953,[1]Mapping!$J$3:$Q$351,8,FALSE)</f>
        <v>#N/A</v>
      </c>
      <c r="M2953" t="s">
        <v>83</v>
      </c>
    </row>
    <row r="2954" spans="5:13" hidden="1" x14ac:dyDescent="0.35">
      <c r="E2954" s="81"/>
      <c r="I2954" s="83" t="e">
        <f>VLOOKUP(E2954,[1]Mapping!$A$3:$B$14,2,FALSE)</f>
        <v>#N/A</v>
      </c>
      <c r="J2954" s="84">
        <f t="shared" si="94"/>
        <v>0</v>
      </c>
      <c r="K2954" s="84">
        <f t="shared" si="95"/>
        <v>0</v>
      </c>
      <c r="L2954" s="61" t="e">
        <f>VLOOKUP(K2954,[1]Mapping!$J$3:$Q$351,8,FALSE)</f>
        <v>#N/A</v>
      </c>
      <c r="M2954" t="s">
        <v>83</v>
      </c>
    </row>
    <row r="2955" spans="5:13" hidden="1" x14ac:dyDescent="0.35">
      <c r="E2955" s="81"/>
      <c r="I2955" s="83" t="e">
        <f>VLOOKUP(E2955,[1]Mapping!$A$3:$B$14,2,FALSE)</f>
        <v>#N/A</v>
      </c>
      <c r="J2955" s="84">
        <f t="shared" si="94"/>
        <v>0</v>
      </c>
      <c r="K2955" s="84">
        <f t="shared" si="95"/>
        <v>0</v>
      </c>
      <c r="L2955" s="61" t="e">
        <f>VLOOKUP(K2955,[1]Mapping!$J$3:$Q$351,8,FALSE)</f>
        <v>#N/A</v>
      </c>
      <c r="M2955" t="s">
        <v>83</v>
      </c>
    </row>
    <row r="2956" spans="5:13" hidden="1" x14ac:dyDescent="0.35">
      <c r="E2956" s="81"/>
      <c r="I2956" s="83" t="e">
        <f>VLOOKUP(E2956,[1]Mapping!$A$3:$B$14,2,FALSE)</f>
        <v>#N/A</v>
      </c>
      <c r="J2956" s="84">
        <f t="shared" si="94"/>
        <v>0</v>
      </c>
      <c r="K2956" s="84">
        <f t="shared" si="95"/>
        <v>0</v>
      </c>
      <c r="L2956" s="61" t="e">
        <f>VLOOKUP(K2956,[1]Mapping!$J$3:$Q$351,8,FALSE)</f>
        <v>#N/A</v>
      </c>
      <c r="M2956" t="s">
        <v>83</v>
      </c>
    </row>
    <row r="2957" spans="5:13" hidden="1" x14ac:dyDescent="0.35">
      <c r="E2957" s="81"/>
      <c r="I2957" s="83" t="e">
        <f>VLOOKUP(E2957,[1]Mapping!$A$3:$B$14,2,FALSE)</f>
        <v>#N/A</v>
      </c>
      <c r="J2957" s="84">
        <f t="shared" si="94"/>
        <v>0</v>
      </c>
      <c r="K2957" s="84">
        <f t="shared" si="95"/>
        <v>0</v>
      </c>
      <c r="L2957" s="61" t="e">
        <f>VLOOKUP(K2957,[1]Mapping!$J$3:$Q$351,8,FALSE)</f>
        <v>#N/A</v>
      </c>
      <c r="M2957" t="s">
        <v>83</v>
      </c>
    </row>
    <row r="2958" spans="5:13" hidden="1" x14ac:dyDescent="0.35">
      <c r="E2958" s="81"/>
      <c r="I2958" s="83" t="e">
        <f>VLOOKUP(E2958,[1]Mapping!$A$3:$B$14,2,FALSE)</f>
        <v>#N/A</v>
      </c>
      <c r="J2958" s="84">
        <f t="shared" si="94"/>
        <v>0</v>
      </c>
      <c r="K2958" s="84">
        <f t="shared" si="95"/>
        <v>0</v>
      </c>
      <c r="L2958" s="61" t="e">
        <f>VLOOKUP(K2958,[1]Mapping!$J$3:$Q$351,8,FALSE)</f>
        <v>#N/A</v>
      </c>
      <c r="M2958" t="s">
        <v>83</v>
      </c>
    </row>
    <row r="2959" spans="5:13" hidden="1" x14ac:dyDescent="0.35">
      <c r="E2959" s="81"/>
      <c r="I2959" s="83" t="e">
        <f>VLOOKUP(E2959,[1]Mapping!$A$3:$B$14,2,FALSE)</f>
        <v>#N/A</v>
      </c>
      <c r="J2959" s="84">
        <f t="shared" si="94"/>
        <v>0</v>
      </c>
      <c r="K2959" s="84">
        <f t="shared" si="95"/>
        <v>0</v>
      </c>
      <c r="L2959" s="61" t="e">
        <f>VLOOKUP(K2959,[1]Mapping!$J$3:$Q$351,8,FALSE)</f>
        <v>#N/A</v>
      </c>
      <c r="M2959" t="s">
        <v>83</v>
      </c>
    </row>
    <row r="2960" spans="5:13" hidden="1" x14ac:dyDescent="0.35">
      <c r="E2960" s="81"/>
      <c r="I2960" s="83" t="e">
        <f>VLOOKUP(E2960,[1]Mapping!$A$3:$B$14,2,FALSE)</f>
        <v>#N/A</v>
      </c>
      <c r="J2960" s="84">
        <f t="shared" si="94"/>
        <v>0</v>
      </c>
      <c r="K2960" s="84">
        <f t="shared" si="95"/>
        <v>0</v>
      </c>
      <c r="L2960" s="61" t="e">
        <f>VLOOKUP(K2960,[1]Mapping!$J$3:$Q$351,8,FALSE)</f>
        <v>#N/A</v>
      </c>
      <c r="M2960" t="s">
        <v>83</v>
      </c>
    </row>
    <row r="2961" spans="5:13" hidden="1" x14ac:dyDescent="0.35">
      <c r="E2961" s="81"/>
      <c r="I2961" s="83" t="e">
        <f>VLOOKUP(E2961,[1]Mapping!$A$3:$B$14,2,FALSE)</f>
        <v>#N/A</v>
      </c>
      <c r="J2961" s="84">
        <f t="shared" si="94"/>
        <v>0</v>
      </c>
      <c r="K2961" s="84">
        <f t="shared" si="95"/>
        <v>0</v>
      </c>
      <c r="L2961" s="61" t="e">
        <f>VLOOKUP(K2961,[1]Mapping!$J$3:$Q$351,8,FALSE)</f>
        <v>#N/A</v>
      </c>
      <c r="M2961" t="s">
        <v>83</v>
      </c>
    </row>
    <row r="2962" spans="5:13" hidden="1" x14ac:dyDescent="0.35">
      <c r="E2962" s="81"/>
      <c r="I2962" s="83" t="e">
        <f>VLOOKUP(E2962,[1]Mapping!$A$3:$B$14,2,FALSE)</f>
        <v>#N/A</v>
      </c>
      <c r="J2962" s="84">
        <f t="shared" si="94"/>
        <v>0</v>
      </c>
      <c r="K2962" s="84">
        <f t="shared" si="95"/>
        <v>0</v>
      </c>
      <c r="L2962" s="61" t="e">
        <f>VLOOKUP(K2962,[1]Mapping!$J$3:$Q$351,8,FALSE)</f>
        <v>#N/A</v>
      </c>
      <c r="M2962" t="s">
        <v>83</v>
      </c>
    </row>
    <row r="2963" spans="5:13" hidden="1" x14ac:dyDescent="0.35">
      <c r="E2963" s="81"/>
      <c r="I2963" s="83" t="e">
        <f>VLOOKUP(E2963,[1]Mapping!$A$3:$B$14,2,FALSE)</f>
        <v>#N/A</v>
      </c>
      <c r="J2963" s="84">
        <f t="shared" si="94"/>
        <v>0</v>
      </c>
      <c r="K2963" s="84">
        <f t="shared" si="95"/>
        <v>0</v>
      </c>
      <c r="L2963" s="61" t="e">
        <f>VLOOKUP(K2963,[1]Mapping!$J$3:$Q$351,8,FALSE)</f>
        <v>#N/A</v>
      </c>
      <c r="M2963" t="s">
        <v>83</v>
      </c>
    </row>
    <row r="2964" spans="5:13" hidden="1" x14ac:dyDescent="0.35">
      <c r="E2964" s="81"/>
      <c r="I2964" s="83" t="e">
        <f>VLOOKUP(E2964,[1]Mapping!$A$3:$B$14,2,FALSE)</f>
        <v>#N/A</v>
      </c>
      <c r="J2964" s="84">
        <f t="shared" si="94"/>
        <v>0</v>
      </c>
      <c r="K2964" s="84">
        <f t="shared" si="95"/>
        <v>0</v>
      </c>
      <c r="L2964" s="61" t="e">
        <f>VLOOKUP(K2964,[1]Mapping!$J$3:$Q$351,8,FALSE)</f>
        <v>#N/A</v>
      </c>
      <c r="M2964" t="s">
        <v>83</v>
      </c>
    </row>
    <row r="2965" spans="5:13" hidden="1" x14ac:dyDescent="0.35">
      <c r="E2965" s="81"/>
      <c r="I2965" s="83" t="e">
        <f>VLOOKUP(E2965,[1]Mapping!$A$3:$B$14,2,FALSE)</f>
        <v>#N/A</v>
      </c>
      <c r="J2965" s="84">
        <f t="shared" si="94"/>
        <v>0</v>
      </c>
      <c r="K2965" s="84">
        <f t="shared" si="95"/>
        <v>0</v>
      </c>
      <c r="L2965" s="61" t="e">
        <f>VLOOKUP(K2965,[1]Mapping!$J$3:$Q$351,8,FALSE)</f>
        <v>#N/A</v>
      </c>
      <c r="M2965" t="s">
        <v>83</v>
      </c>
    </row>
    <row r="2966" spans="5:13" hidden="1" x14ac:dyDescent="0.35">
      <c r="E2966" s="81"/>
      <c r="I2966" s="83" t="e">
        <f>VLOOKUP(E2966,[1]Mapping!$A$3:$B$14,2,FALSE)</f>
        <v>#N/A</v>
      </c>
      <c r="J2966" s="84">
        <f t="shared" si="94"/>
        <v>0</v>
      </c>
      <c r="K2966" s="84">
        <f t="shared" si="95"/>
        <v>0</v>
      </c>
      <c r="L2966" s="61" t="e">
        <f>VLOOKUP(K2966,[1]Mapping!$J$3:$Q$351,8,FALSE)</f>
        <v>#N/A</v>
      </c>
      <c r="M2966" t="s">
        <v>83</v>
      </c>
    </row>
    <row r="2967" spans="5:13" hidden="1" x14ac:dyDescent="0.35">
      <c r="E2967" s="81"/>
      <c r="I2967" s="83" t="e">
        <f>VLOOKUP(E2967,[1]Mapping!$A$3:$B$14,2,FALSE)</f>
        <v>#N/A</v>
      </c>
      <c r="J2967" s="84">
        <f t="shared" si="94"/>
        <v>0</v>
      </c>
      <c r="K2967" s="84">
        <f t="shared" si="95"/>
        <v>0</v>
      </c>
      <c r="L2967" s="61" t="e">
        <f>VLOOKUP(K2967,[1]Mapping!$J$3:$Q$351,8,FALSE)</f>
        <v>#N/A</v>
      </c>
      <c r="M2967" t="s">
        <v>83</v>
      </c>
    </row>
    <row r="2968" spans="5:13" hidden="1" x14ac:dyDescent="0.35">
      <c r="E2968" s="81"/>
      <c r="I2968" s="83" t="e">
        <f>VLOOKUP(E2968,[1]Mapping!$A$3:$B$14,2,FALSE)</f>
        <v>#N/A</v>
      </c>
      <c r="J2968" s="84">
        <f t="shared" si="94"/>
        <v>0</v>
      </c>
      <c r="K2968" s="84">
        <f t="shared" si="95"/>
        <v>0</v>
      </c>
      <c r="L2968" s="61" t="e">
        <f>VLOOKUP(K2968,[1]Mapping!$J$3:$Q$351,8,FALSE)</f>
        <v>#N/A</v>
      </c>
      <c r="M2968" t="s">
        <v>83</v>
      </c>
    </row>
    <row r="2969" spans="5:13" hidden="1" x14ac:dyDescent="0.35">
      <c r="E2969" s="81"/>
      <c r="I2969" s="83" t="e">
        <f>VLOOKUP(E2969,[1]Mapping!$A$3:$B$14,2,FALSE)</f>
        <v>#N/A</v>
      </c>
      <c r="J2969" s="84">
        <f t="shared" si="94"/>
        <v>0</v>
      </c>
      <c r="K2969" s="84">
        <f t="shared" si="95"/>
        <v>0</v>
      </c>
      <c r="L2969" s="61" t="e">
        <f>VLOOKUP(K2969,[1]Mapping!$J$3:$Q$351,8,FALSE)</f>
        <v>#N/A</v>
      </c>
      <c r="M2969" t="s">
        <v>83</v>
      </c>
    </row>
    <row r="2970" spans="5:13" hidden="1" x14ac:dyDescent="0.35">
      <c r="E2970" s="81"/>
      <c r="I2970" s="83" t="e">
        <f>VLOOKUP(E2970,[1]Mapping!$A$3:$B$14,2,FALSE)</f>
        <v>#N/A</v>
      </c>
      <c r="J2970" s="84">
        <f t="shared" si="94"/>
        <v>0</v>
      </c>
      <c r="K2970" s="84">
        <f t="shared" si="95"/>
        <v>0</v>
      </c>
      <c r="L2970" s="61" t="e">
        <f>VLOOKUP(K2970,[1]Mapping!$J$3:$Q$351,8,FALSE)</f>
        <v>#N/A</v>
      </c>
      <c r="M2970" t="s">
        <v>83</v>
      </c>
    </row>
    <row r="2971" spans="5:13" hidden="1" x14ac:dyDescent="0.35">
      <c r="E2971" s="81"/>
      <c r="I2971" s="83" t="e">
        <f>VLOOKUP(E2971,[1]Mapping!$A$3:$B$14,2,FALSE)</f>
        <v>#N/A</v>
      </c>
      <c r="J2971" s="84">
        <f t="shared" si="94"/>
        <v>0</v>
      </c>
      <c r="K2971" s="84">
        <f t="shared" si="95"/>
        <v>0</v>
      </c>
      <c r="L2971" s="61" t="e">
        <f>VLOOKUP(K2971,[1]Mapping!$J$3:$Q$351,8,FALSE)</f>
        <v>#N/A</v>
      </c>
      <c r="M2971" t="s">
        <v>83</v>
      </c>
    </row>
    <row r="2972" spans="5:13" hidden="1" x14ac:dyDescent="0.35">
      <c r="E2972" s="81"/>
      <c r="I2972" s="83" t="e">
        <f>VLOOKUP(E2972,[1]Mapping!$A$3:$B$14,2,FALSE)</f>
        <v>#N/A</v>
      </c>
      <c r="J2972" s="84">
        <f t="shared" si="94"/>
        <v>0</v>
      </c>
      <c r="K2972" s="84">
        <f t="shared" si="95"/>
        <v>0</v>
      </c>
      <c r="L2972" s="61" t="e">
        <f>VLOOKUP(K2972,[1]Mapping!$J$3:$Q$351,8,FALSE)</f>
        <v>#N/A</v>
      </c>
      <c r="M2972" t="s">
        <v>83</v>
      </c>
    </row>
    <row r="2973" spans="5:13" hidden="1" x14ac:dyDescent="0.35">
      <c r="E2973" s="81"/>
      <c r="I2973" s="83" t="e">
        <f>VLOOKUP(E2973,[1]Mapping!$A$3:$B$14,2,FALSE)</f>
        <v>#N/A</v>
      </c>
      <c r="J2973" s="84">
        <f t="shared" si="94"/>
        <v>0</v>
      </c>
      <c r="K2973" s="84">
        <f t="shared" si="95"/>
        <v>0</v>
      </c>
      <c r="L2973" s="61" t="e">
        <f>VLOOKUP(K2973,[1]Mapping!$J$3:$Q$351,8,FALSE)</f>
        <v>#N/A</v>
      </c>
      <c r="M2973" t="s">
        <v>83</v>
      </c>
    </row>
    <row r="2974" spans="5:13" hidden="1" x14ac:dyDescent="0.35">
      <c r="E2974" s="81"/>
      <c r="I2974" s="83" t="e">
        <f>VLOOKUP(E2974,[1]Mapping!$A$3:$B$14,2,FALSE)</f>
        <v>#N/A</v>
      </c>
      <c r="J2974" s="84">
        <f t="shared" si="94"/>
        <v>0</v>
      </c>
      <c r="K2974" s="84">
        <f t="shared" si="95"/>
        <v>0</v>
      </c>
      <c r="L2974" s="61" t="e">
        <f>VLOOKUP(K2974,[1]Mapping!$J$3:$Q$351,8,FALSE)</f>
        <v>#N/A</v>
      </c>
      <c r="M2974" t="s">
        <v>83</v>
      </c>
    </row>
    <row r="2975" spans="5:13" hidden="1" x14ac:dyDescent="0.35">
      <c r="E2975" s="81"/>
      <c r="I2975" s="83" t="e">
        <f>VLOOKUP(E2975,[1]Mapping!$A$3:$B$14,2,FALSE)</f>
        <v>#N/A</v>
      </c>
      <c r="J2975" s="84">
        <f t="shared" si="94"/>
        <v>0</v>
      </c>
      <c r="K2975" s="84">
        <f t="shared" si="95"/>
        <v>0</v>
      </c>
      <c r="L2975" s="61" t="e">
        <f>VLOOKUP(K2975,[1]Mapping!$J$3:$Q$351,8,FALSE)</f>
        <v>#N/A</v>
      </c>
      <c r="M2975" t="s">
        <v>83</v>
      </c>
    </row>
    <row r="2976" spans="5:13" hidden="1" x14ac:dyDescent="0.35">
      <c r="E2976" s="81"/>
      <c r="I2976" s="83" t="e">
        <f>VLOOKUP(E2976,[1]Mapping!$A$3:$B$14,2,FALSE)</f>
        <v>#N/A</v>
      </c>
      <c r="J2976" s="84">
        <f t="shared" si="94"/>
        <v>0</v>
      </c>
      <c r="K2976" s="84">
        <f t="shared" si="95"/>
        <v>0</v>
      </c>
      <c r="L2976" s="61" t="e">
        <f>VLOOKUP(K2976,[1]Mapping!$J$3:$Q$351,8,FALSE)</f>
        <v>#N/A</v>
      </c>
      <c r="M2976" t="s">
        <v>83</v>
      </c>
    </row>
    <row r="2977" spans="5:13" hidden="1" x14ac:dyDescent="0.35">
      <c r="E2977" s="81"/>
      <c r="I2977" s="83" t="e">
        <f>VLOOKUP(E2977,[1]Mapping!$A$3:$B$14,2,FALSE)</f>
        <v>#N/A</v>
      </c>
      <c r="J2977" s="84">
        <f t="shared" si="94"/>
        <v>0</v>
      </c>
      <c r="K2977" s="84">
        <f t="shared" si="95"/>
        <v>0</v>
      </c>
      <c r="L2977" s="61" t="e">
        <f>VLOOKUP(K2977,[1]Mapping!$J$3:$Q$351,8,FALSE)</f>
        <v>#N/A</v>
      </c>
      <c r="M2977" t="s">
        <v>83</v>
      </c>
    </row>
    <row r="2978" spans="5:13" hidden="1" x14ac:dyDescent="0.35">
      <c r="E2978" s="81"/>
      <c r="I2978" s="83" t="e">
        <f>VLOOKUP(E2978,[1]Mapping!$A$3:$B$14,2,FALSE)</f>
        <v>#N/A</v>
      </c>
      <c r="J2978" s="84">
        <f t="shared" si="94"/>
        <v>0</v>
      </c>
      <c r="K2978" s="84">
        <f t="shared" si="95"/>
        <v>0</v>
      </c>
      <c r="L2978" s="61" t="e">
        <f>VLOOKUP(K2978,[1]Mapping!$J$3:$Q$351,8,FALSE)</f>
        <v>#N/A</v>
      </c>
      <c r="M2978" t="s">
        <v>83</v>
      </c>
    </row>
    <row r="2979" spans="5:13" hidden="1" x14ac:dyDescent="0.35">
      <c r="E2979" s="81"/>
      <c r="I2979" s="83" t="e">
        <f>VLOOKUP(E2979,[1]Mapping!$A$3:$B$14,2,FALSE)</f>
        <v>#N/A</v>
      </c>
      <c r="J2979" s="84">
        <f t="shared" si="94"/>
        <v>0</v>
      </c>
      <c r="K2979" s="84">
        <f t="shared" si="95"/>
        <v>0</v>
      </c>
      <c r="L2979" s="61" t="e">
        <f>VLOOKUP(K2979,[1]Mapping!$J$3:$Q$351,8,FALSE)</f>
        <v>#N/A</v>
      </c>
      <c r="M2979" t="s">
        <v>83</v>
      </c>
    </row>
    <row r="2980" spans="5:13" hidden="1" x14ac:dyDescent="0.35">
      <c r="E2980" s="81"/>
      <c r="I2980" s="83" t="e">
        <f>VLOOKUP(E2980,[1]Mapping!$A$3:$B$14,2,FALSE)</f>
        <v>#N/A</v>
      </c>
      <c r="J2980" s="84">
        <f t="shared" si="94"/>
        <v>0</v>
      </c>
      <c r="K2980" s="84">
        <f t="shared" si="95"/>
        <v>0</v>
      </c>
      <c r="L2980" s="61" t="e">
        <f>VLOOKUP(K2980,[1]Mapping!$J$3:$Q$351,8,FALSE)</f>
        <v>#N/A</v>
      </c>
      <c r="M2980" t="s">
        <v>83</v>
      </c>
    </row>
    <row r="2981" spans="5:13" hidden="1" x14ac:dyDescent="0.35">
      <c r="E2981" s="81"/>
      <c r="I2981" s="83" t="e">
        <f>VLOOKUP(E2981,[1]Mapping!$A$3:$B$14,2,FALSE)</f>
        <v>#N/A</v>
      </c>
      <c r="J2981" s="84">
        <f t="shared" si="94"/>
        <v>0</v>
      </c>
      <c r="K2981" s="84">
        <f t="shared" si="95"/>
        <v>0</v>
      </c>
      <c r="L2981" s="61" t="e">
        <f>VLOOKUP(K2981,[1]Mapping!$J$3:$Q$351,8,FALSE)</f>
        <v>#N/A</v>
      </c>
      <c r="M2981" t="s">
        <v>83</v>
      </c>
    </row>
    <row r="2982" spans="5:13" hidden="1" x14ac:dyDescent="0.35">
      <c r="E2982" s="81"/>
      <c r="I2982" s="83" t="e">
        <f>VLOOKUP(E2982,[1]Mapping!$A$3:$B$14,2,FALSE)</f>
        <v>#N/A</v>
      </c>
      <c r="J2982" s="84">
        <f t="shared" si="94"/>
        <v>0</v>
      </c>
      <c r="K2982" s="84">
        <f t="shared" si="95"/>
        <v>0</v>
      </c>
      <c r="L2982" s="61" t="e">
        <f>VLOOKUP(K2982,[1]Mapping!$J$3:$Q$351,8,FALSE)</f>
        <v>#N/A</v>
      </c>
      <c r="M2982" t="s">
        <v>83</v>
      </c>
    </row>
    <row r="2983" spans="5:13" hidden="1" x14ac:dyDescent="0.35">
      <c r="E2983" s="81"/>
      <c r="I2983" s="83" t="e">
        <f>VLOOKUP(E2983,[1]Mapping!$A$3:$B$14,2,FALSE)</f>
        <v>#N/A</v>
      </c>
      <c r="J2983" s="84">
        <f t="shared" si="94"/>
        <v>0</v>
      </c>
      <c r="K2983" s="84">
        <f t="shared" si="95"/>
        <v>0</v>
      </c>
      <c r="L2983" s="61" t="e">
        <f>VLOOKUP(K2983,[1]Mapping!$J$3:$Q$351,8,FALSE)</f>
        <v>#N/A</v>
      </c>
      <c r="M2983" t="s">
        <v>83</v>
      </c>
    </row>
    <row r="2984" spans="5:13" hidden="1" x14ac:dyDescent="0.35">
      <c r="E2984" s="81"/>
      <c r="I2984" s="83" t="e">
        <f>VLOOKUP(E2984,[1]Mapping!$A$3:$B$14,2,FALSE)</f>
        <v>#N/A</v>
      </c>
      <c r="J2984" s="84">
        <f t="shared" si="94"/>
        <v>0</v>
      </c>
      <c r="K2984" s="84">
        <f t="shared" si="95"/>
        <v>0</v>
      </c>
      <c r="L2984" s="61" t="e">
        <f>VLOOKUP(K2984,[1]Mapping!$J$3:$Q$351,8,FALSE)</f>
        <v>#N/A</v>
      </c>
      <c r="M2984" t="s">
        <v>83</v>
      </c>
    </row>
    <row r="2985" spans="5:13" hidden="1" x14ac:dyDescent="0.35">
      <c r="E2985" s="81"/>
      <c r="I2985" s="83" t="e">
        <f>VLOOKUP(E2985,[1]Mapping!$A$3:$B$14,2,FALSE)</f>
        <v>#N/A</v>
      </c>
      <c r="J2985" s="84">
        <f t="shared" si="94"/>
        <v>0</v>
      </c>
      <c r="K2985" s="84">
        <f t="shared" si="95"/>
        <v>0</v>
      </c>
      <c r="L2985" s="61" t="e">
        <f>VLOOKUP(K2985,[1]Mapping!$J$3:$Q$351,8,FALSE)</f>
        <v>#N/A</v>
      </c>
      <c r="M2985" t="s">
        <v>83</v>
      </c>
    </row>
    <row r="2986" spans="5:13" hidden="1" x14ac:dyDescent="0.35">
      <c r="E2986" s="81"/>
      <c r="I2986" s="83" t="e">
        <f>VLOOKUP(E2986,[1]Mapping!$A$3:$B$14,2,FALSE)</f>
        <v>#N/A</v>
      </c>
      <c r="J2986" s="84">
        <f t="shared" si="94"/>
        <v>0</v>
      </c>
      <c r="K2986" s="84">
        <f t="shared" si="95"/>
        <v>0</v>
      </c>
      <c r="L2986" s="61" t="e">
        <f>VLOOKUP(K2986,[1]Mapping!$J$3:$Q$351,8,FALSE)</f>
        <v>#N/A</v>
      </c>
      <c r="M2986" t="s">
        <v>83</v>
      </c>
    </row>
    <row r="2987" spans="5:13" hidden="1" x14ac:dyDescent="0.35">
      <c r="E2987" s="81"/>
      <c r="I2987" s="83" t="e">
        <f>VLOOKUP(E2987,[1]Mapping!$A$3:$B$14,2,FALSE)</f>
        <v>#N/A</v>
      </c>
      <c r="J2987" s="84">
        <f t="shared" si="94"/>
        <v>0</v>
      </c>
      <c r="K2987" s="84">
        <f t="shared" si="95"/>
        <v>0</v>
      </c>
      <c r="L2987" s="61" t="e">
        <f>VLOOKUP(K2987,[1]Mapping!$J$3:$Q$351,8,FALSE)</f>
        <v>#N/A</v>
      </c>
      <c r="M2987" t="s">
        <v>83</v>
      </c>
    </row>
    <row r="2988" spans="5:13" hidden="1" x14ac:dyDescent="0.35">
      <c r="E2988" s="81"/>
      <c r="I2988" s="83" t="e">
        <f>VLOOKUP(E2988,[1]Mapping!$A$3:$B$14,2,FALSE)</f>
        <v>#N/A</v>
      </c>
      <c r="J2988" s="84">
        <f t="shared" si="94"/>
        <v>0</v>
      </c>
      <c r="K2988" s="84">
        <f t="shared" si="95"/>
        <v>0</v>
      </c>
      <c r="L2988" s="61" t="e">
        <f>VLOOKUP(K2988,[1]Mapping!$J$3:$Q$351,8,FALSE)</f>
        <v>#N/A</v>
      </c>
      <c r="M2988" t="s">
        <v>83</v>
      </c>
    </row>
    <row r="2989" spans="5:13" hidden="1" x14ac:dyDescent="0.35">
      <c r="E2989" s="81"/>
      <c r="I2989" s="83" t="e">
        <f>VLOOKUP(E2989,[1]Mapping!$A$3:$B$14,2,FALSE)</f>
        <v>#N/A</v>
      </c>
      <c r="J2989" s="84">
        <f t="shared" si="94"/>
        <v>0</v>
      </c>
      <c r="K2989" s="84">
        <f t="shared" si="95"/>
        <v>0</v>
      </c>
      <c r="L2989" s="61" t="e">
        <f>VLOOKUP(K2989,[1]Mapping!$J$3:$Q$351,8,FALSE)</f>
        <v>#N/A</v>
      </c>
      <c r="M2989" t="s">
        <v>83</v>
      </c>
    </row>
    <row r="2990" spans="5:13" hidden="1" x14ac:dyDescent="0.35">
      <c r="E2990" s="81"/>
      <c r="I2990" s="83" t="e">
        <f>VLOOKUP(E2990,[1]Mapping!$A$3:$B$14,2,FALSE)</f>
        <v>#N/A</v>
      </c>
      <c r="J2990" s="84">
        <f t="shared" si="94"/>
        <v>0</v>
      </c>
      <c r="K2990" s="84">
        <f t="shared" si="95"/>
        <v>0</v>
      </c>
      <c r="L2990" s="61" t="e">
        <f>VLOOKUP(K2990,[1]Mapping!$J$3:$Q$351,8,FALSE)</f>
        <v>#N/A</v>
      </c>
      <c r="M2990" t="s">
        <v>83</v>
      </c>
    </row>
    <row r="2991" spans="5:13" hidden="1" x14ac:dyDescent="0.35">
      <c r="E2991" s="81"/>
      <c r="I2991" s="83" t="e">
        <f>VLOOKUP(E2991,[1]Mapping!$A$3:$B$14,2,FALSE)</f>
        <v>#N/A</v>
      </c>
      <c r="J2991" s="84">
        <f t="shared" si="94"/>
        <v>0</v>
      </c>
      <c r="K2991" s="84">
        <f t="shared" si="95"/>
        <v>0</v>
      </c>
      <c r="L2991" s="61" t="e">
        <f>VLOOKUP(K2991,[1]Mapping!$J$3:$Q$351,8,FALSE)</f>
        <v>#N/A</v>
      </c>
      <c r="M2991" t="s">
        <v>83</v>
      </c>
    </row>
    <row r="2992" spans="5:13" hidden="1" x14ac:dyDescent="0.35">
      <c r="E2992" s="81"/>
      <c r="I2992" s="83" t="e">
        <f>VLOOKUP(E2992,[1]Mapping!$A$3:$B$14,2,FALSE)</f>
        <v>#N/A</v>
      </c>
      <c r="J2992" s="84">
        <f t="shared" si="94"/>
        <v>0</v>
      </c>
      <c r="K2992" s="84">
        <f t="shared" si="95"/>
        <v>0</v>
      </c>
      <c r="L2992" s="61" t="e">
        <f>VLOOKUP(K2992,[1]Mapping!$J$3:$Q$351,8,FALSE)</f>
        <v>#N/A</v>
      </c>
      <c r="M2992" t="s">
        <v>83</v>
      </c>
    </row>
    <row r="2993" spans="5:13" hidden="1" x14ac:dyDescent="0.35">
      <c r="E2993" s="81"/>
      <c r="I2993" s="83" t="e">
        <f>VLOOKUP(E2993,[1]Mapping!$A$3:$B$14,2,FALSE)</f>
        <v>#N/A</v>
      </c>
      <c r="J2993" s="84">
        <f t="shared" si="94"/>
        <v>0</v>
      </c>
      <c r="K2993" s="84">
        <f t="shared" si="95"/>
        <v>0</v>
      </c>
      <c r="L2993" s="61" t="e">
        <f>VLOOKUP(K2993,[1]Mapping!$J$3:$Q$351,8,FALSE)</f>
        <v>#N/A</v>
      </c>
      <c r="M2993" t="s">
        <v>83</v>
      </c>
    </row>
    <row r="2994" spans="5:13" hidden="1" x14ac:dyDescent="0.35">
      <c r="E2994" s="81"/>
      <c r="I2994" s="83" t="e">
        <f>VLOOKUP(E2994,[1]Mapping!$A$3:$B$14,2,FALSE)</f>
        <v>#N/A</v>
      </c>
      <c r="J2994" s="84">
        <f t="shared" si="94"/>
        <v>0</v>
      </c>
      <c r="K2994" s="84">
        <f t="shared" si="95"/>
        <v>0</v>
      </c>
      <c r="L2994" s="61" t="e">
        <f>VLOOKUP(K2994,[1]Mapping!$J$3:$Q$351,8,FALSE)</f>
        <v>#N/A</v>
      </c>
      <c r="M2994" t="s">
        <v>83</v>
      </c>
    </row>
    <row r="2995" spans="5:13" hidden="1" x14ac:dyDescent="0.35">
      <c r="E2995" s="81"/>
      <c r="I2995" s="83" t="e">
        <f>VLOOKUP(E2995,[1]Mapping!$A$3:$B$14,2,FALSE)</f>
        <v>#N/A</v>
      </c>
      <c r="J2995" s="84">
        <f t="shared" si="94"/>
        <v>0</v>
      </c>
      <c r="K2995" s="84">
        <f t="shared" si="95"/>
        <v>0</v>
      </c>
      <c r="L2995" s="61" t="e">
        <f>VLOOKUP(K2995,[1]Mapping!$J$3:$Q$351,8,FALSE)</f>
        <v>#N/A</v>
      </c>
      <c r="M2995" t="s">
        <v>83</v>
      </c>
    </row>
    <row r="2996" spans="5:13" hidden="1" x14ac:dyDescent="0.35">
      <c r="E2996" s="81"/>
      <c r="I2996" s="83" t="e">
        <f>VLOOKUP(E2996,[1]Mapping!$A$3:$B$14,2,FALSE)</f>
        <v>#N/A</v>
      </c>
      <c r="J2996" s="84">
        <f t="shared" si="94"/>
        <v>0</v>
      </c>
      <c r="K2996" s="84">
        <f t="shared" si="95"/>
        <v>0</v>
      </c>
      <c r="L2996" s="61" t="e">
        <f>VLOOKUP(K2996,[1]Mapping!$J$3:$Q$351,8,FALSE)</f>
        <v>#N/A</v>
      </c>
      <c r="M2996" t="s">
        <v>83</v>
      </c>
    </row>
    <row r="2997" spans="5:13" hidden="1" x14ac:dyDescent="0.35">
      <c r="E2997" s="81"/>
      <c r="I2997" s="83" t="e">
        <f>VLOOKUP(E2997,[1]Mapping!$A$3:$B$14,2,FALSE)</f>
        <v>#N/A</v>
      </c>
      <c r="J2997" s="84">
        <f t="shared" si="94"/>
        <v>0</v>
      </c>
      <c r="K2997" s="84">
        <f t="shared" si="95"/>
        <v>0</v>
      </c>
      <c r="L2997" s="61" t="e">
        <f>VLOOKUP(K2997,[1]Mapping!$J$3:$Q$351,8,FALSE)</f>
        <v>#N/A</v>
      </c>
      <c r="M2997" t="s">
        <v>83</v>
      </c>
    </row>
    <row r="2998" spans="5:13" hidden="1" x14ac:dyDescent="0.35">
      <c r="E2998" s="81"/>
      <c r="I2998" s="83" t="e">
        <f>VLOOKUP(E2998,[1]Mapping!$A$3:$B$14,2,FALSE)</f>
        <v>#N/A</v>
      </c>
      <c r="J2998" s="84">
        <f t="shared" si="94"/>
        <v>0</v>
      </c>
      <c r="K2998" s="84">
        <f t="shared" si="95"/>
        <v>0</v>
      </c>
      <c r="L2998" s="61" t="e">
        <f>VLOOKUP(K2998,[1]Mapping!$J$3:$Q$351,8,FALSE)</f>
        <v>#N/A</v>
      </c>
      <c r="M2998" t="s">
        <v>83</v>
      </c>
    </row>
    <row r="2999" spans="5:13" hidden="1" x14ac:dyDescent="0.35">
      <c r="E2999" s="81"/>
      <c r="I2999" s="83" t="e">
        <f>VLOOKUP(E2999,[1]Mapping!$A$3:$B$14,2,FALSE)</f>
        <v>#N/A</v>
      </c>
      <c r="J2999" s="84">
        <f t="shared" si="94"/>
        <v>0</v>
      </c>
      <c r="K2999" s="84">
        <f t="shared" si="95"/>
        <v>0</v>
      </c>
      <c r="L2999" s="61" t="e">
        <f>VLOOKUP(K2999,[1]Mapping!$J$3:$Q$351,8,FALSE)</f>
        <v>#N/A</v>
      </c>
      <c r="M2999" t="s">
        <v>83</v>
      </c>
    </row>
    <row r="3000" spans="5:13" hidden="1" x14ac:dyDescent="0.35">
      <c r="E3000" s="81"/>
      <c r="I3000" s="83" t="e">
        <f>VLOOKUP(E3000,[1]Mapping!$A$3:$B$14,2,FALSE)</f>
        <v>#N/A</v>
      </c>
      <c r="J3000" s="84">
        <f t="shared" si="94"/>
        <v>0</v>
      </c>
      <c r="K3000" s="84">
        <f t="shared" si="95"/>
        <v>0</v>
      </c>
      <c r="L3000" s="61" t="e">
        <f>VLOOKUP(K3000,[1]Mapping!$J$3:$Q$351,8,FALSE)</f>
        <v>#N/A</v>
      </c>
      <c r="M3000" t="s">
        <v>83</v>
      </c>
    </row>
    <row r="3001" spans="5:13" hidden="1" x14ac:dyDescent="0.35">
      <c r="E3001" s="81"/>
      <c r="I3001" s="83" t="e">
        <f>VLOOKUP(E3001,[1]Mapping!$A$3:$B$14,2,FALSE)</f>
        <v>#N/A</v>
      </c>
      <c r="J3001" s="84">
        <f t="shared" si="94"/>
        <v>0</v>
      </c>
      <c r="K3001" s="84">
        <f t="shared" si="95"/>
        <v>0</v>
      </c>
      <c r="L3001" s="61" t="e">
        <f>VLOOKUP(K3001,[1]Mapping!$J$3:$Q$351,8,FALSE)</f>
        <v>#N/A</v>
      </c>
      <c r="M3001" t="s">
        <v>83</v>
      </c>
    </row>
    <row r="3002" spans="5:13" hidden="1" x14ac:dyDescent="0.35">
      <c r="E3002" s="81"/>
      <c r="I3002" s="83" t="e">
        <f>VLOOKUP(E3002,[1]Mapping!$A$3:$B$14,2,FALSE)</f>
        <v>#N/A</v>
      </c>
      <c r="J3002" s="84">
        <f t="shared" si="94"/>
        <v>0</v>
      </c>
      <c r="K3002" s="84">
        <f t="shared" si="95"/>
        <v>0</v>
      </c>
      <c r="L3002" s="61" t="e">
        <f>VLOOKUP(K3002,[1]Mapping!$J$3:$Q$351,8,FALSE)</f>
        <v>#N/A</v>
      </c>
      <c r="M3002" t="s">
        <v>83</v>
      </c>
    </row>
    <row r="3003" spans="5:13" hidden="1" x14ac:dyDescent="0.35">
      <c r="E3003" s="81"/>
      <c r="I3003" s="83" t="e">
        <f>VLOOKUP(E3003,[1]Mapping!$A$3:$B$14,2,FALSE)</f>
        <v>#N/A</v>
      </c>
      <c r="J3003" s="84">
        <f t="shared" si="94"/>
        <v>0</v>
      </c>
      <c r="K3003" s="84">
        <f t="shared" si="95"/>
        <v>0</v>
      </c>
      <c r="L3003" s="61" t="e">
        <f>VLOOKUP(K3003,[1]Mapping!$J$3:$Q$351,8,FALSE)</f>
        <v>#N/A</v>
      </c>
      <c r="M3003" t="s">
        <v>83</v>
      </c>
    </row>
    <row r="3004" spans="5:13" hidden="1" x14ac:dyDescent="0.35">
      <c r="E3004" s="81"/>
      <c r="I3004" s="83" t="e">
        <f>VLOOKUP(E3004,[1]Mapping!$A$3:$B$14,2,FALSE)</f>
        <v>#N/A</v>
      </c>
      <c r="J3004" s="84">
        <f t="shared" si="94"/>
        <v>0</v>
      </c>
      <c r="K3004" s="84">
        <f t="shared" si="95"/>
        <v>0</v>
      </c>
      <c r="L3004" s="61" t="e">
        <f>VLOOKUP(K3004,[1]Mapping!$J$3:$Q$351,8,FALSE)</f>
        <v>#N/A</v>
      </c>
      <c r="M3004" t="s">
        <v>83</v>
      </c>
    </row>
    <row r="3005" spans="5:13" hidden="1" x14ac:dyDescent="0.35">
      <c r="E3005" s="81"/>
      <c r="I3005" s="83" t="e">
        <f>VLOOKUP(E3005,[1]Mapping!$A$3:$B$14,2,FALSE)</f>
        <v>#N/A</v>
      </c>
      <c r="J3005" s="84">
        <f t="shared" si="94"/>
        <v>0</v>
      </c>
      <c r="K3005" s="84">
        <f t="shared" si="95"/>
        <v>0</v>
      </c>
      <c r="L3005" s="61" t="e">
        <f>VLOOKUP(K3005,[1]Mapping!$J$3:$Q$351,8,FALSE)</f>
        <v>#N/A</v>
      </c>
      <c r="M3005" t="s">
        <v>83</v>
      </c>
    </row>
    <row r="3006" spans="5:13" hidden="1" x14ac:dyDescent="0.35">
      <c r="E3006" s="81"/>
      <c r="I3006" s="83" t="e">
        <f>VLOOKUP(E3006,[1]Mapping!$A$3:$B$14,2,FALSE)</f>
        <v>#N/A</v>
      </c>
      <c r="J3006" s="84">
        <f t="shared" si="94"/>
        <v>0</v>
      </c>
      <c r="K3006" s="84">
        <f t="shared" si="95"/>
        <v>0</v>
      </c>
      <c r="L3006" s="61" t="e">
        <f>VLOOKUP(K3006,[1]Mapping!$J$3:$Q$351,8,FALSE)</f>
        <v>#N/A</v>
      </c>
      <c r="M3006" t="s">
        <v>83</v>
      </c>
    </row>
    <row r="3007" spans="5:13" hidden="1" x14ac:dyDescent="0.35">
      <c r="E3007" s="81"/>
      <c r="I3007" s="83" t="e">
        <f>VLOOKUP(E3007,[1]Mapping!$A$3:$B$14,2,FALSE)</f>
        <v>#N/A</v>
      </c>
      <c r="J3007" s="84">
        <f t="shared" si="94"/>
        <v>0</v>
      </c>
      <c r="K3007" s="84">
        <f t="shared" si="95"/>
        <v>0</v>
      </c>
      <c r="L3007" s="61" t="e">
        <f>VLOOKUP(K3007,[1]Mapping!$J$3:$Q$351,8,FALSE)</f>
        <v>#N/A</v>
      </c>
      <c r="M3007" t="s">
        <v>83</v>
      </c>
    </row>
    <row r="3008" spans="5:13" hidden="1" x14ac:dyDescent="0.35">
      <c r="E3008" s="81"/>
      <c r="I3008" s="83" t="e">
        <f>VLOOKUP(E3008,[1]Mapping!$A$3:$B$14,2,FALSE)</f>
        <v>#N/A</v>
      </c>
      <c r="J3008" s="84">
        <f t="shared" si="94"/>
        <v>0</v>
      </c>
      <c r="K3008" s="84">
        <f t="shared" si="95"/>
        <v>0</v>
      </c>
      <c r="L3008" s="61" t="e">
        <f>VLOOKUP(K3008,[1]Mapping!$J$3:$Q$351,8,FALSE)</f>
        <v>#N/A</v>
      </c>
      <c r="M3008" t="s">
        <v>83</v>
      </c>
    </row>
    <row r="3009" spans="5:13" hidden="1" x14ac:dyDescent="0.35">
      <c r="E3009" s="81"/>
      <c r="I3009" s="83" t="e">
        <f>VLOOKUP(E3009,[1]Mapping!$A$3:$B$14,2,FALSE)</f>
        <v>#N/A</v>
      </c>
      <c r="J3009" s="84">
        <f t="shared" si="94"/>
        <v>0</v>
      </c>
      <c r="K3009" s="84">
        <f t="shared" si="95"/>
        <v>0</v>
      </c>
      <c r="L3009" s="61" t="e">
        <f>VLOOKUP(K3009,[1]Mapping!$J$3:$Q$351,8,FALSE)</f>
        <v>#N/A</v>
      </c>
      <c r="M3009" t="s">
        <v>83</v>
      </c>
    </row>
    <row r="3010" spans="5:13" hidden="1" x14ac:dyDescent="0.35">
      <c r="E3010" s="81"/>
      <c r="I3010" s="83" t="e">
        <f>VLOOKUP(E3010,[1]Mapping!$A$3:$B$14,2,FALSE)</f>
        <v>#N/A</v>
      </c>
      <c r="J3010" s="84">
        <f t="shared" si="94"/>
        <v>0</v>
      </c>
      <c r="K3010" s="84">
        <f t="shared" si="95"/>
        <v>0</v>
      </c>
      <c r="L3010" s="61" t="e">
        <f>VLOOKUP(K3010,[1]Mapping!$J$3:$Q$351,8,FALSE)</f>
        <v>#N/A</v>
      </c>
      <c r="M3010" t="s">
        <v>83</v>
      </c>
    </row>
    <row r="3011" spans="5:13" hidden="1" x14ac:dyDescent="0.35">
      <c r="E3011" s="81"/>
      <c r="I3011" s="83" t="e">
        <f>VLOOKUP(E3011,[1]Mapping!$A$3:$B$14,2,FALSE)</f>
        <v>#N/A</v>
      </c>
      <c r="J3011" s="84">
        <f t="shared" si="94"/>
        <v>0</v>
      </c>
      <c r="K3011" s="84">
        <f t="shared" si="95"/>
        <v>0</v>
      </c>
      <c r="L3011" s="61" t="e">
        <f>VLOOKUP(K3011,[1]Mapping!$J$3:$Q$351,8,FALSE)</f>
        <v>#N/A</v>
      </c>
      <c r="M3011" t="s">
        <v>83</v>
      </c>
    </row>
    <row r="3012" spans="5:13" hidden="1" x14ac:dyDescent="0.35">
      <c r="E3012" s="81"/>
      <c r="I3012" s="83" t="e">
        <f>VLOOKUP(E3012,[1]Mapping!$A$3:$B$14,2,FALSE)</f>
        <v>#N/A</v>
      </c>
      <c r="J3012" s="84">
        <f t="shared" ref="J3012:J3075" si="96">VALUE(A3012)</f>
        <v>0</v>
      </c>
      <c r="K3012" s="84">
        <f t="shared" ref="K3012:K3075" si="97">VALUE(C3012)</f>
        <v>0</v>
      </c>
      <c r="L3012" s="61" t="e">
        <f>VLOOKUP(K3012,[1]Mapping!$J$3:$Q$351,8,FALSE)</f>
        <v>#N/A</v>
      </c>
      <c r="M3012" t="s">
        <v>83</v>
      </c>
    </row>
    <row r="3013" spans="5:13" hidden="1" x14ac:dyDescent="0.35">
      <c r="E3013" s="81"/>
      <c r="I3013" s="83" t="e">
        <f>VLOOKUP(E3013,[1]Mapping!$A$3:$B$14,2,FALSE)</f>
        <v>#N/A</v>
      </c>
      <c r="J3013" s="84">
        <f t="shared" si="96"/>
        <v>0</v>
      </c>
      <c r="K3013" s="84">
        <f t="shared" si="97"/>
        <v>0</v>
      </c>
      <c r="L3013" s="61" t="e">
        <f>VLOOKUP(K3013,[1]Mapping!$J$3:$Q$351,8,FALSE)</f>
        <v>#N/A</v>
      </c>
      <c r="M3013" t="s">
        <v>83</v>
      </c>
    </row>
    <row r="3014" spans="5:13" hidden="1" x14ac:dyDescent="0.35">
      <c r="E3014" s="81"/>
      <c r="I3014" s="83" t="e">
        <f>VLOOKUP(E3014,[1]Mapping!$A$3:$B$14,2,FALSE)</f>
        <v>#N/A</v>
      </c>
      <c r="J3014" s="84">
        <f t="shared" si="96"/>
        <v>0</v>
      </c>
      <c r="K3014" s="84">
        <f t="shared" si="97"/>
        <v>0</v>
      </c>
      <c r="L3014" s="61" t="e">
        <f>VLOOKUP(K3014,[1]Mapping!$J$3:$Q$351,8,FALSE)</f>
        <v>#N/A</v>
      </c>
      <c r="M3014" t="s">
        <v>83</v>
      </c>
    </row>
    <row r="3015" spans="5:13" hidden="1" x14ac:dyDescent="0.35">
      <c r="E3015" s="81"/>
      <c r="I3015" s="83" t="e">
        <f>VLOOKUP(E3015,[1]Mapping!$A$3:$B$14,2,FALSE)</f>
        <v>#N/A</v>
      </c>
      <c r="J3015" s="84">
        <f t="shared" si="96"/>
        <v>0</v>
      </c>
      <c r="K3015" s="84">
        <f t="shared" si="97"/>
        <v>0</v>
      </c>
      <c r="L3015" s="61" t="e">
        <f>VLOOKUP(K3015,[1]Mapping!$J$3:$Q$351,8,FALSE)</f>
        <v>#N/A</v>
      </c>
      <c r="M3015" t="s">
        <v>83</v>
      </c>
    </row>
    <row r="3016" spans="5:13" hidden="1" x14ac:dyDescent="0.35">
      <c r="E3016" s="81"/>
      <c r="I3016" s="83" t="e">
        <f>VLOOKUP(E3016,[1]Mapping!$A$3:$B$14,2,FALSE)</f>
        <v>#N/A</v>
      </c>
      <c r="J3016" s="84">
        <f t="shared" si="96"/>
        <v>0</v>
      </c>
      <c r="K3016" s="84">
        <f t="shared" si="97"/>
        <v>0</v>
      </c>
      <c r="L3016" s="61" t="e">
        <f>VLOOKUP(K3016,[1]Mapping!$J$3:$Q$351,8,FALSE)</f>
        <v>#N/A</v>
      </c>
      <c r="M3016" t="s">
        <v>83</v>
      </c>
    </row>
    <row r="3017" spans="5:13" hidden="1" x14ac:dyDescent="0.35">
      <c r="E3017" s="81"/>
      <c r="I3017" s="83" t="e">
        <f>VLOOKUP(E3017,[1]Mapping!$A$3:$B$14,2,FALSE)</f>
        <v>#N/A</v>
      </c>
      <c r="J3017" s="84">
        <f t="shared" si="96"/>
        <v>0</v>
      </c>
      <c r="K3017" s="84">
        <f t="shared" si="97"/>
        <v>0</v>
      </c>
      <c r="L3017" s="61" t="e">
        <f>VLOOKUP(K3017,[1]Mapping!$J$3:$Q$351,8,FALSE)</f>
        <v>#N/A</v>
      </c>
      <c r="M3017" t="s">
        <v>83</v>
      </c>
    </row>
    <row r="3018" spans="5:13" hidden="1" x14ac:dyDescent="0.35">
      <c r="E3018" s="81"/>
      <c r="I3018" s="83" t="e">
        <f>VLOOKUP(E3018,[1]Mapping!$A$3:$B$14,2,FALSE)</f>
        <v>#N/A</v>
      </c>
      <c r="J3018" s="84">
        <f t="shared" si="96"/>
        <v>0</v>
      </c>
      <c r="K3018" s="84">
        <f t="shared" si="97"/>
        <v>0</v>
      </c>
      <c r="L3018" s="61" t="e">
        <f>VLOOKUP(K3018,[1]Mapping!$J$3:$Q$351,8,FALSE)</f>
        <v>#N/A</v>
      </c>
      <c r="M3018" t="s">
        <v>83</v>
      </c>
    </row>
    <row r="3019" spans="5:13" hidden="1" x14ac:dyDescent="0.35">
      <c r="E3019" s="81"/>
      <c r="I3019" s="83" t="e">
        <f>VLOOKUP(E3019,[1]Mapping!$A$3:$B$14,2,FALSE)</f>
        <v>#N/A</v>
      </c>
      <c r="J3019" s="84">
        <f t="shared" si="96"/>
        <v>0</v>
      </c>
      <c r="K3019" s="84">
        <f t="shared" si="97"/>
        <v>0</v>
      </c>
      <c r="L3019" s="61" t="e">
        <f>VLOOKUP(K3019,[1]Mapping!$J$3:$Q$351,8,FALSE)</f>
        <v>#N/A</v>
      </c>
      <c r="M3019" t="s">
        <v>83</v>
      </c>
    </row>
    <row r="3020" spans="5:13" hidden="1" x14ac:dyDescent="0.35">
      <c r="E3020" s="81"/>
      <c r="I3020" s="83" t="e">
        <f>VLOOKUP(E3020,[1]Mapping!$A$3:$B$14,2,FALSE)</f>
        <v>#N/A</v>
      </c>
      <c r="J3020" s="84">
        <f t="shared" si="96"/>
        <v>0</v>
      </c>
      <c r="K3020" s="84">
        <f t="shared" si="97"/>
        <v>0</v>
      </c>
      <c r="L3020" s="61" t="e">
        <f>VLOOKUP(K3020,[1]Mapping!$J$3:$Q$351,8,FALSE)</f>
        <v>#N/A</v>
      </c>
      <c r="M3020" t="s">
        <v>83</v>
      </c>
    </row>
    <row r="3021" spans="5:13" hidden="1" x14ac:dyDescent="0.35">
      <c r="E3021" s="81"/>
      <c r="I3021" s="83" t="e">
        <f>VLOOKUP(E3021,[1]Mapping!$A$3:$B$14,2,FALSE)</f>
        <v>#N/A</v>
      </c>
      <c r="J3021" s="84">
        <f t="shared" si="96"/>
        <v>0</v>
      </c>
      <c r="K3021" s="84">
        <f t="shared" si="97"/>
        <v>0</v>
      </c>
      <c r="L3021" s="61" t="e">
        <f>VLOOKUP(K3021,[1]Mapping!$J$3:$Q$351,8,FALSE)</f>
        <v>#N/A</v>
      </c>
      <c r="M3021" t="s">
        <v>83</v>
      </c>
    </row>
    <row r="3022" spans="5:13" hidden="1" x14ac:dyDescent="0.35">
      <c r="E3022" s="81"/>
      <c r="I3022" s="83" t="e">
        <f>VLOOKUP(E3022,[1]Mapping!$A$3:$B$14,2,FALSE)</f>
        <v>#N/A</v>
      </c>
      <c r="J3022" s="84">
        <f t="shared" si="96"/>
        <v>0</v>
      </c>
      <c r="K3022" s="84">
        <f t="shared" si="97"/>
        <v>0</v>
      </c>
      <c r="L3022" s="61" t="e">
        <f>VLOOKUP(K3022,[1]Mapping!$J$3:$Q$351,8,FALSE)</f>
        <v>#N/A</v>
      </c>
      <c r="M3022" t="s">
        <v>83</v>
      </c>
    </row>
    <row r="3023" spans="5:13" hidden="1" x14ac:dyDescent="0.35">
      <c r="E3023" s="81"/>
      <c r="I3023" s="83" t="e">
        <f>VLOOKUP(E3023,[1]Mapping!$A$3:$B$14,2,FALSE)</f>
        <v>#N/A</v>
      </c>
      <c r="J3023" s="84">
        <f t="shared" si="96"/>
        <v>0</v>
      </c>
      <c r="K3023" s="84">
        <f t="shared" si="97"/>
        <v>0</v>
      </c>
      <c r="L3023" s="61" t="e">
        <f>VLOOKUP(K3023,[1]Mapping!$J$3:$Q$351,8,FALSE)</f>
        <v>#N/A</v>
      </c>
      <c r="M3023" t="s">
        <v>83</v>
      </c>
    </row>
    <row r="3024" spans="5:13" hidden="1" x14ac:dyDescent="0.35">
      <c r="E3024" s="81"/>
      <c r="I3024" s="83" t="e">
        <f>VLOOKUP(E3024,[1]Mapping!$A$3:$B$14,2,FALSE)</f>
        <v>#N/A</v>
      </c>
      <c r="J3024" s="84">
        <f t="shared" si="96"/>
        <v>0</v>
      </c>
      <c r="K3024" s="84">
        <f t="shared" si="97"/>
        <v>0</v>
      </c>
      <c r="L3024" s="61" t="e">
        <f>VLOOKUP(K3024,[1]Mapping!$J$3:$Q$351,8,FALSE)</f>
        <v>#N/A</v>
      </c>
      <c r="M3024" t="s">
        <v>83</v>
      </c>
    </row>
    <row r="3025" spans="5:13" hidden="1" x14ac:dyDescent="0.35">
      <c r="E3025" s="81"/>
      <c r="I3025" s="83" t="e">
        <f>VLOOKUP(E3025,[1]Mapping!$A$3:$B$14,2,FALSE)</f>
        <v>#N/A</v>
      </c>
      <c r="J3025" s="84">
        <f t="shared" si="96"/>
        <v>0</v>
      </c>
      <c r="K3025" s="84">
        <f t="shared" si="97"/>
        <v>0</v>
      </c>
      <c r="L3025" s="61" t="e">
        <f>VLOOKUP(K3025,[1]Mapping!$J$3:$Q$351,8,FALSE)</f>
        <v>#N/A</v>
      </c>
      <c r="M3025" t="s">
        <v>83</v>
      </c>
    </row>
    <row r="3026" spans="5:13" hidden="1" x14ac:dyDescent="0.35">
      <c r="E3026" s="81"/>
      <c r="I3026" s="83" t="e">
        <f>VLOOKUP(E3026,[1]Mapping!$A$3:$B$14,2,FALSE)</f>
        <v>#N/A</v>
      </c>
      <c r="J3026" s="84">
        <f t="shared" si="96"/>
        <v>0</v>
      </c>
      <c r="K3026" s="84">
        <f t="shared" si="97"/>
        <v>0</v>
      </c>
      <c r="L3026" s="61" t="e">
        <f>VLOOKUP(K3026,[1]Mapping!$J$3:$Q$351,8,FALSE)</f>
        <v>#N/A</v>
      </c>
      <c r="M3026" t="s">
        <v>83</v>
      </c>
    </row>
    <row r="3027" spans="5:13" hidden="1" x14ac:dyDescent="0.35">
      <c r="E3027" s="81"/>
      <c r="I3027" s="83" t="e">
        <f>VLOOKUP(E3027,[1]Mapping!$A$3:$B$14,2,FALSE)</f>
        <v>#N/A</v>
      </c>
      <c r="J3027" s="84">
        <f t="shared" si="96"/>
        <v>0</v>
      </c>
      <c r="K3027" s="84">
        <f t="shared" si="97"/>
        <v>0</v>
      </c>
      <c r="L3027" s="61" t="e">
        <f>VLOOKUP(K3027,[1]Mapping!$J$3:$Q$351,8,FALSE)</f>
        <v>#N/A</v>
      </c>
      <c r="M3027" t="s">
        <v>83</v>
      </c>
    </row>
    <row r="3028" spans="5:13" hidden="1" x14ac:dyDescent="0.35">
      <c r="E3028" s="81"/>
      <c r="I3028" s="83" t="e">
        <f>VLOOKUP(E3028,[1]Mapping!$A$3:$B$14,2,FALSE)</f>
        <v>#N/A</v>
      </c>
      <c r="J3028" s="84">
        <f t="shared" si="96"/>
        <v>0</v>
      </c>
      <c r="K3028" s="84">
        <f t="shared" si="97"/>
        <v>0</v>
      </c>
      <c r="L3028" s="61" t="e">
        <f>VLOOKUP(K3028,[1]Mapping!$J$3:$Q$351,8,FALSE)</f>
        <v>#N/A</v>
      </c>
      <c r="M3028" t="s">
        <v>83</v>
      </c>
    </row>
    <row r="3029" spans="5:13" hidden="1" x14ac:dyDescent="0.35">
      <c r="E3029" s="81"/>
      <c r="I3029" s="83" t="e">
        <f>VLOOKUP(E3029,[1]Mapping!$A$3:$B$14,2,FALSE)</f>
        <v>#N/A</v>
      </c>
      <c r="J3029" s="84">
        <f t="shared" si="96"/>
        <v>0</v>
      </c>
      <c r="K3029" s="84">
        <f t="shared" si="97"/>
        <v>0</v>
      </c>
      <c r="L3029" s="61" t="e">
        <f>VLOOKUP(K3029,[1]Mapping!$J$3:$Q$351,8,FALSE)</f>
        <v>#N/A</v>
      </c>
      <c r="M3029" t="s">
        <v>83</v>
      </c>
    </row>
    <row r="3030" spans="5:13" hidden="1" x14ac:dyDescent="0.35">
      <c r="E3030" s="81"/>
      <c r="I3030" s="83" t="e">
        <f>VLOOKUP(E3030,[1]Mapping!$A$3:$B$14,2,FALSE)</f>
        <v>#N/A</v>
      </c>
      <c r="J3030" s="84">
        <f t="shared" si="96"/>
        <v>0</v>
      </c>
      <c r="K3030" s="84">
        <f t="shared" si="97"/>
        <v>0</v>
      </c>
      <c r="L3030" s="61" t="e">
        <f>VLOOKUP(K3030,[1]Mapping!$J$3:$Q$351,8,FALSE)</f>
        <v>#N/A</v>
      </c>
      <c r="M3030" t="s">
        <v>83</v>
      </c>
    </row>
    <row r="3031" spans="5:13" hidden="1" x14ac:dyDescent="0.35">
      <c r="E3031" s="81"/>
      <c r="I3031" s="83" t="e">
        <f>VLOOKUP(E3031,[1]Mapping!$A$3:$B$14,2,FALSE)</f>
        <v>#N/A</v>
      </c>
      <c r="J3031" s="84">
        <f t="shared" si="96"/>
        <v>0</v>
      </c>
      <c r="K3031" s="84">
        <f t="shared" si="97"/>
        <v>0</v>
      </c>
      <c r="L3031" s="61" t="e">
        <f>VLOOKUP(K3031,[1]Mapping!$J$3:$Q$351,8,FALSE)</f>
        <v>#N/A</v>
      </c>
      <c r="M3031" t="s">
        <v>83</v>
      </c>
    </row>
    <row r="3032" spans="5:13" hidden="1" x14ac:dyDescent="0.35">
      <c r="E3032" s="81"/>
      <c r="I3032" s="83" t="e">
        <f>VLOOKUP(E3032,[1]Mapping!$A$3:$B$14,2,FALSE)</f>
        <v>#N/A</v>
      </c>
      <c r="J3032" s="84">
        <f t="shared" si="96"/>
        <v>0</v>
      </c>
      <c r="K3032" s="84">
        <f t="shared" si="97"/>
        <v>0</v>
      </c>
      <c r="L3032" s="61" t="e">
        <f>VLOOKUP(K3032,[1]Mapping!$J$3:$Q$351,8,FALSE)</f>
        <v>#N/A</v>
      </c>
      <c r="M3032" t="s">
        <v>83</v>
      </c>
    </row>
    <row r="3033" spans="5:13" hidden="1" x14ac:dyDescent="0.35">
      <c r="E3033" s="81"/>
      <c r="I3033" s="83" t="e">
        <f>VLOOKUP(E3033,[1]Mapping!$A$3:$B$14,2,FALSE)</f>
        <v>#N/A</v>
      </c>
      <c r="J3033" s="84">
        <f t="shared" si="96"/>
        <v>0</v>
      </c>
      <c r="K3033" s="84">
        <f t="shared" si="97"/>
        <v>0</v>
      </c>
      <c r="L3033" s="61" t="e">
        <f>VLOOKUP(K3033,[1]Mapping!$J$3:$Q$351,8,FALSE)</f>
        <v>#N/A</v>
      </c>
      <c r="M3033" t="s">
        <v>83</v>
      </c>
    </row>
    <row r="3034" spans="5:13" hidden="1" x14ac:dyDescent="0.35">
      <c r="E3034" s="81"/>
      <c r="I3034" s="83" t="e">
        <f>VLOOKUP(E3034,[1]Mapping!$A$3:$B$14,2,FALSE)</f>
        <v>#N/A</v>
      </c>
      <c r="J3034" s="84">
        <f t="shared" si="96"/>
        <v>0</v>
      </c>
      <c r="K3034" s="84">
        <f t="shared" si="97"/>
        <v>0</v>
      </c>
      <c r="L3034" s="61" t="e">
        <f>VLOOKUP(K3034,[1]Mapping!$J$3:$Q$351,8,FALSE)</f>
        <v>#N/A</v>
      </c>
      <c r="M3034" t="s">
        <v>83</v>
      </c>
    </row>
    <row r="3035" spans="5:13" hidden="1" x14ac:dyDescent="0.35">
      <c r="E3035" s="81"/>
      <c r="I3035" s="83" t="e">
        <f>VLOOKUP(E3035,[1]Mapping!$A$3:$B$14,2,FALSE)</f>
        <v>#N/A</v>
      </c>
      <c r="J3035" s="84">
        <f t="shared" si="96"/>
        <v>0</v>
      </c>
      <c r="K3035" s="84">
        <f t="shared" si="97"/>
        <v>0</v>
      </c>
      <c r="L3035" s="61" t="e">
        <f>VLOOKUP(K3035,[1]Mapping!$J$3:$Q$351,8,FALSE)</f>
        <v>#N/A</v>
      </c>
      <c r="M3035" t="s">
        <v>83</v>
      </c>
    </row>
    <row r="3036" spans="5:13" hidden="1" x14ac:dyDescent="0.35">
      <c r="E3036" s="81"/>
      <c r="I3036" s="83" t="e">
        <f>VLOOKUP(E3036,[1]Mapping!$A$3:$B$14,2,FALSE)</f>
        <v>#N/A</v>
      </c>
      <c r="J3036" s="84">
        <f t="shared" si="96"/>
        <v>0</v>
      </c>
      <c r="K3036" s="84">
        <f t="shared" si="97"/>
        <v>0</v>
      </c>
      <c r="L3036" s="61" t="e">
        <f>VLOOKUP(K3036,[1]Mapping!$J$3:$Q$351,8,FALSE)</f>
        <v>#N/A</v>
      </c>
      <c r="M3036" t="s">
        <v>83</v>
      </c>
    </row>
    <row r="3037" spans="5:13" hidden="1" x14ac:dyDescent="0.35">
      <c r="E3037" s="81"/>
      <c r="I3037" s="83" t="e">
        <f>VLOOKUP(E3037,[1]Mapping!$A$3:$B$14,2,FALSE)</f>
        <v>#N/A</v>
      </c>
      <c r="J3037" s="84">
        <f t="shared" si="96"/>
        <v>0</v>
      </c>
      <c r="K3037" s="84">
        <f t="shared" si="97"/>
        <v>0</v>
      </c>
      <c r="L3037" s="61" t="e">
        <f>VLOOKUP(K3037,[1]Mapping!$J$3:$Q$351,8,FALSE)</f>
        <v>#N/A</v>
      </c>
      <c r="M3037" t="s">
        <v>83</v>
      </c>
    </row>
    <row r="3038" spans="5:13" hidden="1" x14ac:dyDescent="0.35">
      <c r="E3038" s="81"/>
      <c r="I3038" s="83" t="e">
        <f>VLOOKUP(E3038,[1]Mapping!$A$3:$B$14,2,FALSE)</f>
        <v>#N/A</v>
      </c>
      <c r="J3038" s="84">
        <f t="shared" si="96"/>
        <v>0</v>
      </c>
      <c r="K3038" s="84">
        <f t="shared" si="97"/>
        <v>0</v>
      </c>
      <c r="L3038" s="61" t="e">
        <f>VLOOKUP(K3038,[1]Mapping!$J$3:$Q$351,8,FALSE)</f>
        <v>#N/A</v>
      </c>
      <c r="M3038" t="s">
        <v>83</v>
      </c>
    </row>
    <row r="3039" spans="5:13" hidden="1" x14ac:dyDescent="0.35">
      <c r="E3039" s="81"/>
      <c r="I3039" s="83" t="e">
        <f>VLOOKUP(E3039,[1]Mapping!$A$3:$B$14,2,FALSE)</f>
        <v>#N/A</v>
      </c>
      <c r="J3039" s="84">
        <f t="shared" si="96"/>
        <v>0</v>
      </c>
      <c r="K3039" s="84">
        <f t="shared" si="97"/>
        <v>0</v>
      </c>
      <c r="L3039" s="61" t="e">
        <f>VLOOKUP(K3039,[1]Mapping!$J$3:$Q$351,8,FALSE)</f>
        <v>#N/A</v>
      </c>
      <c r="M3039" t="s">
        <v>83</v>
      </c>
    </row>
    <row r="3040" spans="5:13" hidden="1" x14ac:dyDescent="0.35">
      <c r="E3040" s="81"/>
      <c r="I3040" s="83" t="e">
        <f>VLOOKUP(E3040,[1]Mapping!$A$3:$B$14,2,FALSE)</f>
        <v>#N/A</v>
      </c>
      <c r="J3040" s="84">
        <f t="shared" si="96"/>
        <v>0</v>
      </c>
      <c r="K3040" s="84">
        <f t="shared" si="97"/>
        <v>0</v>
      </c>
      <c r="L3040" s="61" t="e">
        <f>VLOOKUP(K3040,[1]Mapping!$J$3:$Q$351,8,FALSE)</f>
        <v>#N/A</v>
      </c>
      <c r="M3040" t="s">
        <v>83</v>
      </c>
    </row>
    <row r="3041" spans="5:13" hidden="1" x14ac:dyDescent="0.35">
      <c r="E3041" s="81"/>
      <c r="I3041" s="83" t="e">
        <f>VLOOKUP(E3041,[1]Mapping!$A$3:$B$14,2,FALSE)</f>
        <v>#N/A</v>
      </c>
      <c r="J3041" s="84">
        <f t="shared" si="96"/>
        <v>0</v>
      </c>
      <c r="K3041" s="84">
        <f t="shared" si="97"/>
        <v>0</v>
      </c>
      <c r="L3041" s="61" t="e">
        <f>VLOOKUP(K3041,[1]Mapping!$J$3:$Q$351,8,FALSE)</f>
        <v>#N/A</v>
      </c>
      <c r="M3041" t="s">
        <v>83</v>
      </c>
    </row>
    <row r="3042" spans="5:13" hidden="1" x14ac:dyDescent="0.35">
      <c r="E3042" s="81"/>
      <c r="I3042" s="83" t="e">
        <f>VLOOKUP(E3042,[1]Mapping!$A$3:$B$14,2,FALSE)</f>
        <v>#N/A</v>
      </c>
      <c r="J3042" s="84">
        <f t="shared" si="96"/>
        <v>0</v>
      </c>
      <c r="K3042" s="84">
        <f t="shared" si="97"/>
        <v>0</v>
      </c>
      <c r="L3042" s="61" t="e">
        <f>VLOOKUP(K3042,[1]Mapping!$J$3:$Q$351,8,FALSE)</f>
        <v>#N/A</v>
      </c>
      <c r="M3042" t="s">
        <v>83</v>
      </c>
    </row>
    <row r="3043" spans="5:13" hidden="1" x14ac:dyDescent="0.35">
      <c r="E3043" s="81"/>
      <c r="I3043" s="83" t="e">
        <f>VLOOKUP(E3043,[1]Mapping!$A$3:$B$14,2,FALSE)</f>
        <v>#N/A</v>
      </c>
      <c r="J3043" s="84">
        <f t="shared" si="96"/>
        <v>0</v>
      </c>
      <c r="K3043" s="84">
        <f t="shared" si="97"/>
        <v>0</v>
      </c>
      <c r="L3043" s="61" t="e">
        <f>VLOOKUP(K3043,[1]Mapping!$J$3:$Q$351,8,FALSE)</f>
        <v>#N/A</v>
      </c>
      <c r="M3043" t="s">
        <v>83</v>
      </c>
    </row>
    <row r="3044" spans="5:13" hidden="1" x14ac:dyDescent="0.35">
      <c r="E3044" s="81"/>
      <c r="I3044" s="83" t="e">
        <f>VLOOKUP(E3044,[1]Mapping!$A$3:$B$14,2,FALSE)</f>
        <v>#N/A</v>
      </c>
      <c r="J3044" s="84">
        <f t="shared" si="96"/>
        <v>0</v>
      </c>
      <c r="K3044" s="84">
        <f t="shared" si="97"/>
        <v>0</v>
      </c>
      <c r="L3044" s="61" t="e">
        <f>VLOOKUP(K3044,[1]Mapping!$J$3:$Q$351,8,FALSE)</f>
        <v>#N/A</v>
      </c>
      <c r="M3044" t="s">
        <v>83</v>
      </c>
    </row>
    <row r="3045" spans="5:13" hidden="1" x14ac:dyDescent="0.35">
      <c r="E3045" s="81"/>
      <c r="I3045" s="83" t="e">
        <f>VLOOKUP(E3045,[1]Mapping!$A$3:$B$14,2,FALSE)</f>
        <v>#N/A</v>
      </c>
      <c r="J3045" s="84">
        <f t="shared" si="96"/>
        <v>0</v>
      </c>
      <c r="K3045" s="84">
        <f t="shared" si="97"/>
        <v>0</v>
      </c>
      <c r="L3045" s="61" t="e">
        <f>VLOOKUP(K3045,[1]Mapping!$J$3:$Q$351,8,FALSE)</f>
        <v>#N/A</v>
      </c>
      <c r="M3045" t="s">
        <v>83</v>
      </c>
    </row>
    <row r="3046" spans="5:13" hidden="1" x14ac:dyDescent="0.35">
      <c r="E3046" s="81"/>
      <c r="I3046" s="83" t="e">
        <f>VLOOKUP(E3046,[1]Mapping!$A$3:$B$14,2,FALSE)</f>
        <v>#N/A</v>
      </c>
      <c r="J3046" s="84">
        <f t="shared" si="96"/>
        <v>0</v>
      </c>
      <c r="K3046" s="84">
        <f t="shared" si="97"/>
        <v>0</v>
      </c>
      <c r="L3046" s="61" t="e">
        <f>VLOOKUP(K3046,[1]Mapping!$J$3:$Q$351,8,FALSE)</f>
        <v>#N/A</v>
      </c>
      <c r="M3046" t="s">
        <v>83</v>
      </c>
    </row>
    <row r="3047" spans="5:13" hidden="1" x14ac:dyDescent="0.35">
      <c r="E3047" s="81"/>
      <c r="I3047" s="83" t="e">
        <f>VLOOKUP(E3047,[1]Mapping!$A$3:$B$14,2,FALSE)</f>
        <v>#N/A</v>
      </c>
      <c r="J3047" s="84">
        <f t="shared" si="96"/>
        <v>0</v>
      </c>
      <c r="K3047" s="84">
        <f t="shared" si="97"/>
        <v>0</v>
      </c>
      <c r="L3047" s="61" t="e">
        <f>VLOOKUP(K3047,[1]Mapping!$J$3:$Q$351,8,FALSE)</f>
        <v>#N/A</v>
      </c>
      <c r="M3047" t="s">
        <v>83</v>
      </c>
    </row>
    <row r="3048" spans="5:13" hidden="1" x14ac:dyDescent="0.35">
      <c r="E3048" s="81"/>
      <c r="I3048" s="83" t="e">
        <f>VLOOKUP(E3048,[1]Mapping!$A$3:$B$14,2,FALSE)</f>
        <v>#N/A</v>
      </c>
      <c r="J3048" s="84">
        <f t="shared" si="96"/>
        <v>0</v>
      </c>
      <c r="K3048" s="84">
        <f t="shared" si="97"/>
        <v>0</v>
      </c>
      <c r="L3048" s="61" t="e">
        <f>VLOOKUP(K3048,[1]Mapping!$J$3:$Q$351,8,FALSE)</f>
        <v>#N/A</v>
      </c>
      <c r="M3048" t="s">
        <v>83</v>
      </c>
    </row>
    <row r="3049" spans="5:13" hidden="1" x14ac:dyDescent="0.35">
      <c r="E3049" s="81"/>
      <c r="I3049" s="83" t="e">
        <f>VLOOKUP(E3049,[1]Mapping!$A$3:$B$14,2,FALSE)</f>
        <v>#N/A</v>
      </c>
      <c r="J3049" s="84">
        <f t="shared" si="96"/>
        <v>0</v>
      </c>
      <c r="K3049" s="84">
        <f t="shared" si="97"/>
        <v>0</v>
      </c>
      <c r="L3049" s="61" t="e">
        <f>VLOOKUP(K3049,[1]Mapping!$J$3:$Q$351,8,FALSE)</f>
        <v>#N/A</v>
      </c>
      <c r="M3049" t="s">
        <v>83</v>
      </c>
    </row>
    <row r="3050" spans="5:13" hidden="1" x14ac:dyDescent="0.35">
      <c r="E3050" s="81"/>
      <c r="I3050" s="83" t="e">
        <f>VLOOKUP(E3050,[1]Mapping!$A$3:$B$14,2,FALSE)</f>
        <v>#N/A</v>
      </c>
      <c r="J3050" s="84">
        <f t="shared" si="96"/>
        <v>0</v>
      </c>
      <c r="K3050" s="84">
        <f t="shared" si="97"/>
        <v>0</v>
      </c>
      <c r="L3050" s="61" t="e">
        <f>VLOOKUP(K3050,[1]Mapping!$J$3:$Q$351,8,FALSE)</f>
        <v>#N/A</v>
      </c>
      <c r="M3050" t="s">
        <v>83</v>
      </c>
    </row>
    <row r="3051" spans="5:13" hidden="1" x14ac:dyDescent="0.35">
      <c r="E3051" s="81"/>
      <c r="I3051" s="83" t="e">
        <f>VLOOKUP(E3051,[1]Mapping!$A$3:$B$14,2,FALSE)</f>
        <v>#N/A</v>
      </c>
      <c r="J3051" s="84">
        <f t="shared" si="96"/>
        <v>0</v>
      </c>
      <c r="K3051" s="84">
        <f t="shared" si="97"/>
        <v>0</v>
      </c>
      <c r="L3051" s="61" t="e">
        <f>VLOOKUP(K3051,[1]Mapping!$J$3:$Q$351,8,FALSE)</f>
        <v>#N/A</v>
      </c>
      <c r="M3051" t="s">
        <v>83</v>
      </c>
    </row>
    <row r="3052" spans="5:13" hidden="1" x14ac:dyDescent="0.35">
      <c r="E3052" s="81"/>
      <c r="I3052" s="83" t="e">
        <f>VLOOKUP(E3052,[1]Mapping!$A$3:$B$14,2,FALSE)</f>
        <v>#N/A</v>
      </c>
      <c r="J3052" s="84">
        <f t="shared" si="96"/>
        <v>0</v>
      </c>
      <c r="K3052" s="84">
        <f t="shared" si="97"/>
        <v>0</v>
      </c>
      <c r="L3052" s="61" t="e">
        <f>VLOOKUP(K3052,[1]Mapping!$J$3:$Q$351,8,FALSE)</f>
        <v>#N/A</v>
      </c>
      <c r="M3052" t="s">
        <v>83</v>
      </c>
    </row>
    <row r="3053" spans="5:13" hidden="1" x14ac:dyDescent="0.35">
      <c r="E3053" s="81"/>
      <c r="I3053" s="83" t="e">
        <f>VLOOKUP(E3053,[1]Mapping!$A$3:$B$14,2,FALSE)</f>
        <v>#N/A</v>
      </c>
      <c r="J3053" s="84">
        <f t="shared" si="96"/>
        <v>0</v>
      </c>
      <c r="K3053" s="84">
        <f t="shared" si="97"/>
        <v>0</v>
      </c>
      <c r="L3053" s="61" t="e">
        <f>VLOOKUP(K3053,[1]Mapping!$J$3:$Q$351,8,FALSE)</f>
        <v>#N/A</v>
      </c>
      <c r="M3053" t="s">
        <v>83</v>
      </c>
    </row>
    <row r="3054" spans="5:13" hidden="1" x14ac:dyDescent="0.35">
      <c r="E3054" s="81"/>
      <c r="I3054" s="83" t="e">
        <f>VLOOKUP(E3054,[1]Mapping!$A$3:$B$14,2,FALSE)</f>
        <v>#N/A</v>
      </c>
      <c r="J3054" s="84">
        <f t="shared" si="96"/>
        <v>0</v>
      </c>
      <c r="K3054" s="84">
        <f t="shared" si="97"/>
        <v>0</v>
      </c>
      <c r="L3054" s="61" t="e">
        <f>VLOOKUP(K3054,[1]Mapping!$J$3:$Q$351,8,FALSE)</f>
        <v>#N/A</v>
      </c>
      <c r="M3054" t="s">
        <v>83</v>
      </c>
    </row>
    <row r="3055" spans="5:13" hidden="1" x14ac:dyDescent="0.35">
      <c r="E3055" s="81"/>
      <c r="I3055" s="83" t="e">
        <f>VLOOKUP(E3055,[1]Mapping!$A$3:$B$14,2,FALSE)</f>
        <v>#N/A</v>
      </c>
      <c r="J3055" s="84">
        <f t="shared" si="96"/>
        <v>0</v>
      </c>
      <c r="K3055" s="84">
        <f t="shared" si="97"/>
        <v>0</v>
      </c>
      <c r="L3055" s="61" t="e">
        <f>VLOOKUP(K3055,[1]Mapping!$J$3:$Q$351,8,FALSE)</f>
        <v>#N/A</v>
      </c>
      <c r="M3055" t="s">
        <v>83</v>
      </c>
    </row>
    <row r="3056" spans="5:13" hidden="1" x14ac:dyDescent="0.35">
      <c r="E3056" s="81"/>
      <c r="I3056" s="83" t="e">
        <f>VLOOKUP(E3056,[1]Mapping!$A$3:$B$14,2,FALSE)</f>
        <v>#N/A</v>
      </c>
      <c r="J3056" s="84">
        <f t="shared" si="96"/>
        <v>0</v>
      </c>
      <c r="K3056" s="84">
        <f t="shared" si="97"/>
        <v>0</v>
      </c>
      <c r="L3056" s="61" t="e">
        <f>VLOOKUP(K3056,[1]Mapping!$J$3:$Q$351,8,FALSE)</f>
        <v>#N/A</v>
      </c>
      <c r="M3056" t="s">
        <v>83</v>
      </c>
    </row>
    <row r="3057" spans="5:13" hidden="1" x14ac:dyDescent="0.35">
      <c r="E3057" s="81"/>
      <c r="I3057" s="83" t="e">
        <f>VLOOKUP(E3057,[1]Mapping!$A$3:$B$14,2,FALSE)</f>
        <v>#N/A</v>
      </c>
      <c r="J3057" s="84">
        <f t="shared" si="96"/>
        <v>0</v>
      </c>
      <c r="K3057" s="84">
        <f t="shared" si="97"/>
        <v>0</v>
      </c>
      <c r="L3057" s="61" t="e">
        <f>VLOOKUP(K3057,[1]Mapping!$J$3:$Q$351,8,FALSE)</f>
        <v>#N/A</v>
      </c>
      <c r="M3057" t="s">
        <v>83</v>
      </c>
    </row>
    <row r="3058" spans="5:13" hidden="1" x14ac:dyDescent="0.35">
      <c r="E3058" s="81"/>
      <c r="I3058" s="83" t="e">
        <f>VLOOKUP(E3058,[1]Mapping!$A$3:$B$14,2,FALSE)</f>
        <v>#N/A</v>
      </c>
      <c r="J3058" s="84">
        <f t="shared" si="96"/>
        <v>0</v>
      </c>
      <c r="K3058" s="84">
        <f t="shared" si="97"/>
        <v>0</v>
      </c>
      <c r="L3058" s="61" t="e">
        <f>VLOOKUP(K3058,[1]Mapping!$J$3:$Q$351,8,FALSE)</f>
        <v>#N/A</v>
      </c>
      <c r="M3058" t="s">
        <v>83</v>
      </c>
    </row>
    <row r="3059" spans="5:13" hidden="1" x14ac:dyDescent="0.35">
      <c r="E3059" s="81"/>
      <c r="I3059" s="83" t="e">
        <f>VLOOKUP(E3059,[1]Mapping!$A$3:$B$14,2,FALSE)</f>
        <v>#N/A</v>
      </c>
      <c r="J3059" s="84">
        <f t="shared" si="96"/>
        <v>0</v>
      </c>
      <c r="K3059" s="84">
        <f t="shared" si="97"/>
        <v>0</v>
      </c>
      <c r="L3059" s="61" t="e">
        <f>VLOOKUP(K3059,[1]Mapping!$J$3:$Q$351,8,FALSE)</f>
        <v>#N/A</v>
      </c>
      <c r="M3059" t="s">
        <v>83</v>
      </c>
    </row>
    <row r="3060" spans="5:13" hidden="1" x14ac:dyDescent="0.35">
      <c r="E3060" s="81"/>
      <c r="I3060" s="83" t="e">
        <f>VLOOKUP(E3060,[1]Mapping!$A$3:$B$14,2,FALSE)</f>
        <v>#N/A</v>
      </c>
      <c r="J3060" s="84">
        <f t="shared" si="96"/>
        <v>0</v>
      </c>
      <c r="K3060" s="84">
        <f t="shared" si="97"/>
        <v>0</v>
      </c>
      <c r="L3060" s="61" t="e">
        <f>VLOOKUP(K3060,[1]Mapping!$J$3:$Q$351,8,FALSE)</f>
        <v>#N/A</v>
      </c>
      <c r="M3060" t="s">
        <v>83</v>
      </c>
    </row>
    <row r="3061" spans="5:13" hidden="1" x14ac:dyDescent="0.35">
      <c r="E3061" s="81"/>
      <c r="I3061" s="83" t="e">
        <f>VLOOKUP(E3061,[1]Mapping!$A$3:$B$14,2,FALSE)</f>
        <v>#N/A</v>
      </c>
      <c r="J3061" s="84">
        <f t="shared" si="96"/>
        <v>0</v>
      </c>
      <c r="K3061" s="84">
        <f t="shared" si="97"/>
        <v>0</v>
      </c>
      <c r="L3061" s="61" t="e">
        <f>VLOOKUP(K3061,[1]Mapping!$J$3:$Q$351,8,FALSE)</f>
        <v>#N/A</v>
      </c>
      <c r="M3061" t="s">
        <v>83</v>
      </c>
    </row>
    <row r="3062" spans="5:13" hidden="1" x14ac:dyDescent="0.35">
      <c r="E3062" s="81"/>
      <c r="I3062" s="83" t="e">
        <f>VLOOKUP(E3062,[1]Mapping!$A$3:$B$14,2,FALSE)</f>
        <v>#N/A</v>
      </c>
      <c r="J3062" s="84">
        <f t="shared" si="96"/>
        <v>0</v>
      </c>
      <c r="K3062" s="84">
        <f t="shared" si="97"/>
        <v>0</v>
      </c>
      <c r="L3062" s="61" t="e">
        <f>VLOOKUP(K3062,[1]Mapping!$J$3:$Q$351,8,FALSE)</f>
        <v>#N/A</v>
      </c>
      <c r="M3062" t="s">
        <v>83</v>
      </c>
    </row>
    <row r="3063" spans="5:13" hidden="1" x14ac:dyDescent="0.35">
      <c r="E3063" s="81"/>
      <c r="I3063" s="83" t="e">
        <f>VLOOKUP(E3063,[1]Mapping!$A$3:$B$14,2,FALSE)</f>
        <v>#N/A</v>
      </c>
      <c r="J3063" s="84">
        <f t="shared" si="96"/>
        <v>0</v>
      </c>
      <c r="K3063" s="84">
        <f t="shared" si="97"/>
        <v>0</v>
      </c>
      <c r="L3063" s="61" t="e">
        <f>VLOOKUP(K3063,[1]Mapping!$J$3:$Q$351,8,FALSE)</f>
        <v>#N/A</v>
      </c>
      <c r="M3063" t="s">
        <v>83</v>
      </c>
    </row>
    <row r="3064" spans="5:13" hidden="1" x14ac:dyDescent="0.35">
      <c r="E3064" s="81"/>
      <c r="I3064" s="83" t="e">
        <f>VLOOKUP(E3064,[1]Mapping!$A$3:$B$14,2,FALSE)</f>
        <v>#N/A</v>
      </c>
      <c r="J3064" s="84">
        <f t="shared" si="96"/>
        <v>0</v>
      </c>
      <c r="K3064" s="84">
        <f t="shared" si="97"/>
        <v>0</v>
      </c>
      <c r="L3064" s="61" t="e">
        <f>VLOOKUP(K3064,[1]Mapping!$J$3:$Q$351,8,FALSE)</f>
        <v>#N/A</v>
      </c>
      <c r="M3064" t="s">
        <v>83</v>
      </c>
    </row>
    <row r="3065" spans="5:13" hidden="1" x14ac:dyDescent="0.35">
      <c r="E3065" s="81"/>
      <c r="I3065" s="83" t="e">
        <f>VLOOKUP(E3065,[1]Mapping!$A$3:$B$14,2,FALSE)</f>
        <v>#N/A</v>
      </c>
      <c r="J3065" s="84">
        <f t="shared" si="96"/>
        <v>0</v>
      </c>
      <c r="K3065" s="84">
        <f t="shared" si="97"/>
        <v>0</v>
      </c>
      <c r="L3065" s="61" t="e">
        <f>VLOOKUP(K3065,[1]Mapping!$J$3:$Q$351,8,FALSE)</f>
        <v>#N/A</v>
      </c>
      <c r="M3065" t="s">
        <v>83</v>
      </c>
    </row>
    <row r="3066" spans="5:13" hidden="1" x14ac:dyDescent="0.35">
      <c r="E3066" s="81"/>
      <c r="I3066" s="83" t="e">
        <f>VLOOKUP(E3066,[1]Mapping!$A$3:$B$14,2,FALSE)</f>
        <v>#N/A</v>
      </c>
      <c r="J3066" s="84">
        <f t="shared" si="96"/>
        <v>0</v>
      </c>
      <c r="K3066" s="84">
        <f t="shared" si="97"/>
        <v>0</v>
      </c>
      <c r="L3066" s="61" t="e">
        <f>VLOOKUP(K3066,[1]Mapping!$J$3:$Q$351,8,FALSE)</f>
        <v>#N/A</v>
      </c>
      <c r="M3066" t="s">
        <v>83</v>
      </c>
    </row>
    <row r="3067" spans="5:13" hidden="1" x14ac:dyDescent="0.35">
      <c r="E3067" s="81"/>
      <c r="I3067" s="83" t="e">
        <f>VLOOKUP(E3067,[1]Mapping!$A$3:$B$14,2,FALSE)</f>
        <v>#N/A</v>
      </c>
      <c r="J3067" s="84">
        <f t="shared" si="96"/>
        <v>0</v>
      </c>
      <c r="K3067" s="84">
        <f t="shared" si="97"/>
        <v>0</v>
      </c>
      <c r="L3067" s="61" t="e">
        <f>VLOOKUP(K3067,[1]Mapping!$J$3:$Q$351,8,FALSE)</f>
        <v>#N/A</v>
      </c>
      <c r="M3067" t="s">
        <v>83</v>
      </c>
    </row>
    <row r="3068" spans="5:13" hidden="1" x14ac:dyDescent="0.35">
      <c r="E3068" s="81"/>
      <c r="I3068" s="83" t="e">
        <f>VLOOKUP(E3068,[1]Mapping!$A$3:$B$14,2,FALSE)</f>
        <v>#N/A</v>
      </c>
      <c r="J3068" s="84">
        <f t="shared" si="96"/>
        <v>0</v>
      </c>
      <c r="K3068" s="84">
        <f t="shared" si="97"/>
        <v>0</v>
      </c>
      <c r="L3068" s="61" t="e">
        <f>VLOOKUP(K3068,[1]Mapping!$J$3:$Q$351,8,FALSE)</f>
        <v>#N/A</v>
      </c>
      <c r="M3068" t="s">
        <v>83</v>
      </c>
    </row>
    <row r="3069" spans="5:13" hidden="1" x14ac:dyDescent="0.35">
      <c r="E3069" s="81"/>
      <c r="I3069" s="83" t="e">
        <f>VLOOKUP(E3069,[1]Mapping!$A$3:$B$14,2,FALSE)</f>
        <v>#N/A</v>
      </c>
      <c r="J3069" s="84">
        <f t="shared" si="96"/>
        <v>0</v>
      </c>
      <c r="K3069" s="84">
        <f t="shared" si="97"/>
        <v>0</v>
      </c>
      <c r="L3069" s="61" t="e">
        <f>VLOOKUP(K3069,[1]Mapping!$J$3:$Q$351,8,FALSE)</f>
        <v>#N/A</v>
      </c>
      <c r="M3069" t="s">
        <v>83</v>
      </c>
    </row>
    <row r="3070" spans="5:13" hidden="1" x14ac:dyDescent="0.35">
      <c r="E3070" s="81"/>
      <c r="I3070" s="83" t="e">
        <f>VLOOKUP(E3070,[1]Mapping!$A$3:$B$14,2,FALSE)</f>
        <v>#N/A</v>
      </c>
      <c r="J3070" s="84">
        <f t="shared" si="96"/>
        <v>0</v>
      </c>
      <c r="K3070" s="84">
        <f t="shared" si="97"/>
        <v>0</v>
      </c>
      <c r="L3070" s="61" t="e">
        <f>VLOOKUP(K3070,[1]Mapping!$J$3:$Q$351,8,FALSE)</f>
        <v>#N/A</v>
      </c>
      <c r="M3070" t="s">
        <v>83</v>
      </c>
    </row>
    <row r="3071" spans="5:13" hidden="1" x14ac:dyDescent="0.35">
      <c r="E3071" s="81"/>
      <c r="I3071" s="83" t="e">
        <f>VLOOKUP(E3071,[1]Mapping!$A$3:$B$14,2,FALSE)</f>
        <v>#N/A</v>
      </c>
      <c r="J3071" s="84">
        <f t="shared" si="96"/>
        <v>0</v>
      </c>
      <c r="K3071" s="84">
        <f t="shared" si="97"/>
        <v>0</v>
      </c>
      <c r="L3071" s="61" t="e">
        <f>VLOOKUP(K3071,[1]Mapping!$J$3:$Q$351,8,FALSE)</f>
        <v>#N/A</v>
      </c>
      <c r="M3071" t="s">
        <v>83</v>
      </c>
    </row>
    <row r="3072" spans="5:13" hidden="1" x14ac:dyDescent="0.35">
      <c r="E3072" s="81"/>
      <c r="I3072" s="83" t="e">
        <f>VLOOKUP(E3072,[1]Mapping!$A$3:$B$14,2,FALSE)</f>
        <v>#N/A</v>
      </c>
      <c r="J3072" s="84">
        <f t="shared" si="96"/>
        <v>0</v>
      </c>
      <c r="K3072" s="84">
        <f t="shared" si="97"/>
        <v>0</v>
      </c>
      <c r="L3072" s="61" t="e">
        <f>VLOOKUP(K3072,[1]Mapping!$J$3:$Q$351,8,FALSE)</f>
        <v>#N/A</v>
      </c>
      <c r="M3072" t="s">
        <v>83</v>
      </c>
    </row>
    <row r="3073" spans="5:13" hidden="1" x14ac:dyDescent="0.35">
      <c r="E3073" s="81"/>
      <c r="I3073" s="83" t="e">
        <f>VLOOKUP(E3073,[1]Mapping!$A$3:$B$14,2,FALSE)</f>
        <v>#N/A</v>
      </c>
      <c r="J3073" s="84">
        <f t="shared" si="96"/>
        <v>0</v>
      </c>
      <c r="K3073" s="84">
        <f t="shared" si="97"/>
        <v>0</v>
      </c>
      <c r="L3073" s="61" t="e">
        <f>VLOOKUP(K3073,[1]Mapping!$J$3:$Q$351,8,FALSE)</f>
        <v>#N/A</v>
      </c>
      <c r="M3073" t="s">
        <v>83</v>
      </c>
    </row>
    <row r="3074" spans="5:13" hidden="1" x14ac:dyDescent="0.35">
      <c r="E3074" s="81"/>
      <c r="I3074" s="83" t="e">
        <f>VLOOKUP(E3074,[1]Mapping!$A$3:$B$14,2,FALSE)</f>
        <v>#N/A</v>
      </c>
      <c r="J3074" s="84">
        <f t="shared" si="96"/>
        <v>0</v>
      </c>
      <c r="K3074" s="84">
        <f t="shared" si="97"/>
        <v>0</v>
      </c>
      <c r="L3074" s="61" t="e">
        <f>VLOOKUP(K3074,[1]Mapping!$J$3:$Q$351,8,FALSE)</f>
        <v>#N/A</v>
      </c>
      <c r="M3074" t="s">
        <v>83</v>
      </c>
    </row>
    <row r="3075" spans="5:13" hidden="1" x14ac:dyDescent="0.35">
      <c r="E3075" s="81"/>
      <c r="I3075" s="83" t="e">
        <f>VLOOKUP(E3075,[1]Mapping!$A$3:$B$14,2,FALSE)</f>
        <v>#N/A</v>
      </c>
      <c r="J3075" s="84">
        <f t="shared" si="96"/>
        <v>0</v>
      </c>
      <c r="K3075" s="84">
        <f t="shared" si="97"/>
        <v>0</v>
      </c>
      <c r="L3075" s="61" t="e">
        <f>VLOOKUP(K3075,[1]Mapping!$J$3:$Q$351,8,FALSE)</f>
        <v>#N/A</v>
      </c>
      <c r="M3075" t="s">
        <v>83</v>
      </c>
    </row>
    <row r="3076" spans="5:13" hidden="1" x14ac:dyDescent="0.35">
      <c r="E3076" s="81"/>
      <c r="I3076" s="83" t="e">
        <f>VLOOKUP(E3076,[1]Mapping!$A$3:$B$14,2,FALSE)</f>
        <v>#N/A</v>
      </c>
      <c r="J3076" s="84">
        <f t="shared" ref="J3076:J3139" si="98">VALUE(A3076)</f>
        <v>0</v>
      </c>
      <c r="K3076" s="84">
        <f t="shared" ref="K3076:K3139" si="99">VALUE(C3076)</f>
        <v>0</v>
      </c>
      <c r="L3076" s="61" t="e">
        <f>VLOOKUP(K3076,[1]Mapping!$J$3:$Q$351,8,FALSE)</f>
        <v>#N/A</v>
      </c>
      <c r="M3076" t="s">
        <v>83</v>
      </c>
    </row>
    <row r="3077" spans="5:13" hidden="1" x14ac:dyDescent="0.35">
      <c r="E3077" s="81"/>
      <c r="I3077" s="83" t="e">
        <f>VLOOKUP(E3077,[1]Mapping!$A$3:$B$14,2,FALSE)</f>
        <v>#N/A</v>
      </c>
      <c r="J3077" s="84">
        <f t="shared" si="98"/>
        <v>0</v>
      </c>
      <c r="K3077" s="84">
        <f t="shared" si="99"/>
        <v>0</v>
      </c>
      <c r="L3077" s="61" t="e">
        <f>VLOOKUP(K3077,[1]Mapping!$J$3:$Q$351,8,FALSE)</f>
        <v>#N/A</v>
      </c>
      <c r="M3077" t="s">
        <v>83</v>
      </c>
    </row>
    <row r="3078" spans="5:13" hidden="1" x14ac:dyDescent="0.35">
      <c r="E3078" s="81"/>
      <c r="I3078" s="83" t="e">
        <f>VLOOKUP(E3078,[1]Mapping!$A$3:$B$14,2,FALSE)</f>
        <v>#N/A</v>
      </c>
      <c r="J3078" s="84">
        <f t="shared" si="98"/>
        <v>0</v>
      </c>
      <c r="K3078" s="84">
        <f t="shared" si="99"/>
        <v>0</v>
      </c>
      <c r="L3078" s="61" t="e">
        <f>VLOOKUP(K3078,[1]Mapping!$J$3:$Q$351,8,FALSE)</f>
        <v>#N/A</v>
      </c>
      <c r="M3078" t="s">
        <v>83</v>
      </c>
    </row>
    <row r="3079" spans="5:13" hidden="1" x14ac:dyDescent="0.35">
      <c r="E3079" s="81"/>
      <c r="I3079" s="83" t="e">
        <f>VLOOKUP(E3079,[1]Mapping!$A$3:$B$14,2,FALSE)</f>
        <v>#N/A</v>
      </c>
      <c r="J3079" s="84">
        <f t="shared" si="98"/>
        <v>0</v>
      </c>
      <c r="K3079" s="84">
        <f t="shared" si="99"/>
        <v>0</v>
      </c>
      <c r="L3079" s="61" t="e">
        <f>VLOOKUP(K3079,[1]Mapping!$J$3:$Q$351,8,FALSE)</f>
        <v>#N/A</v>
      </c>
      <c r="M3079" t="s">
        <v>83</v>
      </c>
    </row>
    <row r="3080" spans="5:13" hidden="1" x14ac:dyDescent="0.35">
      <c r="E3080" s="81"/>
      <c r="I3080" s="83" t="e">
        <f>VLOOKUP(E3080,[1]Mapping!$A$3:$B$14,2,FALSE)</f>
        <v>#N/A</v>
      </c>
      <c r="J3080" s="84">
        <f t="shared" si="98"/>
        <v>0</v>
      </c>
      <c r="K3080" s="84">
        <f t="shared" si="99"/>
        <v>0</v>
      </c>
      <c r="L3080" s="61" t="e">
        <f>VLOOKUP(K3080,[1]Mapping!$J$3:$Q$351,8,FALSE)</f>
        <v>#N/A</v>
      </c>
      <c r="M3080" t="s">
        <v>83</v>
      </c>
    </row>
    <row r="3081" spans="5:13" hidden="1" x14ac:dyDescent="0.35">
      <c r="E3081" s="81"/>
      <c r="I3081" s="83" t="e">
        <f>VLOOKUP(E3081,[1]Mapping!$A$3:$B$14,2,FALSE)</f>
        <v>#N/A</v>
      </c>
      <c r="J3081" s="84">
        <f t="shared" si="98"/>
        <v>0</v>
      </c>
      <c r="K3081" s="84">
        <f t="shared" si="99"/>
        <v>0</v>
      </c>
      <c r="L3081" s="61" t="e">
        <f>VLOOKUP(K3081,[1]Mapping!$J$3:$Q$351,8,FALSE)</f>
        <v>#N/A</v>
      </c>
      <c r="M3081" t="s">
        <v>83</v>
      </c>
    </row>
    <row r="3082" spans="5:13" hidden="1" x14ac:dyDescent="0.35">
      <c r="E3082" s="81"/>
      <c r="I3082" s="83" t="e">
        <f>VLOOKUP(E3082,[1]Mapping!$A$3:$B$14,2,FALSE)</f>
        <v>#N/A</v>
      </c>
      <c r="J3082" s="84">
        <f t="shared" si="98"/>
        <v>0</v>
      </c>
      <c r="K3082" s="84">
        <f t="shared" si="99"/>
        <v>0</v>
      </c>
      <c r="L3082" s="61" t="e">
        <f>VLOOKUP(K3082,[1]Mapping!$J$3:$Q$351,8,FALSE)</f>
        <v>#N/A</v>
      </c>
      <c r="M3082" t="s">
        <v>83</v>
      </c>
    </row>
    <row r="3083" spans="5:13" hidden="1" x14ac:dyDescent="0.35">
      <c r="E3083" s="81"/>
      <c r="I3083" s="83" t="e">
        <f>VLOOKUP(E3083,[1]Mapping!$A$3:$B$14,2,FALSE)</f>
        <v>#N/A</v>
      </c>
      <c r="J3083" s="84">
        <f t="shared" si="98"/>
        <v>0</v>
      </c>
      <c r="K3083" s="84">
        <f t="shared" si="99"/>
        <v>0</v>
      </c>
      <c r="L3083" s="61" t="e">
        <f>VLOOKUP(K3083,[1]Mapping!$J$3:$Q$351,8,FALSE)</f>
        <v>#N/A</v>
      </c>
      <c r="M3083" t="s">
        <v>83</v>
      </c>
    </row>
    <row r="3084" spans="5:13" hidden="1" x14ac:dyDescent="0.35">
      <c r="E3084" s="81"/>
      <c r="I3084" s="83" t="e">
        <f>VLOOKUP(E3084,[1]Mapping!$A$3:$B$14,2,FALSE)</f>
        <v>#N/A</v>
      </c>
      <c r="J3084" s="84">
        <f t="shared" si="98"/>
        <v>0</v>
      </c>
      <c r="K3084" s="84">
        <f t="shared" si="99"/>
        <v>0</v>
      </c>
      <c r="L3084" s="61" t="e">
        <f>VLOOKUP(K3084,[1]Mapping!$J$3:$Q$351,8,FALSE)</f>
        <v>#N/A</v>
      </c>
      <c r="M3084" t="s">
        <v>83</v>
      </c>
    </row>
    <row r="3085" spans="5:13" hidden="1" x14ac:dyDescent="0.35">
      <c r="E3085" s="81"/>
      <c r="I3085" s="83" t="e">
        <f>VLOOKUP(E3085,[1]Mapping!$A$3:$B$14,2,FALSE)</f>
        <v>#N/A</v>
      </c>
      <c r="J3085" s="84">
        <f t="shared" si="98"/>
        <v>0</v>
      </c>
      <c r="K3085" s="84">
        <f t="shared" si="99"/>
        <v>0</v>
      </c>
      <c r="L3085" s="61" t="e">
        <f>VLOOKUP(K3085,[1]Mapping!$J$3:$Q$351,8,FALSE)</f>
        <v>#N/A</v>
      </c>
      <c r="M3085" t="s">
        <v>83</v>
      </c>
    </row>
    <row r="3086" spans="5:13" hidden="1" x14ac:dyDescent="0.35">
      <c r="E3086" s="81"/>
      <c r="I3086" s="83" t="e">
        <f>VLOOKUP(E3086,[1]Mapping!$A$3:$B$14,2,FALSE)</f>
        <v>#N/A</v>
      </c>
      <c r="J3086" s="84">
        <f t="shared" si="98"/>
        <v>0</v>
      </c>
      <c r="K3086" s="84">
        <f t="shared" si="99"/>
        <v>0</v>
      </c>
      <c r="L3086" s="61" t="e">
        <f>VLOOKUP(K3086,[1]Mapping!$J$3:$Q$351,8,FALSE)</f>
        <v>#N/A</v>
      </c>
      <c r="M3086" t="s">
        <v>83</v>
      </c>
    </row>
    <row r="3087" spans="5:13" hidden="1" x14ac:dyDescent="0.35">
      <c r="E3087" s="81"/>
      <c r="I3087" s="83" t="e">
        <f>VLOOKUP(E3087,[1]Mapping!$A$3:$B$14,2,FALSE)</f>
        <v>#N/A</v>
      </c>
      <c r="J3087" s="84">
        <f t="shared" si="98"/>
        <v>0</v>
      </c>
      <c r="K3087" s="84">
        <f t="shared" si="99"/>
        <v>0</v>
      </c>
      <c r="L3087" s="61" t="e">
        <f>VLOOKUP(K3087,[1]Mapping!$J$3:$Q$351,8,FALSE)</f>
        <v>#N/A</v>
      </c>
      <c r="M3087" t="s">
        <v>83</v>
      </c>
    </row>
    <row r="3088" spans="5:13" hidden="1" x14ac:dyDescent="0.35">
      <c r="E3088" s="81"/>
      <c r="I3088" s="83" t="e">
        <f>VLOOKUP(E3088,[1]Mapping!$A$3:$B$14,2,FALSE)</f>
        <v>#N/A</v>
      </c>
      <c r="J3088" s="84">
        <f t="shared" si="98"/>
        <v>0</v>
      </c>
      <c r="K3088" s="84">
        <f t="shared" si="99"/>
        <v>0</v>
      </c>
      <c r="L3088" s="61" t="e">
        <f>VLOOKUP(K3088,[1]Mapping!$J$3:$Q$351,8,FALSE)</f>
        <v>#N/A</v>
      </c>
      <c r="M3088" t="s">
        <v>83</v>
      </c>
    </row>
    <row r="3089" spans="5:13" hidden="1" x14ac:dyDescent="0.35">
      <c r="E3089" s="81"/>
      <c r="I3089" s="83" t="e">
        <f>VLOOKUP(E3089,[1]Mapping!$A$3:$B$14,2,FALSE)</f>
        <v>#N/A</v>
      </c>
      <c r="J3089" s="84">
        <f t="shared" si="98"/>
        <v>0</v>
      </c>
      <c r="K3089" s="84">
        <f t="shared" si="99"/>
        <v>0</v>
      </c>
      <c r="L3089" s="61" t="e">
        <f>VLOOKUP(K3089,[1]Mapping!$J$3:$Q$351,8,FALSE)</f>
        <v>#N/A</v>
      </c>
      <c r="M3089" t="s">
        <v>83</v>
      </c>
    </row>
    <row r="3090" spans="5:13" hidden="1" x14ac:dyDescent="0.35">
      <c r="E3090" s="81"/>
      <c r="I3090" s="83" t="e">
        <f>VLOOKUP(E3090,[1]Mapping!$A$3:$B$14,2,FALSE)</f>
        <v>#N/A</v>
      </c>
      <c r="J3090" s="84">
        <f t="shared" si="98"/>
        <v>0</v>
      </c>
      <c r="K3090" s="84">
        <f t="shared" si="99"/>
        <v>0</v>
      </c>
      <c r="L3090" s="61" t="e">
        <f>VLOOKUP(K3090,[1]Mapping!$J$3:$Q$351,8,FALSE)</f>
        <v>#N/A</v>
      </c>
      <c r="M3090" t="s">
        <v>83</v>
      </c>
    </row>
    <row r="3091" spans="5:13" hidden="1" x14ac:dyDescent="0.35">
      <c r="E3091" s="81"/>
      <c r="I3091" s="83" t="e">
        <f>VLOOKUP(E3091,[1]Mapping!$A$3:$B$14,2,FALSE)</f>
        <v>#N/A</v>
      </c>
      <c r="J3091" s="84">
        <f t="shared" si="98"/>
        <v>0</v>
      </c>
      <c r="K3091" s="84">
        <f t="shared" si="99"/>
        <v>0</v>
      </c>
      <c r="L3091" s="61" t="e">
        <f>VLOOKUP(K3091,[1]Mapping!$J$3:$Q$351,8,FALSE)</f>
        <v>#N/A</v>
      </c>
      <c r="M3091" t="s">
        <v>83</v>
      </c>
    </row>
    <row r="3092" spans="5:13" hidden="1" x14ac:dyDescent="0.35">
      <c r="E3092" s="81"/>
      <c r="I3092" s="83" t="e">
        <f>VLOOKUP(E3092,[1]Mapping!$A$3:$B$14,2,FALSE)</f>
        <v>#N/A</v>
      </c>
      <c r="J3092" s="84">
        <f t="shared" si="98"/>
        <v>0</v>
      </c>
      <c r="K3092" s="84">
        <f t="shared" si="99"/>
        <v>0</v>
      </c>
      <c r="L3092" s="61" t="e">
        <f>VLOOKUP(K3092,[1]Mapping!$J$3:$Q$351,8,FALSE)</f>
        <v>#N/A</v>
      </c>
      <c r="M3092" t="s">
        <v>83</v>
      </c>
    </row>
    <row r="3093" spans="5:13" hidden="1" x14ac:dyDescent="0.35">
      <c r="E3093" s="81"/>
      <c r="I3093" s="83" t="e">
        <f>VLOOKUP(E3093,[1]Mapping!$A$3:$B$14,2,FALSE)</f>
        <v>#N/A</v>
      </c>
      <c r="J3093" s="84">
        <f t="shared" si="98"/>
        <v>0</v>
      </c>
      <c r="K3093" s="84">
        <f t="shared" si="99"/>
        <v>0</v>
      </c>
      <c r="L3093" s="61" t="e">
        <f>VLOOKUP(K3093,[1]Mapping!$J$3:$Q$351,8,FALSE)</f>
        <v>#N/A</v>
      </c>
      <c r="M3093" t="s">
        <v>83</v>
      </c>
    </row>
    <row r="3094" spans="5:13" hidden="1" x14ac:dyDescent="0.35">
      <c r="E3094" s="81"/>
      <c r="I3094" s="83" t="e">
        <f>VLOOKUP(E3094,[1]Mapping!$A$3:$B$14,2,FALSE)</f>
        <v>#N/A</v>
      </c>
      <c r="J3094" s="84">
        <f t="shared" si="98"/>
        <v>0</v>
      </c>
      <c r="K3094" s="84">
        <f t="shared" si="99"/>
        <v>0</v>
      </c>
      <c r="L3094" s="61" t="e">
        <f>VLOOKUP(K3094,[1]Mapping!$J$3:$Q$351,8,FALSE)</f>
        <v>#N/A</v>
      </c>
      <c r="M3094" t="s">
        <v>83</v>
      </c>
    </row>
    <row r="3095" spans="5:13" hidden="1" x14ac:dyDescent="0.35">
      <c r="E3095" s="81"/>
      <c r="I3095" s="83" t="e">
        <f>VLOOKUP(E3095,[1]Mapping!$A$3:$B$14,2,FALSE)</f>
        <v>#N/A</v>
      </c>
      <c r="J3095" s="84">
        <f t="shared" si="98"/>
        <v>0</v>
      </c>
      <c r="K3095" s="84">
        <f t="shared" si="99"/>
        <v>0</v>
      </c>
      <c r="L3095" s="61" t="e">
        <f>VLOOKUP(K3095,[1]Mapping!$J$3:$Q$351,8,FALSE)</f>
        <v>#N/A</v>
      </c>
      <c r="M3095" t="s">
        <v>83</v>
      </c>
    </row>
    <row r="3096" spans="5:13" hidden="1" x14ac:dyDescent="0.35">
      <c r="E3096" s="81"/>
      <c r="I3096" s="83" t="e">
        <f>VLOOKUP(E3096,[1]Mapping!$A$3:$B$14,2,FALSE)</f>
        <v>#N/A</v>
      </c>
      <c r="J3096" s="84">
        <f t="shared" si="98"/>
        <v>0</v>
      </c>
      <c r="K3096" s="84">
        <f t="shared" si="99"/>
        <v>0</v>
      </c>
      <c r="L3096" s="61" t="e">
        <f>VLOOKUP(K3096,[1]Mapping!$J$3:$Q$351,8,FALSE)</f>
        <v>#N/A</v>
      </c>
      <c r="M3096" t="s">
        <v>83</v>
      </c>
    </row>
    <row r="3097" spans="5:13" hidden="1" x14ac:dyDescent="0.35">
      <c r="E3097" s="81"/>
      <c r="I3097" s="83" t="e">
        <f>VLOOKUP(E3097,[1]Mapping!$A$3:$B$14,2,FALSE)</f>
        <v>#N/A</v>
      </c>
      <c r="J3097" s="84">
        <f t="shared" si="98"/>
        <v>0</v>
      </c>
      <c r="K3097" s="84">
        <f t="shared" si="99"/>
        <v>0</v>
      </c>
      <c r="L3097" s="61" t="e">
        <f>VLOOKUP(K3097,[1]Mapping!$J$3:$Q$351,8,FALSE)</f>
        <v>#N/A</v>
      </c>
      <c r="M3097" t="s">
        <v>83</v>
      </c>
    </row>
    <row r="3098" spans="5:13" hidden="1" x14ac:dyDescent="0.35">
      <c r="E3098" s="81"/>
      <c r="I3098" s="83" t="e">
        <f>VLOOKUP(E3098,[1]Mapping!$A$3:$B$14,2,FALSE)</f>
        <v>#N/A</v>
      </c>
      <c r="J3098" s="84">
        <f t="shared" si="98"/>
        <v>0</v>
      </c>
      <c r="K3098" s="84">
        <f t="shared" si="99"/>
        <v>0</v>
      </c>
      <c r="L3098" s="61" t="e">
        <f>VLOOKUP(K3098,[1]Mapping!$J$3:$Q$351,8,FALSE)</f>
        <v>#N/A</v>
      </c>
      <c r="M3098" t="s">
        <v>83</v>
      </c>
    </row>
    <row r="3099" spans="5:13" hidden="1" x14ac:dyDescent="0.35">
      <c r="E3099" s="81"/>
      <c r="I3099" s="83" t="e">
        <f>VLOOKUP(E3099,[1]Mapping!$A$3:$B$14,2,FALSE)</f>
        <v>#N/A</v>
      </c>
      <c r="J3099" s="84">
        <f t="shared" si="98"/>
        <v>0</v>
      </c>
      <c r="K3099" s="84">
        <f t="shared" si="99"/>
        <v>0</v>
      </c>
      <c r="L3099" s="61" t="e">
        <f>VLOOKUP(K3099,[1]Mapping!$J$3:$Q$351,8,FALSE)</f>
        <v>#N/A</v>
      </c>
      <c r="M3099" t="s">
        <v>83</v>
      </c>
    </row>
    <row r="3100" spans="5:13" hidden="1" x14ac:dyDescent="0.35">
      <c r="E3100" s="81"/>
      <c r="I3100" s="83" t="e">
        <f>VLOOKUP(E3100,[1]Mapping!$A$3:$B$14,2,FALSE)</f>
        <v>#N/A</v>
      </c>
      <c r="J3100" s="84">
        <f t="shared" si="98"/>
        <v>0</v>
      </c>
      <c r="K3100" s="84">
        <f t="shared" si="99"/>
        <v>0</v>
      </c>
      <c r="L3100" s="61" t="e">
        <f>VLOOKUP(K3100,[1]Mapping!$J$3:$Q$351,8,FALSE)</f>
        <v>#N/A</v>
      </c>
      <c r="M3100" t="s">
        <v>83</v>
      </c>
    </row>
    <row r="3101" spans="5:13" hidden="1" x14ac:dyDescent="0.35">
      <c r="E3101" s="81"/>
      <c r="I3101" s="83" t="e">
        <f>VLOOKUP(E3101,[1]Mapping!$A$3:$B$14,2,FALSE)</f>
        <v>#N/A</v>
      </c>
      <c r="J3101" s="84">
        <f t="shared" si="98"/>
        <v>0</v>
      </c>
      <c r="K3101" s="84">
        <f t="shared" si="99"/>
        <v>0</v>
      </c>
      <c r="L3101" s="61" t="e">
        <f>VLOOKUP(K3101,[1]Mapping!$J$3:$Q$351,8,FALSE)</f>
        <v>#N/A</v>
      </c>
      <c r="M3101" t="s">
        <v>83</v>
      </c>
    </row>
    <row r="3102" spans="5:13" hidden="1" x14ac:dyDescent="0.35">
      <c r="E3102" s="81"/>
      <c r="I3102" s="83" t="e">
        <f>VLOOKUP(E3102,[1]Mapping!$A$3:$B$14,2,FALSE)</f>
        <v>#N/A</v>
      </c>
      <c r="J3102" s="84">
        <f t="shared" si="98"/>
        <v>0</v>
      </c>
      <c r="K3102" s="84">
        <f t="shared" si="99"/>
        <v>0</v>
      </c>
      <c r="L3102" s="61" t="e">
        <f>VLOOKUP(K3102,[1]Mapping!$J$3:$Q$351,8,FALSE)</f>
        <v>#N/A</v>
      </c>
      <c r="M3102" t="s">
        <v>83</v>
      </c>
    </row>
    <row r="3103" spans="5:13" hidden="1" x14ac:dyDescent="0.35">
      <c r="E3103" s="81"/>
      <c r="I3103" s="83" t="e">
        <f>VLOOKUP(E3103,[1]Mapping!$A$3:$B$14,2,FALSE)</f>
        <v>#N/A</v>
      </c>
      <c r="J3103" s="84">
        <f t="shared" si="98"/>
        <v>0</v>
      </c>
      <c r="K3103" s="84">
        <f t="shared" si="99"/>
        <v>0</v>
      </c>
      <c r="L3103" s="61" t="e">
        <f>VLOOKUP(K3103,[1]Mapping!$J$3:$Q$351,8,FALSE)</f>
        <v>#N/A</v>
      </c>
      <c r="M3103" t="s">
        <v>83</v>
      </c>
    </row>
    <row r="3104" spans="5:13" hidden="1" x14ac:dyDescent="0.35">
      <c r="E3104" s="81"/>
      <c r="I3104" s="83" t="e">
        <f>VLOOKUP(E3104,[1]Mapping!$A$3:$B$14,2,FALSE)</f>
        <v>#N/A</v>
      </c>
      <c r="J3104" s="84">
        <f t="shared" si="98"/>
        <v>0</v>
      </c>
      <c r="K3104" s="84">
        <f t="shared" si="99"/>
        <v>0</v>
      </c>
      <c r="L3104" s="61" t="e">
        <f>VLOOKUP(K3104,[1]Mapping!$J$3:$Q$351,8,FALSE)</f>
        <v>#N/A</v>
      </c>
      <c r="M3104" t="s">
        <v>83</v>
      </c>
    </row>
    <row r="3105" spans="5:13" hidden="1" x14ac:dyDescent="0.35">
      <c r="E3105" s="81"/>
      <c r="I3105" s="83" t="e">
        <f>VLOOKUP(E3105,[1]Mapping!$A$3:$B$14,2,FALSE)</f>
        <v>#N/A</v>
      </c>
      <c r="J3105" s="84">
        <f t="shared" si="98"/>
        <v>0</v>
      </c>
      <c r="K3105" s="84">
        <f t="shared" si="99"/>
        <v>0</v>
      </c>
      <c r="L3105" s="61" t="e">
        <f>VLOOKUP(K3105,[1]Mapping!$J$3:$Q$351,8,FALSE)</f>
        <v>#N/A</v>
      </c>
      <c r="M3105" t="s">
        <v>83</v>
      </c>
    </row>
    <row r="3106" spans="5:13" hidden="1" x14ac:dyDescent="0.35">
      <c r="E3106" s="81"/>
      <c r="I3106" s="83" t="e">
        <f>VLOOKUP(E3106,[1]Mapping!$A$3:$B$14,2,FALSE)</f>
        <v>#N/A</v>
      </c>
      <c r="J3106" s="84">
        <f t="shared" si="98"/>
        <v>0</v>
      </c>
      <c r="K3106" s="84">
        <f t="shared" si="99"/>
        <v>0</v>
      </c>
      <c r="L3106" s="61" t="e">
        <f>VLOOKUP(K3106,[1]Mapping!$J$3:$Q$351,8,FALSE)</f>
        <v>#N/A</v>
      </c>
      <c r="M3106" t="s">
        <v>83</v>
      </c>
    </row>
    <row r="3107" spans="5:13" hidden="1" x14ac:dyDescent="0.35">
      <c r="E3107" s="81"/>
      <c r="I3107" s="83" t="e">
        <f>VLOOKUP(E3107,[1]Mapping!$A$3:$B$14,2,FALSE)</f>
        <v>#N/A</v>
      </c>
      <c r="J3107" s="84">
        <f t="shared" si="98"/>
        <v>0</v>
      </c>
      <c r="K3107" s="84">
        <f t="shared" si="99"/>
        <v>0</v>
      </c>
      <c r="L3107" s="61" t="e">
        <f>VLOOKUP(K3107,[1]Mapping!$J$3:$Q$351,8,FALSE)</f>
        <v>#N/A</v>
      </c>
      <c r="M3107" t="s">
        <v>83</v>
      </c>
    </row>
    <row r="3108" spans="5:13" hidden="1" x14ac:dyDescent="0.35">
      <c r="E3108" s="81"/>
      <c r="I3108" s="83" t="e">
        <f>VLOOKUP(E3108,[1]Mapping!$A$3:$B$14,2,FALSE)</f>
        <v>#N/A</v>
      </c>
      <c r="J3108" s="84">
        <f t="shared" si="98"/>
        <v>0</v>
      </c>
      <c r="K3108" s="84">
        <f t="shared" si="99"/>
        <v>0</v>
      </c>
      <c r="L3108" s="61" t="e">
        <f>VLOOKUP(K3108,[1]Mapping!$J$3:$Q$351,8,FALSE)</f>
        <v>#N/A</v>
      </c>
      <c r="M3108" t="s">
        <v>83</v>
      </c>
    </row>
    <row r="3109" spans="5:13" hidden="1" x14ac:dyDescent="0.35">
      <c r="E3109" s="81"/>
      <c r="I3109" s="83" t="e">
        <f>VLOOKUP(E3109,[1]Mapping!$A$3:$B$14,2,FALSE)</f>
        <v>#N/A</v>
      </c>
      <c r="J3109" s="84">
        <f t="shared" si="98"/>
        <v>0</v>
      </c>
      <c r="K3109" s="84">
        <f t="shared" si="99"/>
        <v>0</v>
      </c>
      <c r="L3109" s="61" t="e">
        <f>VLOOKUP(K3109,[1]Mapping!$J$3:$Q$351,8,FALSE)</f>
        <v>#N/A</v>
      </c>
      <c r="M3109" t="s">
        <v>83</v>
      </c>
    </row>
    <row r="3110" spans="5:13" hidden="1" x14ac:dyDescent="0.35">
      <c r="E3110" s="81"/>
      <c r="I3110" s="83" t="e">
        <f>VLOOKUP(E3110,[1]Mapping!$A$3:$B$14,2,FALSE)</f>
        <v>#N/A</v>
      </c>
      <c r="J3110" s="84">
        <f t="shared" si="98"/>
        <v>0</v>
      </c>
      <c r="K3110" s="84">
        <f t="shared" si="99"/>
        <v>0</v>
      </c>
      <c r="L3110" s="61" t="e">
        <f>VLOOKUP(K3110,[1]Mapping!$J$3:$Q$351,8,FALSE)</f>
        <v>#N/A</v>
      </c>
      <c r="M3110" t="s">
        <v>83</v>
      </c>
    </row>
    <row r="3111" spans="5:13" hidden="1" x14ac:dyDescent="0.35">
      <c r="E3111" s="81"/>
      <c r="I3111" s="83" t="e">
        <f>VLOOKUP(E3111,[1]Mapping!$A$3:$B$14,2,FALSE)</f>
        <v>#N/A</v>
      </c>
      <c r="J3111" s="84">
        <f t="shared" si="98"/>
        <v>0</v>
      </c>
      <c r="K3111" s="84">
        <f t="shared" si="99"/>
        <v>0</v>
      </c>
      <c r="L3111" s="61" t="e">
        <f>VLOOKUP(K3111,[1]Mapping!$J$3:$Q$351,8,FALSE)</f>
        <v>#N/A</v>
      </c>
      <c r="M3111" t="s">
        <v>83</v>
      </c>
    </row>
    <row r="3112" spans="5:13" hidden="1" x14ac:dyDescent="0.35">
      <c r="E3112" s="81"/>
      <c r="I3112" s="83" t="e">
        <f>VLOOKUP(E3112,[1]Mapping!$A$3:$B$14,2,FALSE)</f>
        <v>#N/A</v>
      </c>
      <c r="J3112" s="84">
        <f t="shared" si="98"/>
        <v>0</v>
      </c>
      <c r="K3112" s="84">
        <f t="shared" si="99"/>
        <v>0</v>
      </c>
      <c r="L3112" s="61" t="e">
        <f>VLOOKUP(K3112,[1]Mapping!$J$3:$Q$351,8,FALSE)</f>
        <v>#N/A</v>
      </c>
      <c r="M3112" t="s">
        <v>83</v>
      </c>
    </row>
    <row r="3113" spans="5:13" hidden="1" x14ac:dyDescent="0.35">
      <c r="E3113" s="81"/>
      <c r="I3113" s="83" t="e">
        <f>VLOOKUP(E3113,[1]Mapping!$A$3:$B$14,2,FALSE)</f>
        <v>#N/A</v>
      </c>
      <c r="J3113" s="84">
        <f t="shared" si="98"/>
        <v>0</v>
      </c>
      <c r="K3113" s="84">
        <f t="shared" si="99"/>
        <v>0</v>
      </c>
      <c r="L3113" s="61" t="e">
        <f>VLOOKUP(K3113,[1]Mapping!$J$3:$Q$351,8,FALSE)</f>
        <v>#N/A</v>
      </c>
      <c r="M3113" t="s">
        <v>83</v>
      </c>
    </row>
    <row r="3114" spans="5:13" hidden="1" x14ac:dyDescent="0.35">
      <c r="E3114" s="81"/>
      <c r="I3114" s="83" t="e">
        <f>VLOOKUP(E3114,[1]Mapping!$A$3:$B$14,2,FALSE)</f>
        <v>#N/A</v>
      </c>
      <c r="J3114" s="84">
        <f t="shared" si="98"/>
        <v>0</v>
      </c>
      <c r="K3114" s="84">
        <f t="shared" si="99"/>
        <v>0</v>
      </c>
      <c r="L3114" s="61" t="e">
        <f>VLOOKUP(K3114,[1]Mapping!$J$3:$Q$351,8,FALSE)</f>
        <v>#N/A</v>
      </c>
      <c r="M3114" t="s">
        <v>83</v>
      </c>
    </row>
    <row r="3115" spans="5:13" hidden="1" x14ac:dyDescent="0.35">
      <c r="E3115" s="81"/>
      <c r="I3115" s="83" t="e">
        <f>VLOOKUP(E3115,[1]Mapping!$A$3:$B$14,2,FALSE)</f>
        <v>#N/A</v>
      </c>
      <c r="J3115" s="84">
        <f t="shared" si="98"/>
        <v>0</v>
      </c>
      <c r="K3115" s="84">
        <f t="shared" si="99"/>
        <v>0</v>
      </c>
      <c r="L3115" s="61" t="e">
        <f>VLOOKUP(K3115,[1]Mapping!$J$3:$Q$351,8,FALSE)</f>
        <v>#N/A</v>
      </c>
      <c r="M3115" t="s">
        <v>83</v>
      </c>
    </row>
    <row r="3116" spans="5:13" hidden="1" x14ac:dyDescent="0.35">
      <c r="E3116" s="81"/>
      <c r="I3116" s="83" t="e">
        <f>VLOOKUP(E3116,[1]Mapping!$A$3:$B$14,2,FALSE)</f>
        <v>#N/A</v>
      </c>
      <c r="J3116" s="84">
        <f t="shared" si="98"/>
        <v>0</v>
      </c>
      <c r="K3116" s="84">
        <f t="shared" si="99"/>
        <v>0</v>
      </c>
      <c r="L3116" s="61" t="e">
        <f>VLOOKUP(K3116,[1]Mapping!$J$3:$Q$351,8,FALSE)</f>
        <v>#N/A</v>
      </c>
      <c r="M3116" t="s">
        <v>83</v>
      </c>
    </row>
    <row r="3117" spans="5:13" hidden="1" x14ac:dyDescent="0.35">
      <c r="E3117" s="81"/>
      <c r="I3117" s="83" t="e">
        <f>VLOOKUP(E3117,[1]Mapping!$A$3:$B$14,2,FALSE)</f>
        <v>#N/A</v>
      </c>
      <c r="J3117" s="84">
        <f t="shared" si="98"/>
        <v>0</v>
      </c>
      <c r="K3117" s="84">
        <f t="shared" si="99"/>
        <v>0</v>
      </c>
      <c r="L3117" s="61" t="e">
        <f>VLOOKUP(K3117,[1]Mapping!$J$3:$Q$351,8,FALSE)</f>
        <v>#N/A</v>
      </c>
      <c r="M3117" t="s">
        <v>83</v>
      </c>
    </row>
    <row r="3118" spans="5:13" hidden="1" x14ac:dyDescent="0.35">
      <c r="E3118" s="81"/>
      <c r="I3118" s="83" t="e">
        <f>VLOOKUP(E3118,[1]Mapping!$A$3:$B$14,2,FALSE)</f>
        <v>#N/A</v>
      </c>
      <c r="J3118" s="84">
        <f t="shared" si="98"/>
        <v>0</v>
      </c>
      <c r="K3118" s="84">
        <f t="shared" si="99"/>
        <v>0</v>
      </c>
      <c r="L3118" s="61" t="e">
        <f>VLOOKUP(K3118,[1]Mapping!$J$3:$Q$351,8,FALSE)</f>
        <v>#N/A</v>
      </c>
      <c r="M3118" t="s">
        <v>83</v>
      </c>
    </row>
    <row r="3119" spans="5:13" hidden="1" x14ac:dyDescent="0.35">
      <c r="E3119" s="81"/>
      <c r="I3119" s="83" t="e">
        <f>VLOOKUP(E3119,[1]Mapping!$A$3:$B$14,2,FALSE)</f>
        <v>#N/A</v>
      </c>
      <c r="J3119" s="84">
        <f t="shared" si="98"/>
        <v>0</v>
      </c>
      <c r="K3119" s="84">
        <f t="shared" si="99"/>
        <v>0</v>
      </c>
      <c r="L3119" s="61" t="e">
        <f>VLOOKUP(K3119,[1]Mapping!$J$3:$Q$351,8,FALSE)</f>
        <v>#N/A</v>
      </c>
      <c r="M3119" t="s">
        <v>83</v>
      </c>
    </row>
    <row r="3120" spans="5:13" hidden="1" x14ac:dyDescent="0.35">
      <c r="E3120" s="81"/>
      <c r="I3120" s="83" t="e">
        <f>VLOOKUP(E3120,[1]Mapping!$A$3:$B$14,2,FALSE)</f>
        <v>#N/A</v>
      </c>
      <c r="J3120" s="84">
        <f t="shared" si="98"/>
        <v>0</v>
      </c>
      <c r="K3120" s="84">
        <f t="shared" si="99"/>
        <v>0</v>
      </c>
      <c r="L3120" s="61" t="e">
        <f>VLOOKUP(K3120,[1]Mapping!$J$3:$Q$351,8,FALSE)</f>
        <v>#N/A</v>
      </c>
      <c r="M3120" t="s">
        <v>83</v>
      </c>
    </row>
    <row r="3121" spans="5:13" hidden="1" x14ac:dyDescent="0.35">
      <c r="E3121" s="81"/>
      <c r="I3121" s="83" t="e">
        <f>VLOOKUP(E3121,[1]Mapping!$A$3:$B$14,2,FALSE)</f>
        <v>#N/A</v>
      </c>
      <c r="J3121" s="84">
        <f t="shared" si="98"/>
        <v>0</v>
      </c>
      <c r="K3121" s="84">
        <f t="shared" si="99"/>
        <v>0</v>
      </c>
      <c r="L3121" s="61" t="e">
        <f>VLOOKUP(K3121,[1]Mapping!$J$3:$Q$351,8,FALSE)</f>
        <v>#N/A</v>
      </c>
      <c r="M3121" t="s">
        <v>83</v>
      </c>
    </row>
    <row r="3122" spans="5:13" hidden="1" x14ac:dyDescent="0.35">
      <c r="E3122" s="81"/>
      <c r="I3122" s="83" t="e">
        <f>VLOOKUP(E3122,[1]Mapping!$A$3:$B$14,2,FALSE)</f>
        <v>#N/A</v>
      </c>
      <c r="J3122" s="84">
        <f t="shared" si="98"/>
        <v>0</v>
      </c>
      <c r="K3122" s="84">
        <f t="shared" si="99"/>
        <v>0</v>
      </c>
      <c r="L3122" s="61" t="e">
        <f>VLOOKUP(K3122,[1]Mapping!$J$3:$Q$351,8,FALSE)</f>
        <v>#N/A</v>
      </c>
      <c r="M3122" t="s">
        <v>83</v>
      </c>
    </row>
    <row r="3123" spans="5:13" hidden="1" x14ac:dyDescent="0.35">
      <c r="E3123" s="81"/>
      <c r="I3123" s="83" t="e">
        <f>VLOOKUP(E3123,[1]Mapping!$A$3:$B$14,2,FALSE)</f>
        <v>#N/A</v>
      </c>
      <c r="J3123" s="84">
        <f t="shared" si="98"/>
        <v>0</v>
      </c>
      <c r="K3123" s="84">
        <f t="shared" si="99"/>
        <v>0</v>
      </c>
      <c r="L3123" s="61" t="e">
        <f>VLOOKUP(K3123,[1]Mapping!$J$3:$Q$351,8,FALSE)</f>
        <v>#N/A</v>
      </c>
      <c r="M3123" t="s">
        <v>83</v>
      </c>
    </row>
    <row r="3124" spans="5:13" hidden="1" x14ac:dyDescent="0.35">
      <c r="E3124" s="81"/>
      <c r="I3124" s="83" t="e">
        <f>VLOOKUP(E3124,[1]Mapping!$A$3:$B$14,2,FALSE)</f>
        <v>#N/A</v>
      </c>
      <c r="J3124" s="84">
        <f t="shared" si="98"/>
        <v>0</v>
      </c>
      <c r="K3124" s="84">
        <f t="shared" si="99"/>
        <v>0</v>
      </c>
      <c r="L3124" s="61" t="e">
        <f>VLOOKUP(K3124,[1]Mapping!$J$3:$Q$351,8,FALSE)</f>
        <v>#N/A</v>
      </c>
      <c r="M3124" t="s">
        <v>83</v>
      </c>
    </row>
    <row r="3125" spans="5:13" hidden="1" x14ac:dyDescent="0.35">
      <c r="E3125" s="81"/>
      <c r="I3125" s="83" t="e">
        <f>VLOOKUP(E3125,[1]Mapping!$A$3:$B$14,2,FALSE)</f>
        <v>#N/A</v>
      </c>
      <c r="J3125" s="84">
        <f t="shared" si="98"/>
        <v>0</v>
      </c>
      <c r="K3125" s="84">
        <f t="shared" si="99"/>
        <v>0</v>
      </c>
      <c r="L3125" s="61" t="e">
        <f>VLOOKUP(K3125,[1]Mapping!$J$3:$Q$351,8,FALSE)</f>
        <v>#N/A</v>
      </c>
      <c r="M3125" t="s">
        <v>83</v>
      </c>
    </row>
    <row r="3126" spans="5:13" hidden="1" x14ac:dyDescent="0.35">
      <c r="E3126" s="81"/>
      <c r="I3126" s="83" t="e">
        <f>VLOOKUP(E3126,[1]Mapping!$A$3:$B$14,2,FALSE)</f>
        <v>#N/A</v>
      </c>
      <c r="J3126" s="84">
        <f t="shared" si="98"/>
        <v>0</v>
      </c>
      <c r="K3126" s="84">
        <f t="shared" si="99"/>
        <v>0</v>
      </c>
      <c r="L3126" s="61" t="e">
        <f>VLOOKUP(K3126,[1]Mapping!$J$3:$Q$351,8,FALSE)</f>
        <v>#N/A</v>
      </c>
      <c r="M3126" t="s">
        <v>83</v>
      </c>
    </row>
    <row r="3127" spans="5:13" hidden="1" x14ac:dyDescent="0.35">
      <c r="E3127" s="81"/>
      <c r="I3127" s="83" t="e">
        <f>VLOOKUP(E3127,[1]Mapping!$A$3:$B$14,2,FALSE)</f>
        <v>#N/A</v>
      </c>
      <c r="J3127" s="84">
        <f t="shared" si="98"/>
        <v>0</v>
      </c>
      <c r="K3127" s="84">
        <f t="shared" si="99"/>
        <v>0</v>
      </c>
      <c r="L3127" s="61" t="e">
        <f>VLOOKUP(K3127,[1]Mapping!$J$3:$Q$351,8,FALSE)</f>
        <v>#N/A</v>
      </c>
      <c r="M3127" t="s">
        <v>83</v>
      </c>
    </row>
    <row r="3128" spans="5:13" hidden="1" x14ac:dyDescent="0.35">
      <c r="E3128" s="81"/>
      <c r="I3128" s="83" t="e">
        <f>VLOOKUP(E3128,[1]Mapping!$A$3:$B$14,2,FALSE)</f>
        <v>#N/A</v>
      </c>
      <c r="J3128" s="84">
        <f t="shared" si="98"/>
        <v>0</v>
      </c>
      <c r="K3128" s="84">
        <f t="shared" si="99"/>
        <v>0</v>
      </c>
      <c r="L3128" s="61" t="e">
        <f>VLOOKUP(K3128,[1]Mapping!$J$3:$Q$351,8,FALSE)</f>
        <v>#N/A</v>
      </c>
      <c r="M3128" t="s">
        <v>83</v>
      </c>
    </row>
    <row r="3129" spans="5:13" hidden="1" x14ac:dyDescent="0.35">
      <c r="E3129" s="81"/>
      <c r="I3129" s="83" t="e">
        <f>VLOOKUP(E3129,[1]Mapping!$A$3:$B$14,2,FALSE)</f>
        <v>#N/A</v>
      </c>
      <c r="J3129" s="84">
        <f t="shared" si="98"/>
        <v>0</v>
      </c>
      <c r="K3129" s="84">
        <f t="shared" si="99"/>
        <v>0</v>
      </c>
      <c r="L3129" s="61" t="e">
        <f>VLOOKUP(K3129,[1]Mapping!$J$3:$Q$351,8,FALSE)</f>
        <v>#N/A</v>
      </c>
      <c r="M3129" t="s">
        <v>83</v>
      </c>
    </row>
    <row r="3130" spans="5:13" hidden="1" x14ac:dyDescent="0.35">
      <c r="E3130" s="81"/>
      <c r="I3130" s="83" t="e">
        <f>VLOOKUP(E3130,[1]Mapping!$A$3:$B$14,2,FALSE)</f>
        <v>#N/A</v>
      </c>
      <c r="J3130" s="84">
        <f t="shared" si="98"/>
        <v>0</v>
      </c>
      <c r="K3130" s="84">
        <f t="shared" si="99"/>
        <v>0</v>
      </c>
      <c r="L3130" s="61" t="e">
        <f>VLOOKUP(K3130,[1]Mapping!$J$3:$Q$351,8,FALSE)</f>
        <v>#N/A</v>
      </c>
      <c r="M3130" t="s">
        <v>83</v>
      </c>
    </row>
    <row r="3131" spans="5:13" hidden="1" x14ac:dyDescent="0.35">
      <c r="E3131" s="81"/>
      <c r="I3131" s="83" t="e">
        <f>VLOOKUP(E3131,[1]Mapping!$A$3:$B$14,2,FALSE)</f>
        <v>#N/A</v>
      </c>
      <c r="J3131" s="84">
        <f t="shared" si="98"/>
        <v>0</v>
      </c>
      <c r="K3131" s="84">
        <f t="shared" si="99"/>
        <v>0</v>
      </c>
      <c r="L3131" s="61" t="e">
        <f>VLOOKUP(K3131,[1]Mapping!$J$3:$Q$351,8,FALSE)</f>
        <v>#N/A</v>
      </c>
      <c r="M3131" t="s">
        <v>83</v>
      </c>
    </row>
    <row r="3132" spans="5:13" hidden="1" x14ac:dyDescent="0.35">
      <c r="E3132" s="81"/>
      <c r="I3132" s="83" t="e">
        <f>VLOOKUP(E3132,[1]Mapping!$A$3:$B$14,2,FALSE)</f>
        <v>#N/A</v>
      </c>
      <c r="J3132" s="84">
        <f t="shared" si="98"/>
        <v>0</v>
      </c>
      <c r="K3132" s="84">
        <f t="shared" si="99"/>
        <v>0</v>
      </c>
      <c r="L3132" s="61" t="e">
        <f>VLOOKUP(K3132,[1]Mapping!$J$3:$Q$351,8,FALSE)</f>
        <v>#N/A</v>
      </c>
      <c r="M3132" t="s">
        <v>83</v>
      </c>
    </row>
    <row r="3133" spans="5:13" hidden="1" x14ac:dyDescent="0.35">
      <c r="E3133" s="81"/>
      <c r="I3133" s="83" t="e">
        <f>VLOOKUP(E3133,[1]Mapping!$A$3:$B$14,2,FALSE)</f>
        <v>#N/A</v>
      </c>
      <c r="J3133" s="84">
        <f t="shared" si="98"/>
        <v>0</v>
      </c>
      <c r="K3133" s="84">
        <f t="shared" si="99"/>
        <v>0</v>
      </c>
      <c r="L3133" s="61" t="e">
        <f>VLOOKUP(K3133,[1]Mapping!$J$3:$Q$351,8,FALSE)</f>
        <v>#N/A</v>
      </c>
      <c r="M3133" t="s">
        <v>83</v>
      </c>
    </row>
    <row r="3134" spans="5:13" hidden="1" x14ac:dyDescent="0.35">
      <c r="E3134" s="81"/>
      <c r="I3134" s="83" t="e">
        <f>VLOOKUP(E3134,[1]Mapping!$A$3:$B$14,2,FALSE)</f>
        <v>#N/A</v>
      </c>
      <c r="J3134" s="84">
        <f t="shared" si="98"/>
        <v>0</v>
      </c>
      <c r="K3134" s="84">
        <f t="shared" si="99"/>
        <v>0</v>
      </c>
      <c r="L3134" s="61" t="e">
        <f>VLOOKUP(K3134,[1]Mapping!$J$3:$Q$351,8,FALSE)</f>
        <v>#N/A</v>
      </c>
      <c r="M3134" t="s">
        <v>83</v>
      </c>
    </row>
    <row r="3135" spans="5:13" hidden="1" x14ac:dyDescent="0.35">
      <c r="E3135" s="81"/>
      <c r="I3135" s="83" t="e">
        <f>VLOOKUP(E3135,[1]Mapping!$A$3:$B$14,2,FALSE)</f>
        <v>#N/A</v>
      </c>
      <c r="J3135" s="84">
        <f t="shared" si="98"/>
        <v>0</v>
      </c>
      <c r="K3135" s="84">
        <f t="shared" si="99"/>
        <v>0</v>
      </c>
      <c r="L3135" s="61" t="e">
        <f>VLOOKUP(K3135,[1]Mapping!$J$3:$Q$351,8,FALSE)</f>
        <v>#N/A</v>
      </c>
      <c r="M3135" t="s">
        <v>83</v>
      </c>
    </row>
    <row r="3136" spans="5:13" hidden="1" x14ac:dyDescent="0.35">
      <c r="E3136" s="81"/>
      <c r="I3136" s="83" t="e">
        <f>VLOOKUP(E3136,[1]Mapping!$A$3:$B$14,2,FALSE)</f>
        <v>#N/A</v>
      </c>
      <c r="J3136" s="84">
        <f t="shared" si="98"/>
        <v>0</v>
      </c>
      <c r="K3136" s="84">
        <f t="shared" si="99"/>
        <v>0</v>
      </c>
      <c r="L3136" s="61" t="e">
        <f>VLOOKUP(K3136,[1]Mapping!$J$3:$Q$351,8,FALSE)</f>
        <v>#N/A</v>
      </c>
      <c r="M3136" t="s">
        <v>83</v>
      </c>
    </row>
    <row r="3137" spans="5:13" hidden="1" x14ac:dyDescent="0.35">
      <c r="E3137" s="81"/>
      <c r="I3137" s="83" t="e">
        <f>VLOOKUP(E3137,[1]Mapping!$A$3:$B$14,2,FALSE)</f>
        <v>#N/A</v>
      </c>
      <c r="J3137" s="84">
        <f t="shared" si="98"/>
        <v>0</v>
      </c>
      <c r="K3137" s="84">
        <f t="shared" si="99"/>
        <v>0</v>
      </c>
      <c r="L3137" s="61" t="e">
        <f>VLOOKUP(K3137,[1]Mapping!$J$3:$Q$351,8,FALSE)</f>
        <v>#N/A</v>
      </c>
      <c r="M3137" t="s">
        <v>83</v>
      </c>
    </row>
    <row r="3138" spans="5:13" hidden="1" x14ac:dyDescent="0.35">
      <c r="E3138" s="81"/>
      <c r="I3138" s="83" t="e">
        <f>VLOOKUP(E3138,[1]Mapping!$A$3:$B$14,2,FALSE)</f>
        <v>#N/A</v>
      </c>
      <c r="J3138" s="84">
        <f t="shared" si="98"/>
        <v>0</v>
      </c>
      <c r="K3138" s="84">
        <f t="shared" si="99"/>
        <v>0</v>
      </c>
      <c r="L3138" s="61" t="e">
        <f>VLOOKUP(K3138,[1]Mapping!$J$3:$Q$351,8,FALSE)</f>
        <v>#N/A</v>
      </c>
      <c r="M3138" t="s">
        <v>83</v>
      </c>
    </row>
    <row r="3139" spans="5:13" hidden="1" x14ac:dyDescent="0.35">
      <c r="E3139" s="81"/>
      <c r="I3139" s="83" t="e">
        <f>VLOOKUP(E3139,[1]Mapping!$A$3:$B$14,2,FALSE)</f>
        <v>#N/A</v>
      </c>
      <c r="J3139" s="84">
        <f t="shared" si="98"/>
        <v>0</v>
      </c>
      <c r="K3139" s="84">
        <f t="shared" si="99"/>
        <v>0</v>
      </c>
      <c r="L3139" s="61" t="e">
        <f>VLOOKUP(K3139,[1]Mapping!$J$3:$Q$351,8,FALSE)</f>
        <v>#N/A</v>
      </c>
      <c r="M3139" t="s">
        <v>83</v>
      </c>
    </row>
    <row r="3140" spans="5:13" hidden="1" x14ac:dyDescent="0.35">
      <c r="E3140" s="81"/>
      <c r="I3140" s="83" t="e">
        <f>VLOOKUP(E3140,[1]Mapping!$A$3:$B$14,2,FALSE)</f>
        <v>#N/A</v>
      </c>
      <c r="J3140" s="84">
        <f t="shared" ref="J3140:J3203" si="100">VALUE(A3140)</f>
        <v>0</v>
      </c>
      <c r="K3140" s="84">
        <f t="shared" ref="K3140:K3203" si="101">VALUE(C3140)</f>
        <v>0</v>
      </c>
      <c r="L3140" s="61" t="e">
        <f>VLOOKUP(K3140,[1]Mapping!$J$3:$Q$351,8,FALSE)</f>
        <v>#N/A</v>
      </c>
      <c r="M3140" t="s">
        <v>83</v>
      </c>
    </row>
    <row r="3141" spans="5:13" hidden="1" x14ac:dyDescent="0.35">
      <c r="E3141" s="81"/>
      <c r="I3141" s="83" t="e">
        <f>VLOOKUP(E3141,[1]Mapping!$A$3:$B$14,2,FALSE)</f>
        <v>#N/A</v>
      </c>
      <c r="J3141" s="84">
        <f t="shared" si="100"/>
        <v>0</v>
      </c>
      <c r="K3141" s="84">
        <f t="shared" si="101"/>
        <v>0</v>
      </c>
      <c r="L3141" s="61" t="e">
        <f>VLOOKUP(K3141,[1]Mapping!$J$3:$Q$351,8,FALSE)</f>
        <v>#N/A</v>
      </c>
      <c r="M3141" t="s">
        <v>83</v>
      </c>
    </row>
    <row r="3142" spans="5:13" hidden="1" x14ac:dyDescent="0.35">
      <c r="E3142" s="81"/>
      <c r="I3142" s="83" t="e">
        <f>VLOOKUP(E3142,[1]Mapping!$A$3:$B$14,2,FALSE)</f>
        <v>#N/A</v>
      </c>
      <c r="J3142" s="84">
        <f t="shared" si="100"/>
        <v>0</v>
      </c>
      <c r="K3142" s="84">
        <f t="shared" si="101"/>
        <v>0</v>
      </c>
      <c r="L3142" s="61" t="e">
        <f>VLOOKUP(K3142,[1]Mapping!$J$3:$Q$351,8,FALSE)</f>
        <v>#N/A</v>
      </c>
      <c r="M3142" t="s">
        <v>83</v>
      </c>
    </row>
    <row r="3143" spans="5:13" hidden="1" x14ac:dyDescent="0.35">
      <c r="E3143" s="81"/>
      <c r="I3143" s="83" t="e">
        <f>VLOOKUP(E3143,[1]Mapping!$A$3:$B$14,2,FALSE)</f>
        <v>#N/A</v>
      </c>
      <c r="J3143" s="84">
        <f t="shared" si="100"/>
        <v>0</v>
      </c>
      <c r="K3143" s="84">
        <f t="shared" si="101"/>
        <v>0</v>
      </c>
      <c r="L3143" s="61" t="e">
        <f>VLOOKUP(K3143,[1]Mapping!$J$3:$Q$351,8,FALSE)</f>
        <v>#N/A</v>
      </c>
      <c r="M3143" t="s">
        <v>83</v>
      </c>
    </row>
    <row r="3144" spans="5:13" hidden="1" x14ac:dyDescent="0.35">
      <c r="E3144" s="81"/>
      <c r="I3144" s="83" t="e">
        <f>VLOOKUP(E3144,[1]Mapping!$A$3:$B$14,2,FALSE)</f>
        <v>#N/A</v>
      </c>
      <c r="J3144" s="84">
        <f t="shared" si="100"/>
        <v>0</v>
      </c>
      <c r="K3144" s="84">
        <f t="shared" si="101"/>
        <v>0</v>
      </c>
      <c r="L3144" s="61" t="e">
        <f>VLOOKUP(K3144,[1]Mapping!$J$3:$Q$351,8,FALSE)</f>
        <v>#N/A</v>
      </c>
      <c r="M3144" t="s">
        <v>83</v>
      </c>
    </row>
    <row r="3145" spans="5:13" hidden="1" x14ac:dyDescent="0.35">
      <c r="E3145" s="81"/>
      <c r="I3145" s="83" t="e">
        <f>VLOOKUP(E3145,[1]Mapping!$A$3:$B$14,2,FALSE)</f>
        <v>#N/A</v>
      </c>
      <c r="J3145" s="84">
        <f t="shared" si="100"/>
        <v>0</v>
      </c>
      <c r="K3145" s="84">
        <f t="shared" si="101"/>
        <v>0</v>
      </c>
      <c r="L3145" s="61" t="e">
        <f>VLOOKUP(K3145,[1]Mapping!$J$3:$Q$351,8,FALSE)</f>
        <v>#N/A</v>
      </c>
      <c r="M3145" t="s">
        <v>83</v>
      </c>
    </row>
    <row r="3146" spans="5:13" hidden="1" x14ac:dyDescent="0.35">
      <c r="E3146" s="81"/>
      <c r="I3146" s="83" t="e">
        <f>VLOOKUP(E3146,[1]Mapping!$A$3:$B$14,2,FALSE)</f>
        <v>#N/A</v>
      </c>
      <c r="J3146" s="84">
        <f t="shared" si="100"/>
        <v>0</v>
      </c>
      <c r="K3146" s="84">
        <f t="shared" si="101"/>
        <v>0</v>
      </c>
      <c r="L3146" s="61" t="e">
        <f>VLOOKUP(K3146,[1]Mapping!$J$3:$Q$351,8,FALSE)</f>
        <v>#N/A</v>
      </c>
      <c r="M3146" t="s">
        <v>83</v>
      </c>
    </row>
    <row r="3147" spans="5:13" hidden="1" x14ac:dyDescent="0.35">
      <c r="E3147" s="81"/>
      <c r="I3147" s="83" t="e">
        <f>VLOOKUP(E3147,[1]Mapping!$A$3:$B$14,2,FALSE)</f>
        <v>#N/A</v>
      </c>
      <c r="J3147" s="84">
        <f t="shared" si="100"/>
        <v>0</v>
      </c>
      <c r="K3147" s="84">
        <f t="shared" si="101"/>
        <v>0</v>
      </c>
      <c r="L3147" s="61" t="e">
        <f>VLOOKUP(K3147,[1]Mapping!$J$3:$Q$351,8,FALSE)</f>
        <v>#N/A</v>
      </c>
      <c r="M3147" t="s">
        <v>83</v>
      </c>
    </row>
    <row r="3148" spans="5:13" hidden="1" x14ac:dyDescent="0.35">
      <c r="E3148" s="81"/>
      <c r="I3148" s="83" t="e">
        <f>VLOOKUP(E3148,[1]Mapping!$A$3:$B$14,2,FALSE)</f>
        <v>#N/A</v>
      </c>
      <c r="J3148" s="84">
        <f t="shared" si="100"/>
        <v>0</v>
      </c>
      <c r="K3148" s="84">
        <f t="shared" si="101"/>
        <v>0</v>
      </c>
      <c r="L3148" s="61" t="e">
        <f>VLOOKUP(K3148,[1]Mapping!$J$3:$Q$351,8,FALSE)</f>
        <v>#N/A</v>
      </c>
      <c r="M3148" t="s">
        <v>83</v>
      </c>
    </row>
    <row r="3149" spans="5:13" hidden="1" x14ac:dyDescent="0.35">
      <c r="E3149" s="81"/>
      <c r="I3149" s="83" t="e">
        <f>VLOOKUP(E3149,[1]Mapping!$A$3:$B$14,2,FALSE)</f>
        <v>#N/A</v>
      </c>
      <c r="J3149" s="84">
        <f t="shared" si="100"/>
        <v>0</v>
      </c>
      <c r="K3149" s="84">
        <f t="shared" si="101"/>
        <v>0</v>
      </c>
      <c r="L3149" s="61" t="e">
        <f>VLOOKUP(K3149,[1]Mapping!$J$3:$Q$351,8,FALSE)</f>
        <v>#N/A</v>
      </c>
      <c r="M3149" t="s">
        <v>83</v>
      </c>
    </row>
    <row r="3150" spans="5:13" hidden="1" x14ac:dyDescent="0.35">
      <c r="E3150" s="81"/>
      <c r="I3150" s="83" t="e">
        <f>VLOOKUP(E3150,[1]Mapping!$A$3:$B$14,2,FALSE)</f>
        <v>#N/A</v>
      </c>
      <c r="J3150" s="84">
        <f t="shared" si="100"/>
        <v>0</v>
      </c>
      <c r="K3150" s="84">
        <f t="shared" si="101"/>
        <v>0</v>
      </c>
      <c r="L3150" s="61" t="e">
        <f>VLOOKUP(K3150,[1]Mapping!$J$3:$Q$351,8,FALSE)</f>
        <v>#N/A</v>
      </c>
      <c r="M3150" t="s">
        <v>83</v>
      </c>
    </row>
    <row r="3151" spans="5:13" hidden="1" x14ac:dyDescent="0.35">
      <c r="E3151" s="81"/>
      <c r="I3151" s="83" t="e">
        <f>VLOOKUP(E3151,[1]Mapping!$A$3:$B$14,2,FALSE)</f>
        <v>#N/A</v>
      </c>
      <c r="J3151" s="84">
        <f t="shared" si="100"/>
        <v>0</v>
      </c>
      <c r="K3151" s="84">
        <f t="shared" si="101"/>
        <v>0</v>
      </c>
      <c r="L3151" s="61" t="e">
        <f>VLOOKUP(K3151,[1]Mapping!$J$3:$Q$351,8,FALSE)</f>
        <v>#N/A</v>
      </c>
      <c r="M3151" t="s">
        <v>83</v>
      </c>
    </row>
    <row r="3152" spans="5:13" hidden="1" x14ac:dyDescent="0.35">
      <c r="E3152" s="81"/>
      <c r="I3152" s="83" t="e">
        <f>VLOOKUP(E3152,[1]Mapping!$A$3:$B$14,2,FALSE)</f>
        <v>#N/A</v>
      </c>
      <c r="J3152" s="84">
        <f t="shared" si="100"/>
        <v>0</v>
      </c>
      <c r="K3152" s="84">
        <f t="shared" si="101"/>
        <v>0</v>
      </c>
      <c r="L3152" s="61" t="e">
        <f>VLOOKUP(K3152,[1]Mapping!$J$3:$Q$351,8,FALSE)</f>
        <v>#N/A</v>
      </c>
      <c r="M3152" t="s">
        <v>83</v>
      </c>
    </row>
    <row r="3153" spans="5:13" hidden="1" x14ac:dyDescent="0.35">
      <c r="E3153" s="81"/>
      <c r="I3153" s="83" t="e">
        <f>VLOOKUP(E3153,[1]Mapping!$A$3:$B$14,2,FALSE)</f>
        <v>#N/A</v>
      </c>
      <c r="J3153" s="84">
        <f t="shared" si="100"/>
        <v>0</v>
      </c>
      <c r="K3153" s="84">
        <f t="shared" si="101"/>
        <v>0</v>
      </c>
      <c r="L3153" s="61" t="e">
        <f>VLOOKUP(K3153,[1]Mapping!$J$3:$Q$351,8,FALSE)</f>
        <v>#N/A</v>
      </c>
      <c r="M3153" t="s">
        <v>83</v>
      </c>
    </row>
    <row r="3154" spans="5:13" hidden="1" x14ac:dyDescent="0.35">
      <c r="E3154" s="81"/>
      <c r="I3154" s="83" t="e">
        <f>VLOOKUP(E3154,[1]Mapping!$A$3:$B$14,2,FALSE)</f>
        <v>#N/A</v>
      </c>
      <c r="J3154" s="84">
        <f t="shared" si="100"/>
        <v>0</v>
      </c>
      <c r="K3154" s="84">
        <f t="shared" si="101"/>
        <v>0</v>
      </c>
      <c r="L3154" s="61" t="e">
        <f>VLOOKUP(K3154,[1]Mapping!$J$3:$Q$351,8,FALSE)</f>
        <v>#N/A</v>
      </c>
      <c r="M3154" t="s">
        <v>83</v>
      </c>
    </row>
    <row r="3155" spans="5:13" hidden="1" x14ac:dyDescent="0.35">
      <c r="E3155" s="81"/>
      <c r="I3155" s="83" t="e">
        <f>VLOOKUP(E3155,[1]Mapping!$A$3:$B$14,2,FALSE)</f>
        <v>#N/A</v>
      </c>
      <c r="J3155" s="84">
        <f t="shared" si="100"/>
        <v>0</v>
      </c>
      <c r="K3155" s="84">
        <f t="shared" si="101"/>
        <v>0</v>
      </c>
      <c r="L3155" s="61" t="e">
        <f>VLOOKUP(K3155,[1]Mapping!$J$3:$Q$351,8,FALSE)</f>
        <v>#N/A</v>
      </c>
      <c r="M3155" t="s">
        <v>83</v>
      </c>
    </row>
    <row r="3156" spans="5:13" hidden="1" x14ac:dyDescent="0.35">
      <c r="E3156" s="81"/>
      <c r="I3156" s="83" t="e">
        <f>VLOOKUP(E3156,[1]Mapping!$A$3:$B$14,2,FALSE)</f>
        <v>#N/A</v>
      </c>
      <c r="J3156" s="84">
        <f t="shared" si="100"/>
        <v>0</v>
      </c>
      <c r="K3156" s="84">
        <f t="shared" si="101"/>
        <v>0</v>
      </c>
      <c r="L3156" s="61" t="e">
        <f>VLOOKUP(K3156,[1]Mapping!$J$3:$Q$351,8,FALSE)</f>
        <v>#N/A</v>
      </c>
      <c r="M3156" t="s">
        <v>83</v>
      </c>
    </row>
    <row r="3157" spans="5:13" hidden="1" x14ac:dyDescent="0.35">
      <c r="E3157" s="81"/>
      <c r="I3157" s="83" t="e">
        <f>VLOOKUP(E3157,[1]Mapping!$A$3:$B$14,2,FALSE)</f>
        <v>#N/A</v>
      </c>
      <c r="J3157" s="84">
        <f t="shared" si="100"/>
        <v>0</v>
      </c>
      <c r="K3157" s="84">
        <f t="shared" si="101"/>
        <v>0</v>
      </c>
      <c r="L3157" s="61" t="e">
        <f>VLOOKUP(K3157,[1]Mapping!$J$3:$Q$351,8,FALSE)</f>
        <v>#N/A</v>
      </c>
      <c r="M3157" t="s">
        <v>83</v>
      </c>
    </row>
    <row r="3158" spans="5:13" hidden="1" x14ac:dyDescent="0.35">
      <c r="E3158" s="81"/>
      <c r="I3158" s="83" t="e">
        <f>VLOOKUP(E3158,[1]Mapping!$A$3:$B$14,2,FALSE)</f>
        <v>#N/A</v>
      </c>
      <c r="J3158" s="84">
        <f t="shared" si="100"/>
        <v>0</v>
      </c>
      <c r="K3158" s="84">
        <f t="shared" si="101"/>
        <v>0</v>
      </c>
      <c r="L3158" s="61" t="e">
        <f>VLOOKUP(K3158,[1]Mapping!$J$3:$Q$351,8,FALSE)</f>
        <v>#N/A</v>
      </c>
      <c r="M3158" t="s">
        <v>83</v>
      </c>
    </row>
    <row r="3159" spans="5:13" hidden="1" x14ac:dyDescent="0.35">
      <c r="E3159" s="81"/>
      <c r="I3159" s="83" t="e">
        <f>VLOOKUP(E3159,[1]Mapping!$A$3:$B$14,2,FALSE)</f>
        <v>#N/A</v>
      </c>
      <c r="J3159" s="84">
        <f t="shared" si="100"/>
        <v>0</v>
      </c>
      <c r="K3159" s="84">
        <f t="shared" si="101"/>
        <v>0</v>
      </c>
      <c r="L3159" s="61" t="e">
        <f>VLOOKUP(K3159,[1]Mapping!$J$3:$Q$351,8,FALSE)</f>
        <v>#N/A</v>
      </c>
      <c r="M3159" t="s">
        <v>83</v>
      </c>
    </row>
    <row r="3160" spans="5:13" hidden="1" x14ac:dyDescent="0.35">
      <c r="E3160" s="81"/>
      <c r="I3160" s="83" t="e">
        <f>VLOOKUP(E3160,[1]Mapping!$A$3:$B$14,2,FALSE)</f>
        <v>#N/A</v>
      </c>
      <c r="J3160" s="84">
        <f t="shared" si="100"/>
        <v>0</v>
      </c>
      <c r="K3160" s="84">
        <f t="shared" si="101"/>
        <v>0</v>
      </c>
      <c r="L3160" s="61" t="e">
        <f>VLOOKUP(K3160,[1]Mapping!$J$3:$Q$351,8,FALSE)</f>
        <v>#N/A</v>
      </c>
      <c r="M3160" t="s">
        <v>83</v>
      </c>
    </row>
    <row r="3161" spans="5:13" hidden="1" x14ac:dyDescent="0.35">
      <c r="E3161" s="81"/>
      <c r="I3161" s="83" t="e">
        <f>VLOOKUP(E3161,[1]Mapping!$A$3:$B$14,2,FALSE)</f>
        <v>#N/A</v>
      </c>
      <c r="J3161" s="84">
        <f t="shared" si="100"/>
        <v>0</v>
      </c>
      <c r="K3161" s="84">
        <f t="shared" si="101"/>
        <v>0</v>
      </c>
      <c r="L3161" s="61" t="e">
        <f>VLOOKUP(K3161,[1]Mapping!$J$3:$Q$351,8,FALSE)</f>
        <v>#N/A</v>
      </c>
      <c r="M3161" t="s">
        <v>83</v>
      </c>
    </row>
    <row r="3162" spans="5:13" hidden="1" x14ac:dyDescent="0.35">
      <c r="E3162" s="81"/>
      <c r="I3162" s="83" t="e">
        <f>VLOOKUP(E3162,[1]Mapping!$A$3:$B$14,2,FALSE)</f>
        <v>#N/A</v>
      </c>
      <c r="J3162" s="84">
        <f t="shared" si="100"/>
        <v>0</v>
      </c>
      <c r="K3162" s="84">
        <f t="shared" si="101"/>
        <v>0</v>
      </c>
      <c r="L3162" s="61" t="e">
        <f>VLOOKUP(K3162,[1]Mapping!$J$3:$Q$351,8,FALSE)</f>
        <v>#N/A</v>
      </c>
      <c r="M3162" t="s">
        <v>83</v>
      </c>
    </row>
    <row r="3163" spans="5:13" hidden="1" x14ac:dyDescent="0.35">
      <c r="E3163" s="81"/>
      <c r="I3163" s="83" t="e">
        <f>VLOOKUP(E3163,[1]Mapping!$A$3:$B$14,2,FALSE)</f>
        <v>#N/A</v>
      </c>
      <c r="J3163" s="84">
        <f t="shared" si="100"/>
        <v>0</v>
      </c>
      <c r="K3163" s="84">
        <f t="shared" si="101"/>
        <v>0</v>
      </c>
      <c r="L3163" s="61" t="e">
        <f>VLOOKUP(K3163,[1]Mapping!$J$3:$Q$351,8,FALSE)</f>
        <v>#N/A</v>
      </c>
      <c r="M3163" t="s">
        <v>83</v>
      </c>
    </row>
    <row r="3164" spans="5:13" hidden="1" x14ac:dyDescent="0.35">
      <c r="E3164" s="81"/>
      <c r="I3164" s="83" t="e">
        <f>VLOOKUP(E3164,[1]Mapping!$A$3:$B$14,2,FALSE)</f>
        <v>#N/A</v>
      </c>
      <c r="J3164" s="84">
        <f t="shared" si="100"/>
        <v>0</v>
      </c>
      <c r="K3164" s="84">
        <f t="shared" si="101"/>
        <v>0</v>
      </c>
      <c r="L3164" s="61" t="e">
        <f>VLOOKUP(K3164,[1]Mapping!$J$3:$Q$351,8,FALSE)</f>
        <v>#N/A</v>
      </c>
      <c r="M3164" t="s">
        <v>83</v>
      </c>
    </row>
    <row r="3165" spans="5:13" hidden="1" x14ac:dyDescent="0.35">
      <c r="E3165" s="81"/>
      <c r="I3165" s="83" t="e">
        <f>VLOOKUP(E3165,[1]Mapping!$A$3:$B$14,2,FALSE)</f>
        <v>#N/A</v>
      </c>
      <c r="J3165" s="84">
        <f t="shared" si="100"/>
        <v>0</v>
      </c>
      <c r="K3165" s="84">
        <f t="shared" si="101"/>
        <v>0</v>
      </c>
      <c r="L3165" s="61" t="e">
        <f>VLOOKUP(K3165,[1]Mapping!$J$3:$Q$351,8,FALSE)</f>
        <v>#N/A</v>
      </c>
      <c r="M3165" t="s">
        <v>83</v>
      </c>
    </row>
    <row r="3166" spans="5:13" hidden="1" x14ac:dyDescent="0.35">
      <c r="E3166" s="81"/>
      <c r="I3166" s="83" t="e">
        <f>VLOOKUP(E3166,[1]Mapping!$A$3:$B$14,2,FALSE)</f>
        <v>#N/A</v>
      </c>
      <c r="J3166" s="84">
        <f t="shared" si="100"/>
        <v>0</v>
      </c>
      <c r="K3166" s="84">
        <f t="shared" si="101"/>
        <v>0</v>
      </c>
      <c r="L3166" s="61" t="e">
        <f>VLOOKUP(K3166,[1]Mapping!$J$3:$Q$351,8,FALSE)</f>
        <v>#N/A</v>
      </c>
      <c r="M3166" t="s">
        <v>83</v>
      </c>
    </row>
    <row r="3167" spans="5:13" hidden="1" x14ac:dyDescent="0.35">
      <c r="E3167" s="81"/>
      <c r="I3167" s="83" t="e">
        <f>VLOOKUP(E3167,[1]Mapping!$A$3:$B$14,2,FALSE)</f>
        <v>#N/A</v>
      </c>
      <c r="J3167" s="84">
        <f t="shared" si="100"/>
        <v>0</v>
      </c>
      <c r="K3167" s="84">
        <f t="shared" si="101"/>
        <v>0</v>
      </c>
      <c r="L3167" s="61" t="e">
        <f>VLOOKUP(K3167,[1]Mapping!$J$3:$Q$351,8,FALSE)</f>
        <v>#N/A</v>
      </c>
      <c r="M3167" t="s">
        <v>83</v>
      </c>
    </row>
    <row r="3168" spans="5:13" hidden="1" x14ac:dyDescent="0.35">
      <c r="E3168" s="81"/>
      <c r="I3168" s="83" t="e">
        <f>VLOOKUP(E3168,[1]Mapping!$A$3:$B$14,2,FALSE)</f>
        <v>#N/A</v>
      </c>
      <c r="J3168" s="84">
        <f t="shared" si="100"/>
        <v>0</v>
      </c>
      <c r="K3168" s="84">
        <f t="shared" si="101"/>
        <v>0</v>
      </c>
      <c r="L3168" s="61" t="e">
        <f>VLOOKUP(K3168,[1]Mapping!$J$3:$Q$351,8,FALSE)</f>
        <v>#N/A</v>
      </c>
      <c r="M3168" t="s">
        <v>83</v>
      </c>
    </row>
    <row r="3169" spans="5:13" hidden="1" x14ac:dyDescent="0.35">
      <c r="E3169" s="81"/>
      <c r="I3169" s="83" t="e">
        <f>VLOOKUP(E3169,[1]Mapping!$A$3:$B$14,2,FALSE)</f>
        <v>#N/A</v>
      </c>
      <c r="J3169" s="84">
        <f t="shared" si="100"/>
        <v>0</v>
      </c>
      <c r="K3169" s="84">
        <f t="shared" si="101"/>
        <v>0</v>
      </c>
      <c r="L3169" s="61" t="e">
        <f>VLOOKUP(K3169,[1]Mapping!$J$3:$Q$351,8,FALSE)</f>
        <v>#N/A</v>
      </c>
      <c r="M3169" t="s">
        <v>83</v>
      </c>
    </row>
    <row r="3170" spans="5:13" hidden="1" x14ac:dyDescent="0.35">
      <c r="E3170" s="81"/>
      <c r="I3170" s="83" t="e">
        <f>VLOOKUP(E3170,[1]Mapping!$A$3:$B$14,2,FALSE)</f>
        <v>#N/A</v>
      </c>
      <c r="J3170" s="84">
        <f t="shared" si="100"/>
        <v>0</v>
      </c>
      <c r="K3170" s="84">
        <f t="shared" si="101"/>
        <v>0</v>
      </c>
      <c r="L3170" s="61" t="e">
        <f>VLOOKUP(K3170,[1]Mapping!$J$3:$Q$351,8,FALSE)</f>
        <v>#N/A</v>
      </c>
      <c r="M3170" t="s">
        <v>83</v>
      </c>
    </row>
    <row r="3171" spans="5:13" hidden="1" x14ac:dyDescent="0.35">
      <c r="E3171" s="81"/>
      <c r="I3171" s="83" t="e">
        <f>VLOOKUP(E3171,[1]Mapping!$A$3:$B$14,2,FALSE)</f>
        <v>#N/A</v>
      </c>
      <c r="J3171" s="84">
        <f t="shared" si="100"/>
        <v>0</v>
      </c>
      <c r="K3171" s="84">
        <f t="shared" si="101"/>
        <v>0</v>
      </c>
      <c r="L3171" s="61" t="e">
        <f>VLOOKUP(K3171,[1]Mapping!$J$3:$Q$351,8,FALSE)</f>
        <v>#N/A</v>
      </c>
      <c r="M3171" t="s">
        <v>83</v>
      </c>
    </row>
    <row r="3172" spans="5:13" hidden="1" x14ac:dyDescent="0.35">
      <c r="E3172" s="81"/>
      <c r="I3172" s="83" t="e">
        <f>VLOOKUP(E3172,[1]Mapping!$A$3:$B$14,2,FALSE)</f>
        <v>#N/A</v>
      </c>
      <c r="J3172" s="84">
        <f t="shared" si="100"/>
        <v>0</v>
      </c>
      <c r="K3172" s="84">
        <f t="shared" si="101"/>
        <v>0</v>
      </c>
      <c r="L3172" s="61" t="e">
        <f>VLOOKUP(K3172,[1]Mapping!$J$3:$Q$351,8,FALSE)</f>
        <v>#N/A</v>
      </c>
      <c r="M3172" t="s">
        <v>83</v>
      </c>
    </row>
    <row r="3173" spans="5:13" hidden="1" x14ac:dyDescent="0.35">
      <c r="E3173" s="81"/>
      <c r="I3173" s="83" t="e">
        <f>VLOOKUP(E3173,[1]Mapping!$A$3:$B$14,2,FALSE)</f>
        <v>#N/A</v>
      </c>
      <c r="J3173" s="84">
        <f t="shared" si="100"/>
        <v>0</v>
      </c>
      <c r="K3173" s="84">
        <f t="shared" si="101"/>
        <v>0</v>
      </c>
      <c r="L3173" s="61" t="e">
        <f>VLOOKUP(K3173,[1]Mapping!$J$3:$Q$351,8,FALSE)</f>
        <v>#N/A</v>
      </c>
      <c r="M3173" t="s">
        <v>83</v>
      </c>
    </row>
    <row r="3174" spans="5:13" hidden="1" x14ac:dyDescent="0.35">
      <c r="E3174" s="81"/>
      <c r="I3174" s="83" t="e">
        <f>VLOOKUP(E3174,[1]Mapping!$A$3:$B$14,2,FALSE)</f>
        <v>#N/A</v>
      </c>
      <c r="J3174" s="84">
        <f t="shared" si="100"/>
        <v>0</v>
      </c>
      <c r="K3174" s="84">
        <f t="shared" si="101"/>
        <v>0</v>
      </c>
      <c r="L3174" s="61" t="e">
        <f>VLOOKUP(K3174,[1]Mapping!$J$3:$Q$351,8,FALSE)</f>
        <v>#N/A</v>
      </c>
      <c r="M3174" t="s">
        <v>83</v>
      </c>
    </row>
    <row r="3175" spans="5:13" hidden="1" x14ac:dyDescent="0.35">
      <c r="E3175" s="81"/>
      <c r="I3175" s="83" t="e">
        <f>VLOOKUP(E3175,[1]Mapping!$A$3:$B$14,2,FALSE)</f>
        <v>#N/A</v>
      </c>
      <c r="J3175" s="84">
        <f t="shared" si="100"/>
        <v>0</v>
      </c>
      <c r="K3175" s="84">
        <f t="shared" si="101"/>
        <v>0</v>
      </c>
      <c r="L3175" s="61" t="e">
        <f>VLOOKUP(K3175,[1]Mapping!$J$3:$Q$351,8,FALSE)</f>
        <v>#N/A</v>
      </c>
      <c r="M3175" t="s">
        <v>83</v>
      </c>
    </row>
    <row r="3176" spans="5:13" hidden="1" x14ac:dyDescent="0.35">
      <c r="E3176" s="81"/>
      <c r="I3176" s="83" t="e">
        <f>VLOOKUP(E3176,[1]Mapping!$A$3:$B$14,2,FALSE)</f>
        <v>#N/A</v>
      </c>
      <c r="J3176" s="84">
        <f t="shared" si="100"/>
        <v>0</v>
      </c>
      <c r="K3176" s="84">
        <f t="shared" si="101"/>
        <v>0</v>
      </c>
      <c r="L3176" s="61" t="e">
        <f>VLOOKUP(K3176,[1]Mapping!$J$3:$Q$351,8,FALSE)</f>
        <v>#N/A</v>
      </c>
      <c r="M3176" t="s">
        <v>83</v>
      </c>
    </row>
    <row r="3177" spans="5:13" hidden="1" x14ac:dyDescent="0.35">
      <c r="E3177" s="81"/>
      <c r="I3177" s="83" t="e">
        <f>VLOOKUP(E3177,[1]Mapping!$A$3:$B$14,2,FALSE)</f>
        <v>#N/A</v>
      </c>
      <c r="J3177" s="84">
        <f t="shared" si="100"/>
        <v>0</v>
      </c>
      <c r="K3177" s="84">
        <f t="shared" si="101"/>
        <v>0</v>
      </c>
      <c r="L3177" s="61" t="e">
        <f>VLOOKUP(K3177,[1]Mapping!$J$3:$Q$351,8,FALSE)</f>
        <v>#N/A</v>
      </c>
      <c r="M3177" t="s">
        <v>83</v>
      </c>
    </row>
    <row r="3178" spans="5:13" hidden="1" x14ac:dyDescent="0.35">
      <c r="E3178" s="81"/>
      <c r="I3178" s="83" t="e">
        <f>VLOOKUP(E3178,[1]Mapping!$A$3:$B$14,2,FALSE)</f>
        <v>#N/A</v>
      </c>
      <c r="J3178" s="84">
        <f t="shared" si="100"/>
        <v>0</v>
      </c>
      <c r="K3178" s="84">
        <f t="shared" si="101"/>
        <v>0</v>
      </c>
      <c r="L3178" s="61" t="e">
        <f>VLOOKUP(K3178,[1]Mapping!$J$3:$Q$351,8,FALSE)</f>
        <v>#N/A</v>
      </c>
      <c r="M3178" t="s">
        <v>83</v>
      </c>
    </row>
    <row r="3179" spans="5:13" hidden="1" x14ac:dyDescent="0.35">
      <c r="E3179" s="81"/>
      <c r="I3179" s="83" t="e">
        <f>VLOOKUP(E3179,[1]Mapping!$A$3:$B$14,2,FALSE)</f>
        <v>#N/A</v>
      </c>
      <c r="J3179" s="84">
        <f t="shared" si="100"/>
        <v>0</v>
      </c>
      <c r="K3179" s="84">
        <f t="shared" si="101"/>
        <v>0</v>
      </c>
      <c r="L3179" s="61" t="e">
        <f>VLOOKUP(K3179,[1]Mapping!$J$3:$Q$351,8,FALSE)</f>
        <v>#N/A</v>
      </c>
      <c r="M3179" t="s">
        <v>83</v>
      </c>
    </row>
    <row r="3180" spans="5:13" hidden="1" x14ac:dyDescent="0.35">
      <c r="E3180" s="81"/>
      <c r="I3180" s="83" t="e">
        <f>VLOOKUP(E3180,[1]Mapping!$A$3:$B$14,2,FALSE)</f>
        <v>#N/A</v>
      </c>
      <c r="J3180" s="84">
        <f t="shared" si="100"/>
        <v>0</v>
      </c>
      <c r="K3180" s="84">
        <f t="shared" si="101"/>
        <v>0</v>
      </c>
      <c r="L3180" s="61" t="e">
        <f>VLOOKUP(K3180,[1]Mapping!$J$3:$Q$351,8,FALSE)</f>
        <v>#N/A</v>
      </c>
      <c r="M3180" t="s">
        <v>83</v>
      </c>
    </row>
    <row r="3181" spans="5:13" hidden="1" x14ac:dyDescent="0.35">
      <c r="E3181" s="81"/>
      <c r="I3181" s="83" t="e">
        <f>VLOOKUP(E3181,[1]Mapping!$A$3:$B$14,2,FALSE)</f>
        <v>#N/A</v>
      </c>
      <c r="J3181" s="84">
        <f t="shared" si="100"/>
        <v>0</v>
      </c>
      <c r="K3181" s="84">
        <f t="shared" si="101"/>
        <v>0</v>
      </c>
      <c r="L3181" s="61" t="e">
        <f>VLOOKUP(K3181,[1]Mapping!$J$3:$Q$351,8,FALSE)</f>
        <v>#N/A</v>
      </c>
      <c r="M3181" t="s">
        <v>83</v>
      </c>
    </row>
    <row r="3182" spans="5:13" hidden="1" x14ac:dyDescent="0.35">
      <c r="E3182" s="81"/>
      <c r="I3182" s="83" t="e">
        <f>VLOOKUP(E3182,[1]Mapping!$A$3:$B$14,2,FALSE)</f>
        <v>#N/A</v>
      </c>
      <c r="J3182" s="84">
        <f t="shared" si="100"/>
        <v>0</v>
      </c>
      <c r="K3182" s="84">
        <f t="shared" si="101"/>
        <v>0</v>
      </c>
      <c r="L3182" s="61" t="e">
        <f>VLOOKUP(K3182,[1]Mapping!$J$3:$Q$351,8,FALSE)</f>
        <v>#N/A</v>
      </c>
      <c r="M3182" t="s">
        <v>83</v>
      </c>
    </row>
    <row r="3183" spans="5:13" hidden="1" x14ac:dyDescent="0.35">
      <c r="E3183" s="81"/>
      <c r="I3183" s="83" t="e">
        <f>VLOOKUP(E3183,[1]Mapping!$A$3:$B$14,2,FALSE)</f>
        <v>#N/A</v>
      </c>
      <c r="J3183" s="84">
        <f t="shared" si="100"/>
        <v>0</v>
      </c>
      <c r="K3183" s="84">
        <f t="shared" si="101"/>
        <v>0</v>
      </c>
      <c r="L3183" s="61" t="e">
        <f>VLOOKUP(K3183,[1]Mapping!$J$3:$Q$351,8,FALSE)</f>
        <v>#N/A</v>
      </c>
      <c r="M3183" t="s">
        <v>83</v>
      </c>
    </row>
    <row r="3184" spans="5:13" hidden="1" x14ac:dyDescent="0.35">
      <c r="E3184" s="81"/>
      <c r="I3184" s="83" t="e">
        <f>VLOOKUP(E3184,[1]Mapping!$A$3:$B$14,2,FALSE)</f>
        <v>#N/A</v>
      </c>
      <c r="J3184" s="84">
        <f t="shared" si="100"/>
        <v>0</v>
      </c>
      <c r="K3184" s="84">
        <f t="shared" si="101"/>
        <v>0</v>
      </c>
      <c r="L3184" s="61" t="e">
        <f>VLOOKUP(K3184,[1]Mapping!$J$3:$Q$351,8,FALSE)</f>
        <v>#N/A</v>
      </c>
      <c r="M3184" t="s">
        <v>83</v>
      </c>
    </row>
    <row r="3185" spans="5:13" hidden="1" x14ac:dyDescent="0.35">
      <c r="E3185" s="81"/>
      <c r="I3185" s="83" t="e">
        <f>VLOOKUP(E3185,[1]Mapping!$A$3:$B$14,2,FALSE)</f>
        <v>#N/A</v>
      </c>
      <c r="J3185" s="84">
        <f t="shared" si="100"/>
        <v>0</v>
      </c>
      <c r="K3185" s="84">
        <f t="shared" si="101"/>
        <v>0</v>
      </c>
      <c r="L3185" s="61" t="e">
        <f>VLOOKUP(K3185,[1]Mapping!$J$3:$Q$351,8,FALSE)</f>
        <v>#N/A</v>
      </c>
      <c r="M3185" t="s">
        <v>83</v>
      </c>
    </row>
    <row r="3186" spans="5:13" hidden="1" x14ac:dyDescent="0.35">
      <c r="E3186" s="81"/>
      <c r="I3186" s="83" t="e">
        <f>VLOOKUP(E3186,[1]Mapping!$A$3:$B$14,2,FALSE)</f>
        <v>#N/A</v>
      </c>
      <c r="J3186" s="84">
        <f t="shared" si="100"/>
        <v>0</v>
      </c>
      <c r="K3186" s="84">
        <f t="shared" si="101"/>
        <v>0</v>
      </c>
      <c r="L3186" s="61" t="e">
        <f>VLOOKUP(K3186,[1]Mapping!$J$3:$Q$351,8,FALSE)</f>
        <v>#N/A</v>
      </c>
      <c r="M3186" t="s">
        <v>83</v>
      </c>
    </row>
    <row r="3187" spans="5:13" hidden="1" x14ac:dyDescent="0.35">
      <c r="E3187" s="81"/>
      <c r="I3187" s="83" t="e">
        <f>VLOOKUP(E3187,[1]Mapping!$A$3:$B$14,2,FALSE)</f>
        <v>#N/A</v>
      </c>
      <c r="J3187" s="84">
        <f t="shared" si="100"/>
        <v>0</v>
      </c>
      <c r="K3187" s="84">
        <f t="shared" si="101"/>
        <v>0</v>
      </c>
      <c r="L3187" s="61" t="e">
        <f>VLOOKUP(K3187,[1]Mapping!$J$3:$Q$351,8,FALSE)</f>
        <v>#N/A</v>
      </c>
      <c r="M3187" t="s">
        <v>83</v>
      </c>
    </row>
    <row r="3188" spans="5:13" hidden="1" x14ac:dyDescent="0.35">
      <c r="E3188" s="81"/>
      <c r="I3188" s="83" t="e">
        <f>VLOOKUP(E3188,[1]Mapping!$A$3:$B$14,2,FALSE)</f>
        <v>#N/A</v>
      </c>
      <c r="J3188" s="84">
        <f t="shared" si="100"/>
        <v>0</v>
      </c>
      <c r="K3188" s="84">
        <f t="shared" si="101"/>
        <v>0</v>
      </c>
      <c r="L3188" s="61" t="e">
        <f>VLOOKUP(K3188,[1]Mapping!$J$3:$Q$351,8,FALSE)</f>
        <v>#N/A</v>
      </c>
      <c r="M3188" t="s">
        <v>83</v>
      </c>
    </row>
    <row r="3189" spans="5:13" hidden="1" x14ac:dyDescent="0.35">
      <c r="E3189" s="81"/>
      <c r="I3189" s="83" t="e">
        <f>VLOOKUP(E3189,[1]Mapping!$A$3:$B$14,2,FALSE)</f>
        <v>#N/A</v>
      </c>
      <c r="J3189" s="84">
        <f t="shared" si="100"/>
        <v>0</v>
      </c>
      <c r="K3189" s="84">
        <f t="shared" si="101"/>
        <v>0</v>
      </c>
      <c r="L3189" s="61" t="e">
        <f>VLOOKUP(K3189,[1]Mapping!$J$3:$Q$351,8,FALSE)</f>
        <v>#N/A</v>
      </c>
      <c r="M3189" t="s">
        <v>83</v>
      </c>
    </row>
    <row r="3190" spans="5:13" hidden="1" x14ac:dyDescent="0.35">
      <c r="E3190" s="81"/>
      <c r="I3190" s="83" t="e">
        <f>VLOOKUP(E3190,[1]Mapping!$A$3:$B$14,2,FALSE)</f>
        <v>#N/A</v>
      </c>
      <c r="J3190" s="84">
        <f t="shared" si="100"/>
        <v>0</v>
      </c>
      <c r="K3190" s="84">
        <f t="shared" si="101"/>
        <v>0</v>
      </c>
      <c r="L3190" s="61" t="e">
        <f>VLOOKUP(K3190,[1]Mapping!$J$3:$Q$351,8,FALSE)</f>
        <v>#N/A</v>
      </c>
      <c r="M3190" t="s">
        <v>83</v>
      </c>
    </row>
    <row r="3191" spans="5:13" hidden="1" x14ac:dyDescent="0.35">
      <c r="E3191" s="81"/>
      <c r="I3191" s="83" t="e">
        <f>VLOOKUP(E3191,[1]Mapping!$A$3:$B$14,2,FALSE)</f>
        <v>#N/A</v>
      </c>
      <c r="J3191" s="84">
        <f t="shared" si="100"/>
        <v>0</v>
      </c>
      <c r="K3191" s="84">
        <f t="shared" si="101"/>
        <v>0</v>
      </c>
      <c r="L3191" s="61" t="e">
        <f>VLOOKUP(K3191,[1]Mapping!$J$3:$Q$351,8,FALSE)</f>
        <v>#N/A</v>
      </c>
      <c r="M3191" t="s">
        <v>83</v>
      </c>
    </row>
    <row r="3192" spans="5:13" hidden="1" x14ac:dyDescent="0.35">
      <c r="E3192" s="81"/>
      <c r="I3192" s="83" t="e">
        <f>VLOOKUP(E3192,[1]Mapping!$A$3:$B$14,2,FALSE)</f>
        <v>#N/A</v>
      </c>
      <c r="J3192" s="84">
        <f t="shared" si="100"/>
        <v>0</v>
      </c>
      <c r="K3192" s="84">
        <f t="shared" si="101"/>
        <v>0</v>
      </c>
      <c r="L3192" s="61" t="e">
        <f>VLOOKUP(K3192,[1]Mapping!$J$3:$Q$351,8,FALSE)</f>
        <v>#N/A</v>
      </c>
      <c r="M3192" t="s">
        <v>83</v>
      </c>
    </row>
    <row r="3193" spans="5:13" hidden="1" x14ac:dyDescent="0.35">
      <c r="E3193" s="81"/>
      <c r="I3193" s="83" t="e">
        <f>VLOOKUP(E3193,[1]Mapping!$A$3:$B$14,2,FALSE)</f>
        <v>#N/A</v>
      </c>
      <c r="J3193" s="84">
        <f t="shared" si="100"/>
        <v>0</v>
      </c>
      <c r="K3193" s="84">
        <f t="shared" si="101"/>
        <v>0</v>
      </c>
      <c r="L3193" s="61" t="e">
        <f>VLOOKUP(K3193,[1]Mapping!$J$3:$Q$351,8,FALSE)</f>
        <v>#N/A</v>
      </c>
      <c r="M3193" t="s">
        <v>83</v>
      </c>
    </row>
    <row r="3194" spans="5:13" hidden="1" x14ac:dyDescent="0.35">
      <c r="E3194" s="81"/>
      <c r="I3194" s="83" t="e">
        <f>VLOOKUP(E3194,[1]Mapping!$A$3:$B$14,2,FALSE)</f>
        <v>#N/A</v>
      </c>
      <c r="J3194" s="84">
        <f t="shared" si="100"/>
        <v>0</v>
      </c>
      <c r="K3194" s="84">
        <f t="shared" si="101"/>
        <v>0</v>
      </c>
      <c r="L3194" s="61" t="e">
        <f>VLOOKUP(K3194,[1]Mapping!$J$3:$Q$351,8,FALSE)</f>
        <v>#N/A</v>
      </c>
      <c r="M3194" t="s">
        <v>83</v>
      </c>
    </row>
    <row r="3195" spans="5:13" hidden="1" x14ac:dyDescent="0.35">
      <c r="E3195" s="81"/>
      <c r="I3195" s="83" t="e">
        <f>VLOOKUP(E3195,[1]Mapping!$A$3:$B$14,2,FALSE)</f>
        <v>#N/A</v>
      </c>
      <c r="J3195" s="84">
        <f t="shared" si="100"/>
        <v>0</v>
      </c>
      <c r="K3195" s="84">
        <f t="shared" si="101"/>
        <v>0</v>
      </c>
      <c r="L3195" s="61" t="e">
        <f>VLOOKUP(K3195,[1]Mapping!$J$3:$Q$351,8,FALSE)</f>
        <v>#N/A</v>
      </c>
      <c r="M3195" t="s">
        <v>83</v>
      </c>
    </row>
    <row r="3196" spans="5:13" hidden="1" x14ac:dyDescent="0.35">
      <c r="E3196" s="81"/>
      <c r="I3196" s="83" t="e">
        <f>VLOOKUP(E3196,[1]Mapping!$A$3:$B$14,2,FALSE)</f>
        <v>#N/A</v>
      </c>
      <c r="J3196" s="84">
        <f t="shared" si="100"/>
        <v>0</v>
      </c>
      <c r="K3196" s="84">
        <f t="shared" si="101"/>
        <v>0</v>
      </c>
      <c r="L3196" s="61" t="e">
        <f>VLOOKUP(K3196,[1]Mapping!$J$3:$Q$351,8,FALSE)</f>
        <v>#N/A</v>
      </c>
      <c r="M3196" t="s">
        <v>83</v>
      </c>
    </row>
    <row r="3197" spans="5:13" hidden="1" x14ac:dyDescent="0.35">
      <c r="E3197" s="81"/>
      <c r="I3197" s="83" t="e">
        <f>VLOOKUP(E3197,[1]Mapping!$A$3:$B$14,2,FALSE)</f>
        <v>#N/A</v>
      </c>
      <c r="J3197" s="84">
        <f t="shared" si="100"/>
        <v>0</v>
      </c>
      <c r="K3197" s="84">
        <f t="shared" si="101"/>
        <v>0</v>
      </c>
      <c r="L3197" s="61" t="e">
        <f>VLOOKUP(K3197,[1]Mapping!$J$3:$Q$351,8,FALSE)</f>
        <v>#N/A</v>
      </c>
      <c r="M3197" t="s">
        <v>83</v>
      </c>
    </row>
    <row r="3198" spans="5:13" hidden="1" x14ac:dyDescent="0.35">
      <c r="E3198" s="81"/>
      <c r="I3198" s="83" t="e">
        <f>VLOOKUP(E3198,[1]Mapping!$A$3:$B$14,2,FALSE)</f>
        <v>#N/A</v>
      </c>
      <c r="J3198" s="84">
        <f t="shared" si="100"/>
        <v>0</v>
      </c>
      <c r="K3198" s="84">
        <f t="shared" si="101"/>
        <v>0</v>
      </c>
      <c r="L3198" s="61" t="e">
        <f>VLOOKUP(K3198,[1]Mapping!$J$3:$Q$351,8,FALSE)</f>
        <v>#N/A</v>
      </c>
      <c r="M3198" t="s">
        <v>83</v>
      </c>
    </row>
    <row r="3199" spans="5:13" hidden="1" x14ac:dyDescent="0.35">
      <c r="E3199" s="81"/>
      <c r="I3199" s="83" t="e">
        <f>VLOOKUP(E3199,[1]Mapping!$A$3:$B$14,2,FALSE)</f>
        <v>#N/A</v>
      </c>
      <c r="J3199" s="84">
        <f t="shared" si="100"/>
        <v>0</v>
      </c>
      <c r="K3199" s="84">
        <f t="shared" si="101"/>
        <v>0</v>
      </c>
      <c r="L3199" s="61" t="e">
        <f>VLOOKUP(K3199,[1]Mapping!$J$3:$Q$351,8,FALSE)</f>
        <v>#N/A</v>
      </c>
      <c r="M3199" t="s">
        <v>83</v>
      </c>
    </row>
    <row r="3200" spans="5:13" hidden="1" x14ac:dyDescent="0.35">
      <c r="E3200" s="81"/>
      <c r="I3200" s="83" t="e">
        <f>VLOOKUP(E3200,[1]Mapping!$A$3:$B$14,2,FALSE)</f>
        <v>#N/A</v>
      </c>
      <c r="J3200" s="84">
        <f t="shared" si="100"/>
        <v>0</v>
      </c>
      <c r="K3200" s="84">
        <f t="shared" si="101"/>
        <v>0</v>
      </c>
      <c r="L3200" s="61" t="e">
        <f>VLOOKUP(K3200,[1]Mapping!$J$3:$Q$351,8,FALSE)</f>
        <v>#N/A</v>
      </c>
      <c r="M3200" t="s">
        <v>83</v>
      </c>
    </row>
    <row r="3201" spans="5:13" hidden="1" x14ac:dyDescent="0.35">
      <c r="E3201" s="81"/>
      <c r="I3201" s="83" t="e">
        <f>VLOOKUP(E3201,[1]Mapping!$A$3:$B$14,2,FALSE)</f>
        <v>#N/A</v>
      </c>
      <c r="J3201" s="84">
        <f t="shared" si="100"/>
        <v>0</v>
      </c>
      <c r="K3201" s="84">
        <f t="shared" si="101"/>
        <v>0</v>
      </c>
      <c r="L3201" s="61" t="e">
        <f>VLOOKUP(K3201,[1]Mapping!$J$3:$Q$351,8,FALSE)</f>
        <v>#N/A</v>
      </c>
      <c r="M3201" t="s">
        <v>83</v>
      </c>
    </row>
    <row r="3202" spans="5:13" hidden="1" x14ac:dyDescent="0.35">
      <c r="E3202" s="81"/>
      <c r="I3202" s="83" t="e">
        <f>VLOOKUP(E3202,[1]Mapping!$A$3:$B$14,2,FALSE)</f>
        <v>#N/A</v>
      </c>
      <c r="J3202" s="84">
        <f t="shared" si="100"/>
        <v>0</v>
      </c>
      <c r="K3202" s="84">
        <f t="shared" si="101"/>
        <v>0</v>
      </c>
      <c r="L3202" s="61" t="e">
        <f>VLOOKUP(K3202,[1]Mapping!$J$3:$Q$351,8,FALSE)</f>
        <v>#N/A</v>
      </c>
      <c r="M3202" t="s">
        <v>83</v>
      </c>
    </row>
    <row r="3203" spans="5:13" hidden="1" x14ac:dyDescent="0.35">
      <c r="E3203" s="81"/>
      <c r="I3203" s="83" t="e">
        <f>VLOOKUP(E3203,[1]Mapping!$A$3:$B$14,2,FALSE)</f>
        <v>#N/A</v>
      </c>
      <c r="J3203" s="84">
        <f t="shared" si="100"/>
        <v>0</v>
      </c>
      <c r="K3203" s="84">
        <f t="shared" si="101"/>
        <v>0</v>
      </c>
      <c r="L3203" s="61" t="e">
        <f>VLOOKUP(K3203,[1]Mapping!$J$3:$Q$351,8,FALSE)</f>
        <v>#N/A</v>
      </c>
      <c r="M3203" t="s">
        <v>83</v>
      </c>
    </row>
    <row r="3204" spans="5:13" hidden="1" x14ac:dyDescent="0.35">
      <c r="E3204" s="81"/>
      <c r="I3204" s="83" t="e">
        <f>VLOOKUP(E3204,[1]Mapping!$A$3:$B$14,2,FALSE)</f>
        <v>#N/A</v>
      </c>
      <c r="J3204" s="84">
        <f t="shared" ref="J3204:J3267" si="102">VALUE(A3204)</f>
        <v>0</v>
      </c>
      <c r="K3204" s="84">
        <f t="shared" ref="K3204:K3267" si="103">VALUE(C3204)</f>
        <v>0</v>
      </c>
      <c r="L3204" s="61" t="e">
        <f>VLOOKUP(K3204,[1]Mapping!$J$3:$Q$351,8,FALSE)</f>
        <v>#N/A</v>
      </c>
      <c r="M3204" t="s">
        <v>83</v>
      </c>
    </row>
    <row r="3205" spans="5:13" hidden="1" x14ac:dyDescent="0.35">
      <c r="E3205" s="81"/>
      <c r="I3205" s="83" t="e">
        <f>VLOOKUP(E3205,[1]Mapping!$A$3:$B$14,2,FALSE)</f>
        <v>#N/A</v>
      </c>
      <c r="J3205" s="84">
        <f t="shared" si="102"/>
        <v>0</v>
      </c>
      <c r="K3205" s="84">
        <f t="shared" si="103"/>
        <v>0</v>
      </c>
      <c r="L3205" s="61" t="e">
        <f>VLOOKUP(K3205,[1]Mapping!$J$3:$Q$351,8,FALSE)</f>
        <v>#N/A</v>
      </c>
      <c r="M3205" t="s">
        <v>83</v>
      </c>
    </row>
    <row r="3206" spans="5:13" hidden="1" x14ac:dyDescent="0.35">
      <c r="E3206" s="81"/>
      <c r="I3206" s="83" t="e">
        <f>VLOOKUP(E3206,[1]Mapping!$A$3:$B$14,2,FALSE)</f>
        <v>#N/A</v>
      </c>
      <c r="J3206" s="84">
        <f t="shared" si="102"/>
        <v>0</v>
      </c>
      <c r="K3206" s="84">
        <f t="shared" si="103"/>
        <v>0</v>
      </c>
      <c r="L3206" s="61" t="e">
        <f>VLOOKUP(K3206,[1]Mapping!$J$3:$Q$351,8,FALSE)</f>
        <v>#N/A</v>
      </c>
      <c r="M3206" t="s">
        <v>83</v>
      </c>
    </row>
    <row r="3207" spans="5:13" hidden="1" x14ac:dyDescent="0.35">
      <c r="E3207" s="81"/>
      <c r="I3207" s="83" t="e">
        <f>VLOOKUP(E3207,[1]Mapping!$A$3:$B$14,2,FALSE)</f>
        <v>#N/A</v>
      </c>
      <c r="J3207" s="84">
        <f t="shared" si="102"/>
        <v>0</v>
      </c>
      <c r="K3207" s="84">
        <f t="shared" si="103"/>
        <v>0</v>
      </c>
      <c r="L3207" s="61" t="e">
        <f>VLOOKUP(K3207,[1]Mapping!$J$3:$Q$351,8,FALSE)</f>
        <v>#N/A</v>
      </c>
      <c r="M3207" t="s">
        <v>83</v>
      </c>
    </row>
    <row r="3208" spans="5:13" hidden="1" x14ac:dyDescent="0.35">
      <c r="E3208" s="81"/>
      <c r="I3208" s="83" t="e">
        <f>VLOOKUP(E3208,[1]Mapping!$A$3:$B$14,2,FALSE)</f>
        <v>#N/A</v>
      </c>
      <c r="J3208" s="84">
        <f t="shared" si="102"/>
        <v>0</v>
      </c>
      <c r="K3208" s="84">
        <f t="shared" si="103"/>
        <v>0</v>
      </c>
      <c r="L3208" s="61" t="e">
        <f>VLOOKUP(K3208,[1]Mapping!$J$3:$Q$351,8,FALSE)</f>
        <v>#N/A</v>
      </c>
      <c r="M3208" t="s">
        <v>83</v>
      </c>
    </row>
    <row r="3209" spans="5:13" hidden="1" x14ac:dyDescent="0.35">
      <c r="E3209" s="81"/>
      <c r="I3209" s="83" t="e">
        <f>VLOOKUP(E3209,[1]Mapping!$A$3:$B$14,2,FALSE)</f>
        <v>#N/A</v>
      </c>
      <c r="J3209" s="84">
        <f t="shared" si="102"/>
        <v>0</v>
      </c>
      <c r="K3209" s="84">
        <f t="shared" si="103"/>
        <v>0</v>
      </c>
      <c r="L3209" s="61" t="e">
        <f>VLOOKUP(K3209,[1]Mapping!$J$3:$Q$351,8,FALSE)</f>
        <v>#N/A</v>
      </c>
      <c r="M3209" t="s">
        <v>83</v>
      </c>
    </row>
    <row r="3210" spans="5:13" hidden="1" x14ac:dyDescent="0.35">
      <c r="E3210" s="81"/>
      <c r="I3210" s="83" t="e">
        <f>VLOOKUP(E3210,[1]Mapping!$A$3:$B$14,2,FALSE)</f>
        <v>#N/A</v>
      </c>
      <c r="J3210" s="84">
        <f t="shared" si="102"/>
        <v>0</v>
      </c>
      <c r="K3210" s="84">
        <f t="shared" si="103"/>
        <v>0</v>
      </c>
      <c r="L3210" s="61" t="e">
        <f>VLOOKUP(K3210,[1]Mapping!$J$3:$Q$351,8,FALSE)</f>
        <v>#N/A</v>
      </c>
      <c r="M3210" t="s">
        <v>83</v>
      </c>
    </row>
    <row r="3211" spans="5:13" hidden="1" x14ac:dyDescent="0.35">
      <c r="E3211" s="81"/>
      <c r="I3211" s="83" t="e">
        <f>VLOOKUP(E3211,[1]Mapping!$A$3:$B$14,2,FALSE)</f>
        <v>#N/A</v>
      </c>
      <c r="J3211" s="84">
        <f t="shared" si="102"/>
        <v>0</v>
      </c>
      <c r="K3211" s="84">
        <f t="shared" si="103"/>
        <v>0</v>
      </c>
      <c r="L3211" s="61" t="e">
        <f>VLOOKUP(K3211,[1]Mapping!$J$3:$Q$351,8,FALSE)</f>
        <v>#N/A</v>
      </c>
      <c r="M3211" t="s">
        <v>83</v>
      </c>
    </row>
    <row r="3212" spans="5:13" hidden="1" x14ac:dyDescent="0.35">
      <c r="E3212" s="81"/>
      <c r="I3212" s="83" t="e">
        <f>VLOOKUP(E3212,[1]Mapping!$A$3:$B$14,2,FALSE)</f>
        <v>#N/A</v>
      </c>
      <c r="J3212" s="84">
        <f t="shared" si="102"/>
        <v>0</v>
      </c>
      <c r="K3212" s="84">
        <f t="shared" si="103"/>
        <v>0</v>
      </c>
      <c r="L3212" s="61" t="e">
        <f>VLOOKUP(K3212,[1]Mapping!$J$3:$Q$351,8,FALSE)</f>
        <v>#N/A</v>
      </c>
      <c r="M3212" t="s">
        <v>83</v>
      </c>
    </row>
    <row r="3213" spans="5:13" hidden="1" x14ac:dyDescent="0.35">
      <c r="E3213" s="81"/>
      <c r="I3213" s="83" t="e">
        <f>VLOOKUP(E3213,[1]Mapping!$A$3:$B$14,2,FALSE)</f>
        <v>#N/A</v>
      </c>
      <c r="J3213" s="84">
        <f t="shared" si="102"/>
        <v>0</v>
      </c>
      <c r="K3213" s="84">
        <f t="shared" si="103"/>
        <v>0</v>
      </c>
      <c r="L3213" s="61" t="e">
        <f>VLOOKUP(K3213,[1]Mapping!$J$3:$Q$351,8,FALSE)</f>
        <v>#N/A</v>
      </c>
      <c r="M3213" t="s">
        <v>83</v>
      </c>
    </row>
    <row r="3214" spans="5:13" hidden="1" x14ac:dyDescent="0.35">
      <c r="E3214" s="81"/>
      <c r="I3214" s="83" t="e">
        <f>VLOOKUP(E3214,[1]Mapping!$A$3:$B$14,2,FALSE)</f>
        <v>#N/A</v>
      </c>
      <c r="J3214" s="84">
        <f t="shared" si="102"/>
        <v>0</v>
      </c>
      <c r="K3214" s="84">
        <f t="shared" si="103"/>
        <v>0</v>
      </c>
      <c r="L3214" s="61" t="e">
        <f>VLOOKUP(K3214,[1]Mapping!$J$3:$Q$351,8,FALSE)</f>
        <v>#N/A</v>
      </c>
      <c r="M3214" t="s">
        <v>83</v>
      </c>
    </row>
    <row r="3215" spans="5:13" hidden="1" x14ac:dyDescent="0.35">
      <c r="E3215" s="81"/>
      <c r="I3215" s="83" t="e">
        <f>VLOOKUP(E3215,[1]Mapping!$A$3:$B$14,2,FALSE)</f>
        <v>#N/A</v>
      </c>
      <c r="J3215" s="84">
        <f t="shared" si="102"/>
        <v>0</v>
      </c>
      <c r="K3215" s="84">
        <f t="shared" si="103"/>
        <v>0</v>
      </c>
      <c r="L3215" s="61" t="e">
        <f>VLOOKUP(K3215,[1]Mapping!$J$3:$Q$351,8,FALSE)</f>
        <v>#N/A</v>
      </c>
      <c r="M3215" t="s">
        <v>83</v>
      </c>
    </row>
    <row r="3216" spans="5:13" hidden="1" x14ac:dyDescent="0.35">
      <c r="E3216" s="81"/>
      <c r="I3216" s="83" t="e">
        <f>VLOOKUP(E3216,[1]Mapping!$A$3:$B$14,2,FALSE)</f>
        <v>#N/A</v>
      </c>
      <c r="J3216" s="84">
        <f t="shared" si="102"/>
        <v>0</v>
      </c>
      <c r="K3216" s="84">
        <f t="shared" si="103"/>
        <v>0</v>
      </c>
      <c r="L3216" s="61" t="e">
        <f>VLOOKUP(K3216,[1]Mapping!$J$3:$Q$351,8,FALSE)</f>
        <v>#N/A</v>
      </c>
      <c r="M3216" t="s">
        <v>83</v>
      </c>
    </row>
    <row r="3217" spans="5:13" hidden="1" x14ac:dyDescent="0.35">
      <c r="E3217" s="81"/>
      <c r="I3217" s="83" t="e">
        <f>VLOOKUP(E3217,[1]Mapping!$A$3:$B$14,2,FALSE)</f>
        <v>#N/A</v>
      </c>
      <c r="J3217" s="84">
        <f t="shared" si="102"/>
        <v>0</v>
      </c>
      <c r="K3217" s="84">
        <f t="shared" si="103"/>
        <v>0</v>
      </c>
      <c r="L3217" s="61" t="e">
        <f>VLOOKUP(K3217,[1]Mapping!$J$3:$Q$351,8,FALSE)</f>
        <v>#N/A</v>
      </c>
      <c r="M3217" t="s">
        <v>83</v>
      </c>
    </row>
    <row r="3218" spans="5:13" hidden="1" x14ac:dyDescent="0.35">
      <c r="E3218" s="81"/>
      <c r="I3218" s="83" t="e">
        <f>VLOOKUP(E3218,[1]Mapping!$A$3:$B$14,2,FALSE)</f>
        <v>#N/A</v>
      </c>
      <c r="J3218" s="84">
        <f t="shared" si="102"/>
        <v>0</v>
      </c>
      <c r="K3218" s="84">
        <f t="shared" si="103"/>
        <v>0</v>
      </c>
      <c r="L3218" s="61" t="e">
        <f>VLOOKUP(K3218,[1]Mapping!$J$3:$Q$351,8,FALSE)</f>
        <v>#N/A</v>
      </c>
      <c r="M3218" t="s">
        <v>83</v>
      </c>
    </row>
    <row r="3219" spans="5:13" hidden="1" x14ac:dyDescent="0.35">
      <c r="E3219" s="81"/>
      <c r="I3219" s="83" t="e">
        <f>VLOOKUP(E3219,[1]Mapping!$A$3:$B$14,2,FALSE)</f>
        <v>#N/A</v>
      </c>
      <c r="J3219" s="84">
        <f t="shared" si="102"/>
        <v>0</v>
      </c>
      <c r="K3219" s="84">
        <f t="shared" si="103"/>
        <v>0</v>
      </c>
      <c r="L3219" s="61" t="e">
        <f>VLOOKUP(K3219,[1]Mapping!$J$3:$Q$351,8,FALSE)</f>
        <v>#N/A</v>
      </c>
      <c r="M3219" t="s">
        <v>83</v>
      </c>
    </row>
    <row r="3220" spans="5:13" hidden="1" x14ac:dyDescent="0.35">
      <c r="E3220" s="81"/>
      <c r="I3220" s="83" t="e">
        <f>VLOOKUP(E3220,[1]Mapping!$A$3:$B$14,2,FALSE)</f>
        <v>#N/A</v>
      </c>
      <c r="J3220" s="84">
        <f t="shared" si="102"/>
        <v>0</v>
      </c>
      <c r="K3220" s="84">
        <f t="shared" si="103"/>
        <v>0</v>
      </c>
      <c r="L3220" s="61" t="e">
        <f>VLOOKUP(K3220,[1]Mapping!$J$3:$Q$351,8,FALSE)</f>
        <v>#N/A</v>
      </c>
      <c r="M3220" t="s">
        <v>83</v>
      </c>
    </row>
    <row r="3221" spans="5:13" hidden="1" x14ac:dyDescent="0.35">
      <c r="E3221" s="81"/>
      <c r="I3221" s="83" t="e">
        <f>VLOOKUP(E3221,[1]Mapping!$A$3:$B$14,2,FALSE)</f>
        <v>#N/A</v>
      </c>
      <c r="J3221" s="84">
        <f t="shared" si="102"/>
        <v>0</v>
      </c>
      <c r="K3221" s="84">
        <f t="shared" si="103"/>
        <v>0</v>
      </c>
      <c r="L3221" s="61" t="e">
        <f>VLOOKUP(K3221,[1]Mapping!$J$3:$Q$351,8,FALSE)</f>
        <v>#N/A</v>
      </c>
      <c r="M3221" t="s">
        <v>83</v>
      </c>
    </row>
    <row r="3222" spans="5:13" hidden="1" x14ac:dyDescent="0.35">
      <c r="E3222" s="81"/>
      <c r="I3222" s="83" t="e">
        <f>VLOOKUP(E3222,[1]Mapping!$A$3:$B$14,2,FALSE)</f>
        <v>#N/A</v>
      </c>
      <c r="J3222" s="84">
        <f t="shared" si="102"/>
        <v>0</v>
      </c>
      <c r="K3222" s="84">
        <f t="shared" si="103"/>
        <v>0</v>
      </c>
      <c r="L3222" s="61" t="e">
        <f>VLOOKUP(K3222,[1]Mapping!$J$3:$Q$351,8,FALSE)</f>
        <v>#N/A</v>
      </c>
      <c r="M3222" t="s">
        <v>83</v>
      </c>
    </row>
    <row r="3223" spans="5:13" hidden="1" x14ac:dyDescent="0.35">
      <c r="E3223" s="81"/>
      <c r="I3223" s="83" t="e">
        <f>VLOOKUP(E3223,[1]Mapping!$A$3:$B$14,2,FALSE)</f>
        <v>#N/A</v>
      </c>
      <c r="J3223" s="84">
        <f t="shared" si="102"/>
        <v>0</v>
      </c>
      <c r="K3223" s="84">
        <f t="shared" si="103"/>
        <v>0</v>
      </c>
      <c r="L3223" s="61" t="e">
        <f>VLOOKUP(K3223,[1]Mapping!$J$3:$Q$351,8,FALSE)</f>
        <v>#N/A</v>
      </c>
      <c r="M3223" t="s">
        <v>83</v>
      </c>
    </row>
    <row r="3224" spans="5:13" hidden="1" x14ac:dyDescent="0.35">
      <c r="E3224" s="81"/>
      <c r="I3224" s="83" t="e">
        <f>VLOOKUP(E3224,[1]Mapping!$A$3:$B$14,2,FALSE)</f>
        <v>#N/A</v>
      </c>
      <c r="J3224" s="84">
        <f t="shared" si="102"/>
        <v>0</v>
      </c>
      <c r="K3224" s="84">
        <f t="shared" si="103"/>
        <v>0</v>
      </c>
      <c r="L3224" s="61" t="e">
        <f>VLOOKUP(K3224,[1]Mapping!$J$3:$Q$351,8,FALSE)</f>
        <v>#N/A</v>
      </c>
      <c r="M3224" t="s">
        <v>83</v>
      </c>
    </row>
    <row r="3225" spans="5:13" hidden="1" x14ac:dyDescent="0.35">
      <c r="E3225" s="81"/>
      <c r="I3225" s="83" t="e">
        <f>VLOOKUP(E3225,[1]Mapping!$A$3:$B$14,2,FALSE)</f>
        <v>#N/A</v>
      </c>
      <c r="J3225" s="84">
        <f t="shared" si="102"/>
        <v>0</v>
      </c>
      <c r="K3225" s="84">
        <f t="shared" si="103"/>
        <v>0</v>
      </c>
      <c r="L3225" s="61" t="e">
        <f>VLOOKUP(K3225,[1]Mapping!$J$3:$Q$351,8,FALSE)</f>
        <v>#N/A</v>
      </c>
      <c r="M3225" t="s">
        <v>83</v>
      </c>
    </row>
    <row r="3226" spans="5:13" hidden="1" x14ac:dyDescent="0.35">
      <c r="E3226" s="81"/>
      <c r="I3226" s="83" t="e">
        <f>VLOOKUP(E3226,[1]Mapping!$A$3:$B$14,2,FALSE)</f>
        <v>#N/A</v>
      </c>
      <c r="J3226" s="84">
        <f t="shared" si="102"/>
        <v>0</v>
      </c>
      <c r="K3226" s="84">
        <f t="shared" si="103"/>
        <v>0</v>
      </c>
      <c r="L3226" s="61" t="e">
        <f>VLOOKUP(K3226,[1]Mapping!$J$3:$Q$351,8,FALSE)</f>
        <v>#N/A</v>
      </c>
      <c r="M3226" t="s">
        <v>83</v>
      </c>
    </row>
    <row r="3227" spans="5:13" hidden="1" x14ac:dyDescent="0.35">
      <c r="E3227" s="81"/>
      <c r="I3227" s="83" t="e">
        <f>VLOOKUP(E3227,[1]Mapping!$A$3:$B$14,2,FALSE)</f>
        <v>#N/A</v>
      </c>
      <c r="J3227" s="84">
        <f t="shared" si="102"/>
        <v>0</v>
      </c>
      <c r="K3227" s="84">
        <f t="shared" si="103"/>
        <v>0</v>
      </c>
      <c r="L3227" s="61" t="e">
        <f>VLOOKUP(K3227,[1]Mapping!$J$3:$Q$351,8,FALSE)</f>
        <v>#N/A</v>
      </c>
      <c r="M3227" t="s">
        <v>83</v>
      </c>
    </row>
    <row r="3228" spans="5:13" hidden="1" x14ac:dyDescent="0.35">
      <c r="E3228" s="81"/>
      <c r="I3228" s="83" t="e">
        <f>VLOOKUP(E3228,[1]Mapping!$A$3:$B$14,2,FALSE)</f>
        <v>#N/A</v>
      </c>
      <c r="J3228" s="84">
        <f t="shared" si="102"/>
        <v>0</v>
      </c>
      <c r="K3228" s="84">
        <f t="shared" si="103"/>
        <v>0</v>
      </c>
      <c r="L3228" s="61" t="e">
        <f>VLOOKUP(K3228,[1]Mapping!$J$3:$Q$351,8,FALSE)</f>
        <v>#N/A</v>
      </c>
      <c r="M3228" t="s">
        <v>83</v>
      </c>
    </row>
    <row r="3229" spans="5:13" hidden="1" x14ac:dyDescent="0.35">
      <c r="E3229" s="81"/>
      <c r="I3229" s="83" t="e">
        <f>VLOOKUP(E3229,[1]Mapping!$A$3:$B$14,2,FALSE)</f>
        <v>#N/A</v>
      </c>
      <c r="J3229" s="84">
        <f t="shared" si="102"/>
        <v>0</v>
      </c>
      <c r="K3229" s="84">
        <f t="shared" si="103"/>
        <v>0</v>
      </c>
      <c r="L3229" s="61" t="e">
        <f>VLOOKUP(K3229,[1]Mapping!$J$3:$Q$351,8,FALSE)</f>
        <v>#N/A</v>
      </c>
      <c r="M3229" t="s">
        <v>83</v>
      </c>
    </row>
    <row r="3230" spans="5:13" hidden="1" x14ac:dyDescent="0.35">
      <c r="E3230" s="81"/>
      <c r="I3230" s="83" t="e">
        <f>VLOOKUP(E3230,[1]Mapping!$A$3:$B$14,2,FALSE)</f>
        <v>#N/A</v>
      </c>
      <c r="J3230" s="84">
        <f t="shared" si="102"/>
        <v>0</v>
      </c>
      <c r="K3230" s="84">
        <f t="shared" si="103"/>
        <v>0</v>
      </c>
      <c r="L3230" s="61" t="e">
        <f>VLOOKUP(K3230,[1]Mapping!$J$3:$Q$351,8,FALSE)</f>
        <v>#N/A</v>
      </c>
      <c r="M3230" t="s">
        <v>83</v>
      </c>
    </row>
    <row r="3231" spans="5:13" hidden="1" x14ac:dyDescent="0.35">
      <c r="E3231" s="81"/>
      <c r="I3231" s="83" t="e">
        <f>VLOOKUP(E3231,[1]Mapping!$A$3:$B$14,2,FALSE)</f>
        <v>#N/A</v>
      </c>
      <c r="J3231" s="84">
        <f t="shared" si="102"/>
        <v>0</v>
      </c>
      <c r="K3231" s="84">
        <f t="shared" si="103"/>
        <v>0</v>
      </c>
      <c r="L3231" s="61" t="e">
        <f>VLOOKUP(K3231,[1]Mapping!$J$3:$Q$351,8,FALSE)</f>
        <v>#N/A</v>
      </c>
      <c r="M3231" t="s">
        <v>83</v>
      </c>
    </row>
    <row r="3232" spans="5:13" hidden="1" x14ac:dyDescent="0.35">
      <c r="E3232" s="81"/>
      <c r="I3232" s="83" t="e">
        <f>VLOOKUP(E3232,[1]Mapping!$A$3:$B$14,2,FALSE)</f>
        <v>#N/A</v>
      </c>
      <c r="J3232" s="84">
        <f t="shared" si="102"/>
        <v>0</v>
      </c>
      <c r="K3232" s="84">
        <f t="shared" si="103"/>
        <v>0</v>
      </c>
      <c r="L3232" s="61" t="e">
        <f>VLOOKUP(K3232,[1]Mapping!$J$3:$Q$351,8,FALSE)</f>
        <v>#N/A</v>
      </c>
      <c r="M3232" t="s">
        <v>83</v>
      </c>
    </row>
    <row r="3233" spans="5:13" hidden="1" x14ac:dyDescent="0.35">
      <c r="E3233" s="81"/>
      <c r="I3233" s="83" t="e">
        <f>VLOOKUP(E3233,[1]Mapping!$A$3:$B$14,2,FALSE)</f>
        <v>#N/A</v>
      </c>
      <c r="J3233" s="84">
        <f t="shared" si="102"/>
        <v>0</v>
      </c>
      <c r="K3233" s="84">
        <f t="shared" si="103"/>
        <v>0</v>
      </c>
      <c r="L3233" s="61" t="e">
        <f>VLOOKUP(K3233,[1]Mapping!$J$3:$Q$351,8,FALSE)</f>
        <v>#N/A</v>
      </c>
      <c r="M3233" t="s">
        <v>83</v>
      </c>
    </row>
    <row r="3234" spans="5:13" hidden="1" x14ac:dyDescent="0.35">
      <c r="E3234" s="81"/>
      <c r="I3234" s="83" t="e">
        <f>VLOOKUP(E3234,[1]Mapping!$A$3:$B$14,2,FALSE)</f>
        <v>#N/A</v>
      </c>
      <c r="J3234" s="84">
        <f t="shared" si="102"/>
        <v>0</v>
      </c>
      <c r="K3234" s="84">
        <f t="shared" si="103"/>
        <v>0</v>
      </c>
      <c r="L3234" s="61" t="e">
        <f>VLOOKUP(K3234,[1]Mapping!$J$3:$Q$351,8,FALSE)</f>
        <v>#N/A</v>
      </c>
      <c r="M3234" t="s">
        <v>83</v>
      </c>
    </row>
    <row r="3235" spans="5:13" hidden="1" x14ac:dyDescent="0.35">
      <c r="E3235" s="81"/>
      <c r="I3235" s="83" t="e">
        <f>VLOOKUP(E3235,[1]Mapping!$A$3:$B$14,2,FALSE)</f>
        <v>#N/A</v>
      </c>
      <c r="J3235" s="84">
        <f t="shared" si="102"/>
        <v>0</v>
      </c>
      <c r="K3235" s="84">
        <f t="shared" si="103"/>
        <v>0</v>
      </c>
      <c r="L3235" s="61" t="e">
        <f>VLOOKUP(K3235,[1]Mapping!$J$3:$Q$351,8,FALSE)</f>
        <v>#N/A</v>
      </c>
      <c r="M3235" t="s">
        <v>83</v>
      </c>
    </row>
    <row r="3236" spans="5:13" hidden="1" x14ac:dyDescent="0.35">
      <c r="E3236" s="81"/>
      <c r="I3236" s="83" t="e">
        <f>VLOOKUP(E3236,[1]Mapping!$A$3:$B$14,2,FALSE)</f>
        <v>#N/A</v>
      </c>
      <c r="J3236" s="84">
        <f t="shared" si="102"/>
        <v>0</v>
      </c>
      <c r="K3236" s="84">
        <f t="shared" si="103"/>
        <v>0</v>
      </c>
      <c r="L3236" s="61" t="e">
        <f>VLOOKUP(K3236,[1]Mapping!$J$3:$Q$351,8,FALSE)</f>
        <v>#N/A</v>
      </c>
      <c r="M3236" t="s">
        <v>83</v>
      </c>
    </row>
    <row r="3237" spans="5:13" hidden="1" x14ac:dyDescent="0.35">
      <c r="E3237" s="81"/>
      <c r="I3237" s="83" t="e">
        <f>VLOOKUP(E3237,[1]Mapping!$A$3:$B$14,2,FALSE)</f>
        <v>#N/A</v>
      </c>
      <c r="J3237" s="84">
        <f t="shared" si="102"/>
        <v>0</v>
      </c>
      <c r="K3237" s="84">
        <f t="shared" si="103"/>
        <v>0</v>
      </c>
      <c r="L3237" s="61" t="e">
        <f>VLOOKUP(K3237,[1]Mapping!$J$3:$Q$351,8,FALSE)</f>
        <v>#N/A</v>
      </c>
      <c r="M3237" t="s">
        <v>83</v>
      </c>
    </row>
    <row r="3238" spans="5:13" hidden="1" x14ac:dyDescent="0.35">
      <c r="E3238" s="81"/>
      <c r="I3238" s="83" t="e">
        <f>VLOOKUP(E3238,[1]Mapping!$A$3:$B$14,2,FALSE)</f>
        <v>#N/A</v>
      </c>
      <c r="J3238" s="84">
        <f t="shared" si="102"/>
        <v>0</v>
      </c>
      <c r="K3238" s="84">
        <f t="shared" si="103"/>
        <v>0</v>
      </c>
      <c r="L3238" s="61" t="e">
        <f>VLOOKUP(K3238,[1]Mapping!$J$3:$Q$351,8,FALSE)</f>
        <v>#N/A</v>
      </c>
      <c r="M3238" t="s">
        <v>83</v>
      </c>
    </row>
    <row r="3239" spans="5:13" hidden="1" x14ac:dyDescent="0.35">
      <c r="E3239" s="81"/>
      <c r="I3239" s="83" t="e">
        <f>VLOOKUP(E3239,[1]Mapping!$A$3:$B$14,2,FALSE)</f>
        <v>#N/A</v>
      </c>
      <c r="J3239" s="84">
        <f t="shared" si="102"/>
        <v>0</v>
      </c>
      <c r="K3239" s="84">
        <f t="shared" si="103"/>
        <v>0</v>
      </c>
      <c r="L3239" s="61" t="e">
        <f>VLOOKUP(K3239,[1]Mapping!$J$3:$Q$351,8,FALSE)</f>
        <v>#N/A</v>
      </c>
      <c r="M3239" t="s">
        <v>83</v>
      </c>
    </row>
    <row r="3240" spans="5:13" hidden="1" x14ac:dyDescent="0.35">
      <c r="E3240" s="81"/>
      <c r="I3240" s="83" t="e">
        <f>VLOOKUP(E3240,[1]Mapping!$A$3:$B$14,2,FALSE)</f>
        <v>#N/A</v>
      </c>
      <c r="J3240" s="84">
        <f t="shared" si="102"/>
        <v>0</v>
      </c>
      <c r="K3240" s="84">
        <f t="shared" si="103"/>
        <v>0</v>
      </c>
      <c r="L3240" s="61" t="e">
        <f>VLOOKUP(K3240,[1]Mapping!$J$3:$Q$351,8,FALSE)</f>
        <v>#N/A</v>
      </c>
      <c r="M3240" t="s">
        <v>83</v>
      </c>
    </row>
    <row r="3241" spans="5:13" hidden="1" x14ac:dyDescent="0.35">
      <c r="E3241" s="81"/>
      <c r="I3241" s="83" t="e">
        <f>VLOOKUP(E3241,[1]Mapping!$A$3:$B$14,2,FALSE)</f>
        <v>#N/A</v>
      </c>
      <c r="J3241" s="84">
        <f t="shared" si="102"/>
        <v>0</v>
      </c>
      <c r="K3241" s="84">
        <f t="shared" si="103"/>
        <v>0</v>
      </c>
      <c r="L3241" s="61" t="e">
        <f>VLOOKUP(K3241,[1]Mapping!$J$3:$Q$351,8,FALSE)</f>
        <v>#N/A</v>
      </c>
      <c r="M3241" t="s">
        <v>83</v>
      </c>
    </row>
    <row r="3242" spans="5:13" hidden="1" x14ac:dyDescent="0.35">
      <c r="E3242" s="81"/>
      <c r="I3242" s="83" t="e">
        <f>VLOOKUP(E3242,[1]Mapping!$A$3:$B$14,2,FALSE)</f>
        <v>#N/A</v>
      </c>
      <c r="J3242" s="84">
        <f t="shared" si="102"/>
        <v>0</v>
      </c>
      <c r="K3242" s="84">
        <f t="shared" si="103"/>
        <v>0</v>
      </c>
      <c r="L3242" s="61" t="e">
        <f>VLOOKUP(K3242,[1]Mapping!$J$3:$Q$351,8,FALSE)</f>
        <v>#N/A</v>
      </c>
      <c r="M3242" t="s">
        <v>83</v>
      </c>
    </row>
    <row r="3243" spans="5:13" hidden="1" x14ac:dyDescent="0.35">
      <c r="E3243" s="81"/>
      <c r="I3243" s="83" t="e">
        <f>VLOOKUP(E3243,[1]Mapping!$A$3:$B$14,2,FALSE)</f>
        <v>#N/A</v>
      </c>
      <c r="J3243" s="84">
        <f t="shared" si="102"/>
        <v>0</v>
      </c>
      <c r="K3243" s="84">
        <f t="shared" si="103"/>
        <v>0</v>
      </c>
      <c r="L3243" s="61" t="e">
        <f>VLOOKUP(K3243,[1]Mapping!$J$3:$Q$351,8,FALSE)</f>
        <v>#N/A</v>
      </c>
      <c r="M3243" t="s">
        <v>83</v>
      </c>
    </row>
    <row r="3244" spans="5:13" hidden="1" x14ac:dyDescent="0.35">
      <c r="E3244" s="81"/>
      <c r="I3244" s="83" t="e">
        <f>VLOOKUP(E3244,[1]Mapping!$A$3:$B$14,2,FALSE)</f>
        <v>#N/A</v>
      </c>
      <c r="J3244" s="84">
        <f t="shared" si="102"/>
        <v>0</v>
      </c>
      <c r="K3244" s="84">
        <f t="shared" si="103"/>
        <v>0</v>
      </c>
      <c r="L3244" s="61" t="e">
        <f>VLOOKUP(K3244,[1]Mapping!$J$3:$Q$351,8,FALSE)</f>
        <v>#N/A</v>
      </c>
      <c r="M3244" t="s">
        <v>83</v>
      </c>
    </row>
    <row r="3245" spans="5:13" hidden="1" x14ac:dyDescent="0.35">
      <c r="E3245" s="81"/>
      <c r="I3245" s="83" t="e">
        <f>VLOOKUP(E3245,[1]Mapping!$A$3:$B$14,2,FALSE)</f>
        <v>#N/A</v>
      </c>
      <c r="J3245" s="84">
        <f t="shared" si="102"/>
        <v>0</v>
      </c>
      <c r="K3245" s="84">
        <f t="shared" si="103"/>
        <v>0</v>
      </c>
      <c r="L3245" s="61" t="e">
        <f>VLOOKUP(K3245,[1]Mapping!$J$3:$Q$351,8,FALSE)</f>
        <v>#N/A</v>
      </c>
      <c r="M3245" t="s">
        <v>83</v>
      </c>
    </row>
    <row r="3246" spans="5:13" hidden="1" x14ac:dyDescent="0.35">
      <c r="E3246" s="81"/>
      <c r="I3246" s="83" t="e">
        <f>VLOOKUP(E3246,[1]Mapping!$A$3:$B$14,2,FALSE)</f>
        <v>#N/A</v>
      </c>
      <c r="J3246" s="84">
        <f t="shared" si="102"/>
        <v>0</v>
      </c>
      <c r="K3246" s="84">
        <f t="shared" si="103"/>
        <v>0</v>
      </c>
      <c r="L3246" s="61" t="e">
        <f>VLOOKUP(K3246,[1]Mapping!$J$3:$Q$351,8,FALSE)</f>
        <v>#N/A</v>
      </c>
      <c r="M3246" t="s">
        <v>83</v>
      </c>
    </row>
    <row r="3247" spans="5:13" hidden="1" x14ac:dyDescent="0.35">
      <c r="E3247" s="81"/>
      <c r="I3247" s="83" t="e">
        <f>VLOOKUP(E3247,[1]Mapping!$A$3:$B$14,2,FALSE)</f>
        <v>#N/A</v>
      </c>
      <c r="J3247" s="84">
        <f t="shared" si="102"/>
        <v>0</v>
      </c>
      <c r="K3247" s="84">
        <f t="shared" si="103"/>
        <v>0</v>
      </c>
      <c r="L3247" s="61" t="e">
        <f>VLOOKUP(K3247,[1]Mapping!$J$3:$Q$351,8,FALSE)</f>
        <v>#N/A</v>
      </c>
      <c r="M3247" t="s">
        <v>83</v>
      </c>
    </row>
    <row r="3248" spans="5:13" hidden="1" x14ac:dyDescent="0.35">
      <c r="E3248" s="81"/>
      <c r="I3248" s="83" t="e">
        <f>VLOOKUP(E3248,[1]Mapping!$A$3:$B$14,2,FALSE)</f>
        <v>#N/A</v>
      </c>
      <c r="J3248" s="84">
        <f t="shared" si="102"/>
        <v>0</v>
      </c>
      <c r="K3248" s="84">
        <f t="shared" si="103"/>
        <v>0</v>
      </c>
      <c r="L3248" s="61" t="e">
        <f>VLOOKUP(K3248,[1]Mapping!$J$3:$Q$351,8,FALSE)</f>
        <v>#N/A</v>
      </c>
      <c r="M3248" t="s">
        <v>83</v>
      </c>
    </row>
    <row r="3249" spans="5:13" hidden="1" x14ac:dyDescent="0.35">
      <c r="E3249" s="81"/>
      <c r="I3249" s="83" t="e">
        <f>VLOOKUP(E3249,[1]Mapping!$A$3:$B$14,2,FALSE)</f>
        <v>#N/A</v>
      </c>
      <c r="J3249" s="84">
        <f t="shared" si="102"/>
        <v>0</v>
      </c>
      <c r="K3249" s="84">
        <f t="shared" si="103"/>
        <v>0</v>
      </c>
      <c r="L3249" s="61" t="e">
        <f>VLOOKUP(K3249,[1]Mapping!$J$3:$Q$351,8,FALSE)</f>
        <v>#N/A</v>
      </c>
      <c r="M3249" t="s">
        <v>83</v>
      </c>
    </row>
    <row r="3250" spans="5:13" hidden="1" x14ac:dyDescent="0.35">
      <c r="E3250" s="81"/>
      <c r="I3250" s="83" t="e">
        <f>VLOOKUP(E3250,[1]Mapping!$A$3:$B$14,2,FALSE)</f>
        <v>#N/A</v>
      </c>
      <c r="J3250" s="84">
        <f t="shared" si="102"/>
        <v>0</v>
      </c>
      <c r="K3250" s="84">
        <f t="shared" si="103"/>
        <v>0</v>
      </c>
      <c r="L3250" s="61" t="e">
        <f>VLOOKUP(K3250,[1]Mapping!$J$3:$Q$351,8,FALSE)</f>
        <v>#N/A</v>
      </c>
      <c r="M3250" t="s">
        <v>83</v>
      </c>
    </row>
    <row r="3251" spans="5:13" hidden="1" x14ac:dyDescent="0.35">
      <c r="E3251" s="81"/>
      <c r="I3251" s="83" t="e">
        <f>VLOOKUP(E3251,[1]Mapping!$A$3:$B$14,2,FALSE)</f>
        <v>#N/A</v>
      </c>
      <c r="J3251" s="84">
        <f t="shared" si="102"/>
        <v>0</v>
      </c>
      <c r="K3251" s="84">
        <f t="shared" si="103"/>
        <v>0</v>
      </c>
      <c r="L3251" s="61" t="e">
        <f>VLOOKUP(K3251,[1]Mapping!$J$3:$Q$351,8,FALSE)</f>
        <v>#N/A</v>
      </c>
      <c r="M3251" t="s">
        <v>83</v>
      </c>
    </row>
    <row r="3252" spans="5:13" hidden="1" x14ac:dyDescent="0.35">
      <c r="E3252" s="81"/>
      <c r="I3252" s="83" t="e">
        <f>VLOOKUP(E3252,[1]Mapping!$A$3:$B$14,2,FALSE)</f>
        <v>#N/A</v>
      </c>
      <c r="J3252" s="84">
        <f t="shared" si="102"/>
        <v>0</v>
      </c>
      <c r="K3252" s="84">
        <f t="shared" si="103"/>
        <v>0</v>
      </c>
      <c r="L3252" s="61" t="e">
        <f>VLOOKUP(K3252,[1]Mapping!$J$3:$Q$351,8,FALSE)</f>
        <v>#N/A</v>
      </c>
      <c r="M3252" t="s">
        <v>83</v>
      </c>
    </row>
    <row r="3253" spans="5:13" hidden="1" x14ac:dyDescent="0.35">
      <c r="E3253" s="81"/>
      <c r="I3253" s="83" t="e">
        <f>VLOOKUP(E3253,[1]Mapping!$A$3:$B$14,2,FALSE)</f>
        <v>#N/A</v>
      </c>
      <c r="J3253" s="84">
        <f t="shared" si="102"/>
        <v>0</v>
      </c>
      <c r="K3253" s="84">
        <f t="shared" si="103"/>
        <v>0</v>
      </c>
      <c r="L3253" s="61" t="e">
        <f>VLOOKUP(K3253,[1]Mapping!$J$3:$Q$351,8,FALSE)</f>
        <v>#N/A</v>
      </c>
      <c r="M3253" t="s">
        <v>83</v>
      </c>
    </row>
    <row r="3254" spans="5:13" hidden="1" x14ac:dyDescent="0.35">
      <c r="E3254" s="81"/>
      <c r="I3254" s="83" t="e">
        <f>VLOOKUP(E3254,[1]Mapping!$A$3:$B$14,2,FALSE)</f>
        <v>#N/A</v>
      </c>
      <c r="J3254" s="84">
        <f t="shared" si="102"/>
        <v>0</v>
      </c>
      <c r="K3254" s="84">
        <f t="shared" si="103"/>
        <v>0</v>
      </c>
      <c r="L3254" s="61" t="e">
        <f>VLOOKUP(K3254,[1]Mapping!$J$3:$Q$351,8,FALSE)</f>
        <v>#N/A</v>
      </c>
      <c r="M3254" t="s">
        <v>83</v>
      </c>
    </row>
    <row r="3255" spans="5:13" hidden="1" x14ac:dyDescent="0.35">
      <c r="E3255" s="81"/>
      <c r="I3255" s="83" t="e">
        <f>VLOOKUP(E3255,[1]Mapping!$A$3:$B$14,2,FALSE)</f>
        <v>#N/A</v>
      </c>
      <c r="J3255" s="84">
        <f t="shared" si="102"/>
        <v>0</v>
      </c>
      <c r="K3255" s="84">
        <f t="shared" si="103"/>
        <v>0</v>
      </c>
      <c r="L3255" s="61" t="e">
        <f>VLOOKUP(K3255,[1]Mapping!$J$3:$Q$351,8,FALSE)</f>
        <v>#N/A</v>
      </c>
      <c r="M3255" t="s">
        <v>83</v>
      </c>
    </row>
    <row r="3256" spans="5:13" hidden="1" x14ac:dyDescent="0.35">
      <c r="E3256" s="81"/>
      <c r="I3256" s="83" t="e">
        <f>VLOOKUP(E3256,[1]Mapping!$A$3:$B$14,2,FALSE)</f>
        <v>#N/A</v>
      </c>
      <c r="J3256" s="84">
        <f t="shared" si="102"/>
        <v>0</v>
      </c>
      <c r="K3256" s="84">
        <f t="shared" si="103"/>
        <v>0</v>
      </c>
      <c r="L3256" s="61" t="e">
        <f>VLOOKUP(K3256,[1]Mapping!$J$3:$Q$351,8,FALSE)</f>
        <v>#N/A</v>
      </c>
      <c r="M3256" t="s">
        <v>83</v>
      </c>
    </row>
    <row r="3257" spans="5:13" hidden="1" x14ac:dyDescent="0.35">
      <c r="E3257" s="81"/>
      <c r="I3257" s="83" t="e">
        <f>VLOOKUP(E3257,[1]Mapping!$A$3:$B$14,2,FALSE)</f>
        <v>#N/A</v>
      </c>
      <c r="J3257" s="84">
        <f t="shared" si="102"/>
        <v>0</v>
      </c>
      <c r="K3257" s="84">
        <f t="shared" si="103"/>
        <v>0</v>
      </c>
      <c r="L3257" s="61" t="e">
        <f>VLOOKUP(K3257,[1]Mapping!$J$3:$Q$351,8,FALSE)</f>
        <v>#N/A</v>
      </c>
      <c r="M3257" t="s">
        <v>83</v>
      </c>
    </row>
    <row r="3258" spans="5:13" hidden="1" x14ac:dyDescent="0.35">
      <c r="E3258" s="81"/>
      <c r="I3258" s="83" t="e">
        <f>VLOOKUP(E3258,[1]Mapping!$A$3:$B$14,2,FALSE)</f>
        <v>#N/A</v>
      </c>
      <c r="J3258" s="84">
        <f t="shared" si="102"/>
        <v>0</v>
      </c>
      <c r="K3258" s="84">
        <f t="shared" si="103"/>
        <v>0</v>
      </c>
      <c r="L3258" s="61" t="e">
        <f>VLOOKUP(K3258,[1]Mapping!$J$3:$Q$351,8,FALSE)</f>
        <v>#N/A</v>
      </c>
      <c r="M3258" t="s">
        <v>83</v>
      </c>
    </row>
    <row r="3259" spans="5:13" hidden="1" x14ac:dyDescent="0.35">
      <c r="E3259" s="81"/>
      <c r="I3259" s="83" t="e">
        <f>VLOOKUP(E3259,[1]Mapping!$A$3:$B$14,2,FALSE)</f>
        <v>#N/A</v>
      </c>
      <c r="J3259" s="84">
        <f t="shared" si="102"/>
        <v>0</v>
      </c>
      <c r="K3259" s="84">
        <f t="shared" si="103"/>
        <v>0</v>
      </c>
      <c r="L3259" s="61" t="e">
        <f>VLOOKUP(K3259,[1]Mapping!$J$3:$Q$351,8,FALSE)</f>
        <v>#N/A</v>
      </c>
      <c r="M3259" t="s">
        <v>83</v>
      </c>
    </row>
    <row r="3260" spans="5:13" hidden="1" x14ac:dyDescent="0.35">
      <c r="E3260" s="81"/>
      <c r="I3260" s="83" t="e">
        <f>VLOOKUP(E3260,[1]Mapping!$A$3:$B$14,2,FALSE)</f>
        <v>#N/A</v>
      </c>
      <c r="J3260" s="84">
        <f t="shared" si="102"/>
        <v>0</v>
      </c>
      <c r="K3260" s="84">
        <f t="shared" si="103"/>
        <v>0</v>
      </c>
      <c r="L3260" s="61" t="e">
        <f>VLOOKUP(K3260,[1]Mapping!$J$3:$Q$351,8,FALSE)</f>
        <v>#N/A</v>
      </c>
      <c r="M3260" t="s">
        <v>83</v>
      </c>
    </row>
    <row r="3261" spans="5:13" hidden="1" x14ac:dyDescent="0.35">
      <c r="E3261" s="81"/>
      <c r="I3261" s="83" t="e">
        <f>VLOOKUP(E3261,[1]Mapping!$A$3:$B$14,2,FALSE)</f>
        <v>#N/A</v>
      </c>
      <c r="J3261" s="84">
        <f t="shared" si="102"/>
        <v>0</v>
      </c>
      <c r="K3261" s="84">
        <f t="shared" si="103"/>
        <v>0</v>
      </c>
      <c r="L3261" s="61" t="e">
        <f>VLOOKUP(K3261,[1]Mapping!$J$3:$Q$351,8,FALSE)</f>
        <v>#N/A</v>
      </c>
      <c r="M3261" t="s">
        <v>83</v>
      </c>
    </row>
    <row r="3262" spans="5:13" hidden="1" x14ac:dyDescent="0.35">
      <c r="E3262" s="81"/>
      <c r="I3262" s="83" t="e">
        <f>VLOOKUP(E3262,[1]Mapping!$A$3:$B$14,2,FALSE)</f>
        <v>#N/A</v>
      </c>
      <c r="J3262" s="84">
        <f t="shared" si="102"/>
        <v>0</v>
      </c>
      <c r="K3262" s="84">
        <f t="shared" si="103"/>
        <v>0</v>
      </c>
      <c r="L3262" s="61" t="e">
        <f>VLOOKUP(K3262,[1]Mapping!$J$3:$Q$351,8,FALSE)</f>
        <v>#N/A</v>
      </c>
      <c r="M3262" t="s">
        <v>83</v>
      </c>
    </row>
    <row r="3263" spans="5:13" hidden="1" x14ac:dyDescent="0.35">
      <c r="E3263" s="81"/>
      <c r="I3263" s="83" t="e">
        <f>VLOOKUP(E3263,[1]Mapping!$A$3:$B$14,2,FALSE)</f>
        <v>#N/A</v>
      </c>
      <c r="J3263" s="84">
        <f t="shared" si="102"/>
        <v>0</v>
      </c>
      <c r="K3263" s="84">
        <f t="shared" si="103"/>
        <v>0</v>
      </c>
      <c r="L3263" s="61" t="e">
        <f>VLOOKUP(K3263,[1]Mapping!$J$3:$Q$351,8,FALSE)</f>
        <v>#N/A</v>
      </c>
      <c r="M3263" t="s">
        <v>83</v>
      </c>
    </row>
    <row r="3264" spans="5:13" hidden="1" x14ac:dyDescent="0.35">
      <c r="E3264" s="81"/>
      <c r="I3264" s="83" t="e">
        <f>VLOOKUP(E3264,[1]Mapping!$A$3:$B$14,2,FALSE)</f>
        <v>#N/A</v>
      </c>
      <c r="J3264" s="84">
        <f t="shared" si="102"/>
        <v>0</v>
      </c>
      <c r="K3264" s="84">
        <f t="shared" si="103"/>
        <v>0</v>
      </c>
      <c r="L3264" s="61" t="e">
        <f>VLOOKUP(K3264,[1]Mapping!$J$3:$Q$351,8,FALSE)</f>
        <v>#N/A</v>
      </c>
      <c r="M3264" t="s">
        <v>83</v>
      </c>
    </row>
    <row r="3265" spans="5:13" hidden="1" x14ac:dyDescent="0.35">
      <c r="E3265" s="81"/>
      <c r="I3265" s="83" t="e">
        <f>VLOOKUP(E3265,[1]Mapping!$A$3:$B$14,2,FALSE)</f>
        <v>#N/A</v>
      </c>
      <c r="J3265" s="84">
        <f t="shared" si="102"/>
        <v>0</v>
      </c>
      <c r="K3265" s="84">
        <f t="shared" si="103"/>
        <v>0</v>
      </c>
      <c r="L3265" s="61" t="e">
        <f>VLOOKUP(K3265,[1]Mapping!$J$3:$Q$351,8,FALSE)</f>
        <v>#N/A</v>
      </c>
      <c r="M3265" t="s">
        <v>83</v>
      </c>
    </row>
    <row r="3266" spans="5:13" hidden="1" x14ac:dyDescent="0.35">
      <c r="E3266" s="81"/>
      <c r="I3266" s="83" t="e">
        <f>VLOOKUP(E3266,[1]Mapping!$A$3:$B$14,2,FALSE)</f>
        <v>#N/A</v>
      </c>
      <c r="J3266" s="84">
        <f t="shared" si="102"/>
        <v>0</v>
      </c>
      <c r="K3266" s="84">
        <f t="shared" si="103"/>
        <v>0</v>
      </c>
      <c r="L3266" s="61" t="e">
        <f>VLOOKUP(K3266,[1]Mapping!$J$3:$Q$351,8,FALSE)</f>
        <v>#N/A</v>
      </c>
      <c r="M3266" t="s">
        <v>83</v>
      </c>
    </row>
    <row r="3267" spans="5:13" hidden="1" x14ac:dyDescent="0.35">
      <c r="E3267" s="81"/>
      <c r="I3267" s="83" t="e">
        <f>VLOOKUP(E3267,[1]Mapping!$A$3:$B$14,2,FALSE)</f>
        <v>#N/A</v>
      </c>
      <c r="J3267" s="84">
        <f t="shared" si="102"/>
        <v>0</v>
      </c>
      <c r="K3267" s="84">
        <f t="shared" si="103"/>
        <v>0</v>
      </c>
      <c r="L3267" s="61" t="e">
        <f>VLOOKUP(K3267,[1]Mapping!$J$3:$Q$351,8,FALSE)</f>
        <v>#N/A</v>
      </c>
      <c r="M3267" t="s">
        <v>83</v>
      </c>
    </row>
    <row r="3268" spans="5:13" hidden="1" x14ac:dyDescent="0.35">
      <c r="E3268" s="81"/>
      <c r="I3268" s="83" t="e">
        <f>VLOOKUP(E3268,[1]Mapping!$A$3:$B$14,2,FALSE)</f>
        <v>#N/A</v>
      </c>
      <c r="J3268" s="84">
        <f t="shared" ref="J3268:J3331" si="104">VALUE(A3268)</f>
        <v>0</v>
      </c>
      <c r="K3268" s="84">
        <f t="shared" ref="K3268:K3331" si="105">VALUE(C3268)</f>
        <v>0</v>
      </c>
      <c r="L3268" s="61" t="e">
        <f>VLOOKUP(K3268,[1]Mapping!$J$3:$Q$351,8,FALSE)</f>
        <v>#N/A</v>
      </c>
      <c r="M3268" t="s">
        <v>83</v>
      </c>
    </row>
    <row r="3269" spans="5:13" hidden="1" x14ac:dyDescent="0.35">
      <c r="E3269" s="81"/>
      <c r="I3269" s="83" t="e">
        <f>VLOOKUP(E3269,[1]Mapping!$A$3:$B$14,2,FALSE)</f>
        <v>#N/A</v>
      </c>
      <c r="J3269" s="84">
        <f t="shared" si="104"/>
        <v>0</v>
      </c>
      <c r="K3269" s="84">
        <f t="shared" si="105"/>
        <v>0</v>
      </c>
      <c r="L3269" s="61" t="e">
        <f>VLOOKUP(K3269,[1]Mapping!$J$3:$Q$351,8,FALSE)</f>
        <v>#N/A</v>
      </c>
      <c r="M3269" t="s">
        <v>83</v>
      </c>
    </row>
    <row r="3270" spans="5:13" hidden="1" x14ac:dyDescent="0.35">
      <c r="E3270" s="81"/>
      <c r="I3270" s="83" t="e">
        <f>VLOOKUP(E3270,[1]Mapping!$A$3:$B$14,2,FALSE)</f>
        <v>#N/A</v>
      </c>
      <c r="J3270" s="84">
        <f t="shared" si="104"/>
        <v>0</v>
      </c>
      <c r="K3270" s="84">
        <f t="shared" si="105"/>
        <v>0</v>
      </c>
      <c r="L3270" s="61" t="e">
        <f>VLOOKUP(K3270,[1]Mapping!$J$3:$Q$351,8,FALSE)</f>
        <v>#N/A</v>
      </c>
      <c r="M3270" t="s">
        <v>83</v>
      </c>
    </row>
    <row r="3271" spans="5:13" hidden="1" x14ac:dyDescent="0.35">
      <c r="E3271" s="81"/>
      <c r="I3271" s="83" t="e">
        <f>VLOOKUP(E3271,[1]Mapping!$A$3:$B$14,2,FALSE)</f>
        <v>#N/A</v>
      </c>
      <c r="J3271" s="84">
        <f t="shared" si="104"/>
        <v>0</v>
      </c>
      <c r="K3271" s="84">
        <f t="shared" si="105"/>
        <v>0</v>
      </c>
      <c r="L3271" s="61" t="e">
        <f>VLOOKUP(K3271,[1]Mapping!$J$3:$Q$351,8,FALSE)</f>
        <v>#N/A</v>
      </c>
      <c r="M3271" t="s">
        <v>83</v>
      </c>
    </row>
    <row r="3272" spans="5:13" hidden="1" x14ac:dyDescent="0.35">
      <c r="E3272" s="81"/>
      <c r="I3272" s="83" t="e">
        <f>VLOOKUP(E3272,[1]Mapping!$A$3:$B$14,2,FALSE)</f>
        <v>#N/A</v>
      </c>
      <c r="J3272" s="84">
        <f t="shared" si="104"/>
        <v>0</v>
      </c>
      <c r="K3272" s="84">
        <f t="shared" si="105"/>
        <v>0</v>
      </c>
      <c r="L3272" s="61" t="e">
        <f>VLOOKUP(K3272,[1]Mapping!$J$3:$Q$351,8,FALSE)</f>
        <v>#N/A</v>
      </c>
      <c r="M3272" t="s">
        <v>83</v>
      </c>
    </row>
    <row r="3273" spans="5:13" hidden="1" x14ac:dyDescent="0.35">
      <c r="E3273" s="81"/>
      <c r="I3273" s="83" t="e">
        <f>VLOOKUP(E3273,[1]Mapping!$A$3:$B$14,2,FALSE)</f>
        <v>#N/A</v>
      </c>
      <c r="J3273" s="84">
        <f t="shared" si="104"/>
        <v>0</v>
      </c>
      <c r="K3273" s="84">
        <f t="shared" si="105"/>
        <v>0</v>
      </c>
      <c r="L3273" s="61" t="e">
        <f>VLOOKUP(K3273,[1]Mapping!$J$3:$Q$351,8,FALSE)</f>
        <v>#N/A</v>
      </c>
      <c r="M3273" t="s">
        <v>83</v>
      </c>
    </row>
    <row r="3274" spans="5:13" hidden="1" x14ac:dyDescent="0.35">
      <c r="E3274" s="81"/>
      <c r="I3274" s="83" t="e">
        <f>VLOOKUP(E3274,[1]Mapping!$A$3:$B$14,2,FALSE)</f>
        <v>#N/A</v>
      </c>
      <c r="J3274" s="84">
        <f t="shared" si="104"/>
        <v>0</v>
      </c>
      <c r="K3274" s="84">
        <f t="shared" si="105"/>
        <v>0</v>
      </c>
      <c r="L3274" s="61" t="e">
        <f>VLOOKUP(K3274,[1]Mapping!$J$3:$Q$351,8,FALSE)</f>
        <v>#N/A</v>
      </c>
      <c r="M3274" t="s">
        <v>83</v>
      </c>
    </row>
    <row r="3275" spans="5:13" hidden="1" x14ac:dyDescent="0.35">
      <c r="E3275" s="81"/>
      <c r="I3275" s="83" t="e">
        <f>VLOOKUP(E3275,[1]Mapping!$A$3:$B$14,2,FALSE)</f>
        <v>#N/A</v>
      </c>
      <c r="J3275" s="84">
        <f t="shared" si="104"/>
        <v>0</v>
      </c>
      <c r="K3275" s="84">
        <f t="shared" si="105"/>
        <v>0</v>
      </c>
      <c r="L3275" s="61" t="e">
        <f>VLOOKUP(K3275,[1]Mapping!$J$3:$Q$351,8,FALSE)</f>
        <v>#N/A</v>
      </c>
      <c r="M3275" t="s">
        <v>83</v>
      </c>
    </row>
    <row r="3276" spans="5:13" hidden="1" x14ac:dyDescent="0.35">
      <c r="E3276" s="81"/>
      <c r="I3276" s="83" t="e">
        <f>VLOOKUP(E3276,[1]Mapping!$A$3:$B$14,2,FALSE)</f>
        <v>#N/A</v>
      </c>
      <c r="J3276" s="84">
        <f t="shared" si="104"/>
        <v>0</v>
      </c>
      <c r="K3276" s="84">
        <f t="shared" si="105"/>
        <v>0</v>
      </c>
      <c r="L3276" s="61" t="e">
        <f>VLOOKUP(K3276,[1]Mapping!$J$3:$Q$351,8,FALSE)</f>
        <v>#N/A</v>
      </c>
      <c r="M3276" t="s">
        <v>83</v>
      </c>
    </row>
    <row r="3277" spans="5:13" hidden="1" x14ac:dyDescent="0.35">
      <c r="E3277" s="81"/>
      <c r="I3277" s="83" t="e">
        <f>VLOOKUP(E3277,[1]Mapping!$A$3:$B$14,2,FALSE)</f>
        <v>#N/A</v>
      </c>
      <c r="J3277" s="84">
        <f t="shared" si="104"/>
        <v>0</v>
      </c>
      <c r="K3277" s="84">
        <f t="shared" si="105"/>
        <v>0</v>
      </c>
      <c r="L3277" s="61" t="e">
        <f>VLOOKUP(K3277,[1]Mapping!$J$3:$Q$351,8,FALSE)</f>
        <v>#N/A</v>
      </c>
      <c r="M3277" t="s">
        <v>83</v>
      </c>
    </row>
    <row r="3278" spans="5:13" hidden="1" x14ac:dyDescent="0.35">
      <c r="E3278" s="81"/>
      <c r="I3278" s="83" t="e">
        <f>VLOOKUP(E3278,[1]Mapping!$A$3:$B$14,2,FALSE)</f>
        <v>#N/A</v>
      </c>
      <c r="J3278" s="84">
        <f t="shared" si="104"/>
        <v>0</v>
      </c>
      <c r="K3278" s="84">
        <f t="shared" si="105"/>
        <v>0</v>
      </c>
      <c r="L3278" s="61" t="e">
        <f>VLOOKUP(K3278,[1]Mapping!$J$3:$Q$351,8,FALSE)</f>
        <v>#N/A</v>
      </c>
      <c r="M3278" t="s">
        <v>83</v>
      </c>
    </row>
    <row r="3279" spans="5:13" hidden="1" x14ac:dyDescent="0.35">
      <c r="E3279" s="81"/>
      <c r="I3279" s="83" t="e">
        <f>VLOOKUP(E3279,[1]Mapping!$A$3:$B$14,2,FALSE)</f>
        <v>#N/A</v>
      </c>
      <c r="J3279" s="84">
        <f t="shared" si="104"/>
        <v>0</v>
      </c>
      <c r="K3279" s="84">
        <f t="shared" si="105"/>
        <v>0</v>
      </c>
      <c r="L3279" s="61" t="e">
        <f>VLOOKUP(K3279,[1]Mapping!$J$3:$Q$351,8,FALSE)</f>
        <v>#N/A</v>
      </c>
      <c r="M3279" t="s">
        <v>83</v>
      </c>
    </row>
    <row r="3280" spans="5:13" hidden="1" x14ac:dyDescent="0.35">
      <c r="E3280" s="81"/>
      <c r="I3280" s="83" t="e">
        <f>VLOOKUP(E3280,[1]Mapping!$A$3:$B$14,2,FALSE)</f>
        <v>#N/A</v>
      </c>
      <c r="J3280" s="84">
        <f t="shared" si="104"/>
        <v>0</v>
      </c>
      <c r="K3280" s="84">
        <f t="shared" si="105"/>
        <v>0</v>
      </c>
      <c r="L3280" s="61" t="e">
        <f>VLOOKUP(K3280,[1]Mapping!$J$3:$Q$351,8,FALSE)</f>
        <v>#N/A</v>
      </c>
      <c r="M3280" t="s">
        <v>83</v>
      </c>
    </row>
    <row r="3281" spans="5:13" hidden="1" x14ac:dyDescent="0.35">
      <c r="E3281" s="81"/>
      <c r="I3281" s="83" t="e">
        <f>VLOOKUP(E3281,[1]Mapping!$A$3:$B$14,2,FALSE)</f>
        <v>#N/A</v>
      </c>
      <c r="J3281" s="84">
        <f t="shared" si="104"/>
        <v>0</v>
      </c>
      <c r="K3281" s="84">
        <f t="shared" si="105"/>
        <v>0</v>
      </c>
      <c r="L3281" s="61" t="e">
        <f>VLOOKUP(K3281,[1]Mapping!$J$3:$Q$351,8,FALSE)</f>
        <v>#N/A</v>
      </c>
      <c r="M3281" t="s">
        <v>83</v>
      </c>
    </row>
    <row r="3282" spans="5:13" hidden="1" x14ac:dyDescent="0.35">
      <c r="E3282" s="81"/>
      <c r="I3282" s="83" t="e">
        <f>VLOOKUP(E3282,[1]Mapping!$A$3:$B$14,2,FALSE)</f>
        <v>#N/A</v>
      </c>
      <c r="J3282" s="84">
        <f t="shared" si="104"/>
        <v>0</v>
      </c>
      <c r="K3282" s="84">
        <f t="shared" si="105"/>
        <v>0</v>
      </c>
      <c r="L3282" s="61" t="e">
        <f>VLOOKUP(K3282,[1]Mapping!$J$3:$Q$351,8,FALSE)</f>
        <v>#N/A</v>
      </c>
      <c r="M3282" t="s">
        <v>83</v>
      </c>
    </row>
    <row r="3283" spans="5:13" hidden="1" x14ac:dyDescent="0.35">
      <c r="E3283" s="81"/>
      <c r="I3283" s="83" t="e">
        <f>VLOOKUP(E3283,[1]Mapping!$A$3:$B$14,2,FALSE)</f>
        <v>#N/A</v>
      </c>
      <c r="J3283" s="84">
        <f t="shared" si="104"/>
        <v>0</v>
      </c>
      <c r="K3283" s="84">
        <f t="shared" si="105"/>
        <v>0</v>
      </c>
      <c r="L3283" s="61" t="e">
        <f>VLOOKUP(K3283,[1]Mapping!$J$3:$Q$351,8,FALSE)</f>
        <v>#N/A</v>
      </c>
      <c r="M3283" t="s">
        <v>83</v>
      </c>
    </row>
    <row r="3284" spans="5:13" hidden="1" x14ac:dyDescent="0.35">
      <c r="E3284" s="81"/>
      <c r="I3284" s="83" t="e">
        <f>VLOOKUP(E3284,[1]Mapping!$A$3:$B$14,2,FALSE)</f>
        <v>#N/A</v>
      </c>
      <c r="J3284" s="84">
        <f t="shared" si="104"/>
        <v>0</v>
      </c>
      <c r="K3284" s="84">
        <f t="shared" si="105"/>
        <v>0</v>
      </c>
      <c r="L3284" s="61" t="e">
        <f>VLOOKUP(K3284,[1]Mapping!$J$3:$Q$351,8,FALSE)</f>
        <v>#N/A</v>
      </c>
      <c r="M3284" t="s">
        <v>83</v>
      </c>
    </row>
    <row r="3285" spans="5:13" hidden="1" x14ac:dyDescent="0.35">
      <c r="E3285" s="81"/>
      <c r="I3285" s="83" t="e">
        <f>VLOOKUP(E3285,[1]Mapping!$A$3:$B$14,2,FALSE)</f>
        <v>#N/A</v>
      </c>
      <c r="J3285" s="84">
        <f t="shared" si="104"/>
        <v>0</v>
      </c>
      <c r="K3285" s="84">
        <f t="shared" si="105"/>
        <v>0</v>
      </c>
      <c r="L3285" s="61" t="e">
        <f>VLOOKUP(K3285,[1]Mapping!$J$3:$Q$351,8,FALSE)</f>
        <v>#N/A</v>
      </c>
      <c r="M3285" t="s">
        <v>83</v>
      </c>
    </row>
    <row r="3286" spans="5:13" hidden="1" x14ac:dyDescent="0.35">
      <c r="E3286" s="81"/>
      <c r="I3286" s="83" t="e">
        <f>VLOOKUP(E3286,[1]Mapping!$A$3:$B$14,2,FALSE)</f>
        <v>#N/A</v>
      </c>
      <c r="J3286" s="84">
        <f t="shared" si="104"/>
        <v>0</v>
      </c>
      <c r="K3286" s="84">
        <f t="shared" si="105"/>
        <v>0</v>
      </c>
      <c r="L3286" s="61" t="e">
        <f>VLOOKUP(K3286,[1]Mapping!$J$3:$Q$351,8,FALSE)</f>
        <v>#N/A</v>
      </c>
      <c r="M3286" t="s">
        <v>83</v>
      </c>
    </row>
    <row r="3287" spans="5:13" hidden="1" x14ac:dyDescent="0.35">
      <c r="E3287" s="81"/>
      <c r="I3287" s="83" t="e">
        <f>VLOOKUP(E3287,[1]Mapping!$A$3:$B$14,2,FALSE)</f>
        <v>#N/A</v>
      </c>
      <c r="J3287" s="84">
        <f t="shared" si="104"/>
        <v>0</v>
      </c>
      <c r="K3287" s="84">
        <f t="shared" si="105"/>
        <v>0</v>
      </c>
      <c r="L3287" s="61" t="e">
        <f>VLOOKUP(K3287,[1]Mapping!$J$3:$Q$351,8,FALSE)</f>
        <v>#N/A</v>
      </c>
      <c r="M3287" t="s">
        <v>83</v>
      </c>
    </row>
    <row r="3288" spans="5:13" hidden="1" x14ac:dyDescent="0.35">
      <c r="E3288" s="81"/>
      <c r="I3288" s="83" t="e">
        <f>VLOOKUP(E3288,[1]Mapping!$A$3:$B$14,2,FALSE)</f>
        <v>#N/A</v>
      </c>
      <c r="J3288" s="84">
        <f t="shared" si="104"/>
        <v>0</v>
      </c>
      <c r="K3288" s="84">
        <f t="shared" si="105"/>
        <v>0</v>
      </c>
      <c r="L3288" s="61" t="e">
        <f>VLOOKUP(K3288,[1]Mapping!$J$3:$Q$351,8,FALSE)</f>
        <v>#N/A</v>
      </c>
      <c r="M3288" t="s">
        <v>83</v>
      </c>
    </row>
    <row r="3289" spans="5:13" hidden="1" x14ac:dyDescent="0.35">
      <c r="E3289" s="81"/>
      <c r="I3289" s="83" t="e">
        <f>VLOOKUP(E3289,[1]Mapping!$A$3:$B$14,2,FALSE)</f>
        <v>#N/A</v>
      </c>
      <c r="J3289" s="84">
        <f t="shared" si="104"/>
        <v>0</v>
      </c>
      <c r="K3289" s="84">
        <f t="shared" si="105"/>
        <v>0</v>
      </c>
      <c r="L3289" s="61" t="e">
        <f>VLOOKUP(K3289,[1]Mapping!$J$3:$Q$351,8,FALSE)</f>
        <v>#N/A</v>
      </c>
      <c r="M3289" t="s">
        <v>83</v>
      </c>
    </row>
    <row r="3290" spans="5:13" hidden="1" x14ac:dyDescent="0.35">
      <c r="E3290" s="81"/>
      <c r="I3290" s="83" t="e">
        <f>VLOOKUP(E3290,[1]Mapping!$A$3:$B$14,2,FALSE)</f>
        <v>#N/A</v>
      </c>
      <c r="J3290" s="84">
        <f t="shared" si="104"/>
        <v>0</v>
      </c>
      <c r="K3290" s="84">
        <f t="shared" si="105"/>
        <v>0</v>
      </c>
      <c r="L3290" s="61" t="e">
        <f>VLOOKUP(K3290,[1]Mapping!$J$3:$Q$351,8,FALSE)</f>
        <v>#N/A</v>
      </c>
      <c r="M3290" t="s">
        <v>83</v>
      </c>
    </row>
    <row r="3291" spans="5:13" hidden="1" x14ac:dyDescent="0.35">
      <c r="E3291" s="81"/>
      <c r="I3291" s="83" t="e">
        <f>VLOOKUP(E3291,[1]Mapping!$A$3:$B$14,2,FALSE)</f>
        <v>#N/A</v>
      </c>
      <c r="J3291" s="84">
        <f t="shared" si="104"/>
        <v>0</v>
      </c>
      <c r="K3291" s="84">
        <f t="shared" si="105"/>
        <v>0</v>
      </c>
      <c r="L3291" s="61" t="e">
        <f>VLOOKUP(K3291,[1]Mapping!$J$3:$Q$351,8,FALSE)</f>
        <v>#N/A</v>
      </c>
      <c r="M3291" t="s">
        <v>83</v>
      </c>
    </row>
    <row r="3292" spans="5:13" hidden="1" x14ac:dyDescent="0.35">
      <c r="E3292" s="81"/>
      <c r="I3292" s="83" t="e">
        <f>VLOOKUP(E3292,[1]Mapping!$A$3:$B$14,2,FALSE)</f>
        <v>#N/A</v>
      </c>
      <c r="J3292" s="84">
        <f t="shared" si="104"/>
        <v>0</v>
      </c>
      <c r="K3292" s="84">
        <f t="shared" si="105"/>
        <v>0</v>
      </c>
      <c r="L3292" s="61" t="e">
        <f>VLOOKUP(K3292,[1]Mapping!$J$3:$Q$351,8,FALSE)</f>
        <v>#N/A</v>
      </c>
      <c r="M3292" t="s">
        <v>83</v>
      </c>
    </row>
    <row r="3293" spans="5:13" hidden="1" x14ac:dyDescent="0.35">
      <c r="E3293" s="81"/>
      <c r="I3293" s="83" t="e">
        <f>VLOOKUP(E3293,[1]Mapping!$A$3:$B$14,2,FALSE)</f>
        <v>#N/A</v>
      </c>
      <c r="J3293" s="84">
        <f t="shared" si="104"/>
        <v>0</v>
      </c>
      <c r="K3293" s="84">
        <f t="shared" si="105"/>
        <v>0</v>
      </c>
      <c r="L3293" s="61" t="e">
        <f>VLOOKUP(K3293,[1]Mapping!$J$3:$Q$351,8,FALSE)</f>
        <v>#N/A</v>
      </c>
      <c r="M3293" t="s">
        <v>83</v>
      </c>
    </row>
    <row r="3294" spans="5:13" hidden="1" x14ac:dyDescent="0.35">
      <c r="E3294" s="81"/>
      <c r="I3294" s="83" t="e">
        <f>VLOOKUP(E3294,[1]Mapping!$A$3:$B$14,2,FALSE)</f>
        <v>#N/A</v>
      </c>
      <c r="J3294" s="84">
        <f t="shared" si="104"/>
        <v>0</v>
      </c>
      <c r="K3294" s="84">
        <f t="shared" si="105"/>
        <v>0</v>
      </c>
      <c r="L3294" s="61" t="e">
        <f>VLOOKUP(K3294,[1]Mapping!$J$3:$Q$351,8,FALSE)</f>
        <v>#N/A</v>
      </c>
      <c r="M3294" t="s">
        <v>83</v>
      </c>
    </row>
    <row r="3295" spans="5:13" hidden="1" x14ac:dyDescent="0.35">
      <c r="E3295" s="81"/>
      <c r="I3295" s="83" t="e">
        <f>VLOOKUP(E3295,[1]Mapping!$A$3:$B$14,2,FALSE)</f>
        <v>#N/A</v>
      </c>
      <c r="J3295" s="84">
        <f t="shared" si="104"/>
        <v>0</v>
      </c>
      <c r="K3295" s="84">
        <f t="shared" si="105"/>
        <v>0</v>
      </c>
      <c r="L3295" s="61" t="e">
        <f>VLOOKUP(K3295,[1]Mapping!$J$3:$Q$351,8,FALSE)</f>
        <v>#N/A</v>
      </c>
      <c r="M3295" t="s">
        <v>83</v>
      </c>
    </row>
    <row r="3296" spans="5:13" hidden="1" x14ac:dyDescent="0.35">
      <c r="E3296" s="81"/>
      <c r="I3296" s="83" t="e">
        <f>VLOOKUP(E3296,[1]Mapping!$A$3:$B$14,2,FALSE)</f>
        <v>#N/A</v>
      </c>
      <c r="J3296" s="84">
        <f t="shared" si="104"/>
        <v>0</v>
      </c>
      <c r="K3296" s="84">
        <f t="shared" si="105"/>
        <v>0</v>
      </c>
      <c r="L3296" s="61" t="e">
        <f>VLOOKUP(K3296,[1]Mapping!$J$3:$Q$351,8,FALSE)</f>
        <v>#N/A</v>
      </c>
      <c r="M3296" t="s">
        <v>83</v>
      </c>
    </row>
    <row r="3297" spans="5:13" hidden="1" x14ac:dyDescent="0.35">
      <c r="E3297" s="81"/>
      <c r="I3297" s="83" t="e">
        <f>VLOOKUP(E3297,[1]Mapping!$A$3:$B$14,2,FALSE)</f>
        <v>#N/A</v>
      </c>
      <c r="J3297" s="84">
        <f t="shared" si="104"/>
        <v>0</v>
      </c>
      <c r="K3297" s="84">
        <f t="shared" si="105"/>
        <v>0</v>
      </c>
      <c r="L3297" s="61" t="e">
        <f>VLOOKUP(K3297,[1]Mapping!$J$3:$Q$351,8,FALSE)</f>
        <v>#N/A</v>
      </c>
      <c r="M3297" t="s">
        <v>83</v>
      </c>
    </row>
    <row r="3298" spans="5:13" hidden="1" x14ac:dyDescent="0.35">
      <c r="E3298" s="81"/>
      <c r="I3298" s="83" t="e">
        <f>VLOOKUP(E3298,[1]Mapping!$A$3:$B$14,2,FALSE)</f>
        <v>#N/A</v>
      </c>
      <c r="J3298" s="84">
        <f t="shared" si="104"/>
        <v>0</v>
      </c>
      <c r="K3298" s="84">
        <f t="shared" si="105"/>
        <v>0</v>
      </c>
      <c r="L3298" s="61" t="e">
        <f>VLOOKUP(K3298,[1]Mapping!$J$3:$Q$351,8,FALSE)</f>
        <v>#N/A</v>
      </c>
      <c r="M3298" t="s">
        <v>83</v>
      </c>
    </row>
    <row r="3299" spans="5:13" hidden="1" x14ac:dyDescent="0.35">
      <c r="E3299" s="81"/>
      <c r="I3299" s="83" t="e">
        <f>VLOOKUP(E3299,[1]Mapping!$A$3:$B$14,2,FALSE)</f>
        <v>#N/A</v>
      </c>
      <c r="J3299" s="84">
        <f t="shared" si="104"/>
        <v>0</v>
      </c>
      <c r="K3299" s="84">
        <f t="shared" si="105"/>
        <v>0</v>
      </c>
      <c r="L3299" s="61" t="e">
        <f>VLOOKUP(K3299,[1]Mapping!$J$3:$Q$351,8,FALSE)</f>
        <v>#N/A</v>
      </c>
      <c r="M3299" t="s">
        <v>83</v>
      </c>
    </row>
    <row r="3300" spans="5:13" hidden="1" x14ac:dyDescent="0.35">
      <c r="E3300" s="81"/>
      <c r="I3300" s="83" t="e">
        <f>VLOOKUP(E3300,[1]Mapping!$A$3:$B$14,2,FALSE)</f>
        <v>#N/A</v>
      </c>
      <c r="J3300" s="84">
        <f t="shared" si="104"/>
        <v>0</v>
      </c>
      <c r="K3300" s="84">
        <f t="shared" si="105"/>
        <v>0</v>
      </c>
      <c r="L3300" s="61" t="e">
        <f>VLOOKUP(K3300,[1]Mapping!$J$3:$Q$351,8,FALSE)</f>
        <v>#N/A</v>
      </c>
      <c r="M3300" t="s">
        <v>83</v>
      </c>
    </row>
    <row r="3301" spans="5:13" hidden="1" x14ac:dyDescent="0.35">
      <c r="E3301" s="81"/>
      <c r="I3301" s="83" t="e">
        <f>VLOOKUP(E3301,[1]Mapping!$A$3:$B$14,2,FALSE)</f>
        <v>#N/A</v>
      </c>
      <c r="J3301" s="84">
        <f t="shared" si="104"/>
        <v>0</v>
      </c>
      <c r="K3301" s="84">
        <f t="shared" si="105"/>
        <v>0</v>
      </c>
      <c r="L3301" s="61" t="e">
        <f>VLOOKUP(K3301,[1]Mapping!$J$3:$Q$351,8,FALSE)</f>
        <v>#N/A</v>
      </c>
      <c r="M3301" t="s">
        <v>83</v>
      </c>
    </row>
    <row r="3302" spans="5:13" hidden="1" x14ac:dyDescent="0.35">
      <c r="E3302" s="81"/>
      <c r="I3302" s="83" t="e">
        <f>VLOOKUP(E3302,[1]Mapping!$A$3:$B$14,2,FALSE)</f>
        <v>#N/A</v>
      </c>
      <c r="J3302" s="84">
        <f t="shared" si="104"/>
        <v>0</v>
      </c>
      <c r="K3302" s="84">
        <f t="shared" si="105"/>
        <v>0</v>
      </c>
      <c r="L3302" s="61" t="e">
        <f>VLOOKUP(K3302,[1]Mapping!$J$3:$Q$351,8,FALSE)</f>
        <v>#N/A</v>
      </c>
      <c r="M3302" t="s">
        <v>83</v>
      </c>
    </row>
    <row r="3303" spans="5:13" hidden="1" x14ac:dyDescent="0.35">
      <c r="E3303" s="81"/>
      <c r="I3303" s="83" t="e">
        <f>VLOOKUP(E3303,[1]Mapping!$A$3:$B$14,2,FALSE)</f>
        <v>#N/A</v>
      </c>
      <c r="J3303" s="84">
        <f t="shared" si="104"/>
        <v>0</v>
      </c>
      <c r="K3303" s="84">
        <f t="shared" si="105"/>
        <v>0</v>
      </c>
      <c r="L3303" s="61" t="e">
        <f>VLOOKUP(K3303,[1]Mapping!$J$3:$Q$351,8,FALSE)</f>
        <v>#N/A</v>
      </c>
      <c r="M3303" t="s">
        <v>83</v>
      </c>
    </row>
    <row r="3304" spans="5:13" hidden="1" x14ac:dyDescent="0.35">
      <c r="E3304" s="81"/>
      <c r="I3304" s="83" t="e">
        <f>VLOOKUP(E3304,[1]Mapping!$A$3:$B$14,2,FALSE)</f>
        <v>#N/A</v>
      </c>
      <c r="J3304" s="84">
        <f t="shared" si="104"/>
        <v>0</v>
      </c>
      <c r="K3304" s="84">
        <f t="shared" si="105"/>
        <v>0</v>
      </c>
      <c r="L3304" s="61" t="e">
        <f>VLOOKUP(K3304,[1]Mapping!$J$3:$Q$351,8,FALSE)</f>
        <v>#N/A</v>
      </c>
      <c r="M3304" t="s">
        <v>83</v>
      </c>
    </row>
    <row r="3305" spans="5:13" hidden="1" x14ac:dyDescent="0.35">
      <c r="E3305" s="81"/>
      <c r="I3305" s="83" t="e">
        <f>VLOOKUP(E3305,[1]Mapping!$A$3:$B$14,2,FALSE)</f>
        <v>#N/A</v>
      </c>
      <c r="J3305" s="84">
        <f t="shared" si="104"/>
        <v>0</v>
      </c>
      <c r="K3305" s="84">
        <f t="shared" si="105"/>
        <v>0</v>
      </c>
      <c r="L3305" s="61" t="e">
        <f>VLOOKUP(K3305,[1]Mapping!$J$3:$Q$351,8,FALSE)</f>
        <v>#N/A</v>
      </c>
      <c r="M3305" t="s">
        <v>83</v>
      </c>
    </row>
    <row r="3306" spans="5:13" hidden="1" x14ac:dyDescent="0.35">
      <c r="E3306" s="81"/>
      <c r="I3306" s="83" t="e">
        <f>VLOOKUP(E3306,[1]Mapping!$A$3:$B$14,2,FALSE)</f>
        <v>#N/A</v>
      </c>
      <c r="J3306" s="84">
        <f t="shared" si="104"/>
        <v>0</v>
      </c>
      <c r="K3306" s="84">
        <f t="shared" si="105"/>
        <v>0</v>
      </c>
      <c r="L3306" s="61" t="e">
        <f>VLOOKUP(K3306,[1]Mapping!$J$3:$Q$351,8,FALSE)</f>
        <v>#N/A</v>
      </c>
      <c r="M3306" t="s">
        <v>83</v>
      </c>
    </row>
    <row r="3307" spans="5:13" hidden="1" x14ac:dyDescent="0.35">
      <c r="E3307" s="81"/>
      <c r="I3307" s="83" t="e">
        <f>VLOOKUP(E3307,[1]Mapping!$A$3:$B$14,2,FALSE)</f>
        <v>#N/A</v>
      </c>
      <c r="J3307" s="84">
        <f t="shared" si="104"/>
        <v>0</v>
      </c>
      <c r="K3307" s="84">
        <f t="shared" si="105"/>
        <v>0</v>
      </c>
      <c r="L3307" s="61" t="e">
        <f>VLOOKUP(K3307,[1]Mapping!$J$3:$Q$351,8,FALSE)</f>
        <v>#N/A</v>
      </c>
      <c r="M3307" t="s">
        <v>83</v>
      </c>
    </row>
    <row r="3308" spans="5:13" hidden="1" x14ac:dyDescent="0.35">
      <c r="E3308" s="81"/>
      <c r="I3308" s="83" t="e">
        <f>VLOOKUP(E3308,[1]Mapping!$A$3:$B$14,2,FALSE)</f>
        <v>#N/A</v>
      </c>
      <c r="J3308" s="84">
        <f t="shared" si="104"/>
        <v>0</v>
      </c>
      <c r="K3308" s="84">
        <f t="shared" si="105"/>
        <v>0</v>
      </c>
      <c r="L3308" s="61" t="e">
        <f>VLOOKUP(K3308,[1]Mapping!$J$3:$Q$351,8,FALSE)</f>
        <v>#N/A</v>
      </c>
      <c r="M3308" t="s">
        <v>83</v>
      </c>
    </row>
    <row r="3309" spans="5:13" hidden="1" x14ac:dyDescent="0.35">
      <c r="E3309" s="81"/>
      <c r="I3309" s="83" t="e">
        <f>VLOOKUP(E3309,[1]Mapping!$A$3:$B$14,2,FALSE)</f>
        <v>#N/A</v>
      </c>
      <c r="J3309" s="84">
        <f t="shared" si="104"/>
        <v>0</v>
      </c>
      <c r="K3309" s="84">
        <f t="shared" si="105"/>
        <v>0</v>
      </c>
      <c r="L3309" s="61" t="e">
        <f>VLOOKUP(K3309,[1]Mapping!$J$3:$Q$351,8,FALSE)</f>
        <v>#N/A</v>
      </c>
      <c r="M3309" t="s">
        <v>83</v>
      </c>
    </row>
    <row r="3310" spans="5:13" hidden="1" x14ac:dyDescent="0.35">
      <c r="E3310" s="81"/>
      <c r="I3310" s="83" t="e">
        <f>VLOOKUP(E3310,[1]Mapping!$A$3:$B$14,2,FALSE)</f>
        <v>#N/A</v>
      </c>
      <c r="J3310" s="84">
        <f t="shared" si="104"/>
        <v>0</v>
      </c>
      <c r="K3310" s="84">
        <f t="shared" si="105"/>
        <v>0</v>
      </c>
      <c r="L3310" s="61" t="e">
        <f>VLOOKUP(K3310,[1]Mapping!$J$3:$Q$351,8,FALSE)</f>
        <v>#N/A</v>
      </c>
      <c r="M3310" t="s">
        <v>83</v>
      </c>
    </row>
    <row r="3311" spans="5:13" hidden="1" x14ac:dyDescent="0.35">
      <c r="E3311" s="81"/>
      <c r="I3311" s="83" t="e">
        <f>VLOOKUP(E3311,[1]Mapping!$A$3:$B$14,2,FALSE)</f>
        <v>#N/A</v>
      </c>
      <c r="J3311" s="84">
        <f t="shared" si="104"/>
        <v>0</v>
      </c>
      <c r="K3311" s="84">
        <f t="shared" si="105"/>
        <v>0</v>
      </c>
      <c r="L3311" s="61" t="e">
        <f>VLOOKUP(K3311,[1]Mapping!$J$3:$Q$351,8,FALSE)</f>
        <v>#N/A</v>
      </c>
      <c r="M3311" t="s">
        <v>83</v>
      </c>
    </row>
    <row r="3312" spans="5:13" hidden="1" x14ac:dyDescent="0.35">
      <c r="E3312" s="81"/>
      <c r="I3312" s="83" t="e">
        <f>VLOOKUP(E3312,[1]Mapping!$A$3:$B$14,2,FALSE)</f>
        <v>#N/A</v>
      </c>
      <c r="J3312" s="84">
        <f t="shared" si="104"/>
        <v>0</v>
      </c>
      <c r="K3312" s="84">
        <f t="shared" si="105"/>
        <v>0</v>
      </c>
      <c r="L3312" s="61" t="e">
        <f>VLOOKUP(K3312,[1]Mapping!$J$3:$Q$351,8,FALSE)</f>
        <v>#N/A</v>
      </c>
      <c r="M3312" t="s">
        <v>83</v>
      </c>
    </row>
    <row r="3313" spans="5:13" hidden="1" x14ac:dyDescent="0.35">
      <c r="E3313" s="81"/>
      <c r="I3313" s="83" t="e">
        <f>VLOOKUP(E3313,[1]Mapping!$A$3:$B$14,2,FALSE)</f>
        <v>#N/A</v>
      </c>
      <c r="J3313" s="84">
        <f t="shared" si="104"/>
        <v>0</v>
      </c>
      <c r="K3313" s="84">
        <f t="shared" si="105"/>
        <v>0</v>
      </c>
      <c r="L3313" s="61" t="e">
        <f>VLOOKUP(K3313,[1]Mapping!$J$3:$Q$351,8,FALSE)</f>
        <v>#N/A</v>
      </c>
      <c r="M3313" t="s">
        <v>83</v>
      </c>
    </row>
    <row r="3314" spans="5:13" hidden="1" x14ac:dyDescent="0.35">
      <c r="E3314" s="81"/>
      <c r="I3314" s="83" t="e">
        <f>VLOOKUP(E3314,[1]Mapping!$A$3:$B$14,2,FALSE)</f>
        <v>#N/A</v>
      </c>
      <c r="J3314" s="84">
        <f t="shared" si="104"/>
        <v>0</v>
      </c>
      <c r="K3314" s="84">
        <f t="shared" si="105"/>
        <v>0</v>
      </c>
      <c r="L3314" s="61" t="e">
        <f>VLOOKUP(K3314,[1]Mapping!$J$3:$Q$351,8,FALSE)</f>
        <v>#N/A</v>
      </c>
      <c r="M3314" t="s">
        <v>83</v>
      </c>
    </row>
    <row r="3315" spans="5:13" hidden="1" x14ac:dyDescent="0.35">
      <c r="E3315" s="81"/>
      <c r="I3315" s="83" t="e">
        <f>VLOOKUP(E3315,[1]Mapping!$A$3:$B$14,2,FALSE)</f>
        <v>#N/A</v>
      </c>
      <c r="J3315" s="84">
        <f t="shared" si="104"/>
        <v>0</v>
      </c>
      <c r="K3315" s="84">
        <f t="shared" si="105"/>
        <v>0</v>
      </c>
      <c r="L3315" s="61" t="e">
        <f>VLOOKUP(K3315,[1]Mapping!$J$3:$Q$351,8,FALSE)</f>
        <v>#N/A</v>
      </c>
      <c r="M3315" t="s">
        <v>83</v>
      </c>
    </row>
    <row r="3316" spans="5:13" hidden="1" x14ac:dyDescent="0.35">
      <c r="E3316" s="81"/>
      <c r="I3316" s="83" t="e">
        <f>VLOOKUP(E3316,[1]Mapping!$A$3:$B$14,2,FALSE)</f>
        <v>#N/A</v>
      </c>
      <c r="J3316" s="84">
        <f t="shared" si="104"/>
        <v>0</v>
      </c>
      <c r="K3316" s="84">
        <f t="shared" si="105"/>
        <v>0</v>
      </c>
      <c r="L3316" s="61" t="e">
        <f>VLOOKUP(K3316,[1]Mapping!$J$3:$Q$351,8,FALSE)</f>
        <v>#N/A</v>
      </c>
      <c r="M3316" t="s">
        <v>83</v>
      </c>
    </row>
    <row r="3317" spans="5:13" hidden="1" x14ac:dyDescent="0.35">
      <c r="E3317" s="81"/>
      <c r="I3317" s="83" t="e">
        <f>VLOOKUP(E3317,[1]Mapping!$A$3:$B$14,2,FALSE)</f>
        <v>#N/A</v>
      </c>
      <c r="J3317" s="84">
        <f t="shared" si="104"/>
        <v>0</v>
      </c>
      <c r="K3317" s="84">
        <f t="shared" si="105"/>
        <v>0</v>
      </c>
      <c r="L3317" s="61" t="e">
        <f>VLOOKUP(K3317,[1]Mapping!$J$3:$Q$351,8,FALSE)</f>
        <v>#N/A</v>
      </c>
      <c r="M3317" t="s">
        <v>83</v>
      </c>
    </row>
    <row r="3318" spans="5:13" hidden="1" x14ac:dyDescent="0.35">
      <c r="E3318" s="81"/>
      <c r="I3318" s="83" t="e">
        <f>VLOOKUP(E3318,[1]Mapping!$A$3:$B$14,2,FALSE)</f>
        <v>#N/A</v>
      </c>
      <c r="J3318" s="84">
        <f t="shared" si="104"/>
        <v>0</v>
      </c>
      <c r="K3318" s="84">
        <f t="shared" si="105"/>
        <v>0</v>
      </c>
      <c r="L3318" s="61" t="e">
        <f>VLOOKUP(K3318,[1]Mapping!$J$3:$Q$351,8,FALSE)</f>
        <v>#N/A</v>
      </c>
      <c r="M3318" t="s">
        <v>83</v>
      </c>
    </row>
    <row r="3319" spans="5:13" hidden="1" x14ac:dyDescent="0.35">
      <c r="E3319" s="81"/>
      <c r="I3319" s="83" t="e">
        <f>VLOOKUP(E3319,[1]Mapping!$A$3:$B$14,2,FALSE)</f>
        <v>#N/A</v>
      </c>
      <c r="J3319" s="84">
        <f t="shared" si="104"/>
        <v>0</v>
      </c>
      <c r="K3319" s="84">
        <f t="shared" si="105"/>
        <v>0</v>
      </c>
      <c r="L3319" s="61" t="e">
        <f>VLOOKUP(K3319,[1]Mapping!$J$3:$Q$351,8,FALSE)</f>
        <v>#N/A</v>
      </c>
      <c r="M3319" t="s">
        <v>83</v>
      </c>
    </row>
    <row r="3320" spans="5:13" hidden="1" x14ac:dyDescent="0.35">
      <c r="E3320" s="81"/>
      <c r="I3320" s="83" t="e">
        <f>VLOOKUP(E3320,[1]Mapping!$A$3:$B$14,2,FALSE)</f>
        <v>#N/A</v>
      </c>
      <c r="J3320" s="84">
        <f t="shared" si="104"/>
        <v>0</v>
      </c>
      <c r="K3320" s="84">
        <f t="shared" si="105"/>
        <v>0</v>
      </c>
      <c r="L3320" s="61" t="e">
        <f>VLOOKUP(K3320,[1]Mapping!$J$3:$Q$351,8,FALSE)</f>
        <v>#N/A</v>
      </c>
      <c r="M3320" t="s">
        <v>83</v>
      </c>
    </row>
    <row r="3321" spans="5:13" hidden="1" x14ac:dyDescent="0.35">
      <c r="E3321" s="81"/>
      <c r="I3321" s="83" t="e">
        <f>VLOOKUP(E3321,[1]Mapping!$A$3:$B$14,2,FALSE)</f>
        <v>#N/A</v>
      </c>
      <c r="J3321" s="84">
        <f t="shared" si="104"/>
        <v>0</v>
      </c>
      <c r="K3321" s="84">
        <f t="shared" si="105"/>
        <v>0</v>
      </c>
      <c r="L3321" s="61" t="e">
        <f>VLOOKUP(K3321,[1]Mapping!$J$3:$Q$351,8,FALSE)</f>
        <v>#N/A</v>
      </c>
      <c r="M3321" t="s">
        <v>83</v>
      </c>
    </row>
    <row r="3322" spans="5:13" hidden="1" x14ac:dyDescent="0.35">
      <c r="E3322" s="81"/>
      <c r="I3322" s="83" t="e">
        <f>VLOOKUP(E3322,[1]Mapping!$A$3:$B$14,2,FALSE)</f>
        <v>#N/A</v>
      </c>
      <c r="J3322" s="84">
        <f t="shared" si="104"/>
        <v>0</v>
      </c>
      <c r="K3322" s="84">
        <f t="shared" si="105"/>
        <v>0</v>
      </c>
      <c r="L3322" s="61" t="e">
        <f>VLOOKUP(K3322,[1]Mapping!$J$3:$Q$351,8,FALSE)</f>
        <v>#N/A</v>
      </c>
      <c r="M3322" t="s">
        <v>83</v>
      </c>
    </row>
    <row r="3323" spans="5:13" hidden="1" x14ac:dyDescent="0.35">
      <c r="E3323" s="81"/>
      <c r="I3323" s="83" t="e">
        <f>VLOOKUP(E3323,[1]Mapping!$A$3:$B$14,2,FALSE)</f>
        <v>#N/A</v>
      </c>
      <c r="J3323" s="84">
        <f t="shared" si="104"/>
        <v>0</v>
      </c>
      <c r="K3323" s="84">
        <f t="shared" si="105"/>
        <v>0</v>
      </c>
      <c r="L3323" s="61" t="e">
        <f>VLOOKUP(K3323,[1]Mapping!$J$3:$Q$351,8,FALSE)</f>
        <v>#N/A</v>
      </c>
      <c r="M3323" t="s">
        <v>83</v>
      </c>
    </row>
    <row r="3324" spans="5:13" hidden="1" x14ac:dyDescent="0.35">
      <c r="E3324" s="81"/>
      <c r="I3324" s="83" t="e">
        <f>VLOOKUP(E3324,[1]Mapping!$A$3:$B$14,2,FALSE)</f>
        <v>#N/A</v>
      </c>
      <c r="J3324" s="84">
        <f t="shared" si="104"/>
        <v>0</v>
      </c>
      <c r="K3324" s="84">
        <f t="shared" si="105"/>
        <v>0</v>
      </c>
      <c r="L3324" s="61" t="e">
        <f>VLOOKUP(K3324,[1]Mapping!$J$3:$Q$351,8,FALSE)</f>
        <v>#N/A</v>
      </c>
      <c r="M3324" t="s">
        <v>83</v>
      </c>
    </row>
    <row r="3325" spans="5:13" hidden="1" x14ac:dyDescent="0.35">
      <c r="E3325" s="81"/>
      <c r="I3325" s="83" t="e">
        <f>VLOOKUP(E3325,[1]Mapping!$A$3:$B$14,2,FALSE)</f>
        <v>#N/A</v>
      </c>
      <c r="J3325" s="84">
        <f t="shared" si="104"/>
        <v>0</v>
      </c>
      <c r="K3325" s="84">
        <f t="shared" si="105"/>
        <v>0</v>
      </c>
      <c r="L3325" s="61" t="e">
        <f>VLOOKUP(K3325,[1]Mapping!$J$3:$Q$351,8,FALSE)</f>
        <v>#N/A</v>
      </c>
      <c r="M3325" t="s">
        <v>83</v>
      </c>
    </row>
    <row r="3326" spans="5:13" hidden="1" x14ac:dyDescent="0.35">
      <c r="E3326" s="81"/>
      <c r="I3326" s="83" t="e">
        <f>VLOOKUP(E3326,[1]Mapping!$A$3:$B$14,2,FALSE)</f>
        <v>#N/A</v>
      </c>
      <c r="J3326" s="84">
        <f t="shared" si="104"/>
        <v>0</v>
      </c>
      <c r="K3326" s="84">
        <f t="shared" si="105"/>
        <v>0</v>
      </c>
      <c r="L3326" s="61" t="e">
        <f>VLOOKUP(K3326,[1]Mapping!$J$3:$Q$351,8,FALSE)</f>
        <v>#N/A</v>
      </c>
      <c r="M3326" t="s">
        <v>83</v>
      </c>
    </row>
    <row r="3327" spans="5:13" hidden="1" x14ac:dyDescent="0.35">
      <c r="E3327" s="81"/>
      <c r="I3327" s="83" t="e">
        <f>VLOOKUP(E3327,[1]Mapping!$A$3:$B$14,2,FALSE)</f>
        <v>#N/A</v>
      </c>
      <c r="J3327" s="84">
        <f t="shared" si="104"/>
        <v>0</v>
      </c>
      <c r="K3327" s="84">
        <f t="shared" si="105"/>
        <v>0</v>
      </c>
      <c r="L3327" s="61" t="e">
        <f>VLOOKUP(K3327,[1]Mapping!$J$3:$Q$351,8,FALSE)</f>
        <v>#N/A</v>
      </c>
      <c r="M3327" t="s">
        <v>83</v>
      </c>
    </row>
    <row r="3328" spans="5:13" hidden="1" x14ac:dyDescent="0.35">
      <c r="E3328" s="81"/>
      <c r="I3328" s="83" t="e">
        <f>VLOOKUP(E3328,[1]Mapping!$A$3:$B$14,2,FALSE)</f>
        <v>#N/A</v>
      </c>
      <c r="J3328" s="84">
        <f t="shared" si="104"/>
        <v>0</v>
      </c>
      <c r="K3328" s="84">
        <f t="shared" si="105"/>
        <v>0</v>
      </c>
      <c r="L3328" s="61" t="e">
        <f>VLOOKUP(K3328,[1]Mapping!$J$3:$Q$351,8,FALSE)</f>
        <v>#N/A</v>
      </c>
      <c r="M3328" t="s">
        <v>83</v>
      </c>
    </row>
    <row r="3329" spans="5:13" hidden="1" x14ac:dyDescent="0.35">
      <c r="E3329" s="81"/>
      <c r="I3329" s="83" t="e">
        <f>VLOOKUP(E3329,[1]Mapping!$A$3:$B$14,2,FALSE)</f>
        <v>#N/A</v>
      </c>
      <c r="J3329" s="84">
        <f t="shared" si="104"/>
        <v>0</v>
      </c>
      <c r="K3329" s="84">
        <f t="shared" si="105"/>
        <v>0</v>
      </c>
      <c r="L3329" s="61" t="e">
        <f>VLOOKUP(K3329,[1]Mapping!$J$3:$Q$351,8,FALSE)</f>
        <v>#N/A</v>
      </c>
      <c r="M3329" t="s">
        <v>83</v>
      </c>
    </row>
    <row r="3330" spans="5:13" hidden="1" x14ac:dyDescent="0.35">
      <c r="E3330" s="81"/>
      <c r="I3330" s="83" t="e">
        <f>VLOOKUP(E3330,[1]Mapping!$A$3:$B$14,2,FALSE)</f>
        <v>#N/A</v>
      </c>
      <c r="J3330" s="84">
        <f t="shared" si="104"/>
        <v>0</v>
      </c>
      <c r="K3330" s="84">
        <f t="shared" si="105"/>
        <v>0</v>
      </c>
      <c r="L3330" s="61" t="e">
        <f>VLOOKUP(K3330,[1]Mapping!$J$3:$Q$351,8,FALSE)</f>
        <v>#N/A</v>
      </c>
      <c r="M3330" t="s">
        <v>83</v>
      </c>
    </row>
    <row r="3331" spans="5:13" hidden="1" x14ac:dyDescent="0.35">
      <c r="E3331" s="81"/>
      <c r="I3331" s="83" t="e">
        <f>VLOOKUP(E3331,[1]Mapping!$A$3:$B$14,2,FALSE)</f>
        <v>#N/A</v>
      </c>
      <c r="J3331" s="84">
        <f t="shared" si="104"/>
        <v>0</v>
      </c>
      <c r="K3331" s="84">
        <f t="shared" si="105"/>
        <v>0</v>
      </c>
      <c r="L3331" s="61" t="e">
        <f>VLOOKUP(K3331,[1]Mapping!$J$3:$Q$351,8,FALSE)</f>
        <v>#N/A</v>
      </c>
      <c r="M3331" t="s">
        <v>83</v>
      </c>
    </row>
    <row r="3332" spans="5:13" hidden="1" x14ac:dyDescent="0.35">
      <c r="E3332" s="81"/>
      <c r="I3332" s="83" t="e">
        <f>VLOOKUP(E3332,[1]Mapping!$A$3:$B$14,2,FALSE)</f>
        <v>#N/A</v>
      </c>
      <c r="J3332" s="84">
        <f t="shared" ref="J3332:J3395" si="106">VALUE(A3332)</f>
        <v>0</v>
      </c>
      <c r="K3332" s="84">
        <f t="shared" ref="K3332:K3395" si="107">VALUE(C3332)</f>
        <v>0</v>
      </c>
      <c r="L3332" s="61" t="e">
        <f>VLOOKUP(K3332,[1]Mapping!$J$3:$Q$351,8,FALSE)</f>
        <v>#N/A</v>
      </c>
      <c r="M3332" t="s">
        <v>83</v>
      </c>
    </row>
    <row r="3333" spans="5:13" hidden="1" x14ac:dyDescent="0.35">
      <c r="E3333" s="81"/>
      <c r="I3333" s="83" t="e">
        <f>VLOOKUP(E3333,[1]Mapping!$A$3:$B$14,2,FALSE)</f>
        <v>#N/A</v>
      </c>
      <c r="J3333" s="84">
        <f t="shared" si="106"/>
        <v>0</v>
      </c>
      <c r="K3333" s="84">
        <f t="shared" si="107"/>
        <v>0</v>
      </c>
      <c r="L3333" s="61" t="e">
        <f>VLOOKUP(K3333,[1]Mapping!$J$3:$Q$351,8,FALSE)</f>
        <v>#N/A</v>
      </c>
      <c r="M3333" t="s">
        <v>83</v>
      </c>
    </row>
    <row r="3334" spans="5:13" hidden="1" x14ac:dyDescent="0.35">
      <c r="E3334" s="81"/>
      <c r="I3334" s="83" t="e">
        <f>VLOOKUP(E3334,[1]Mapping!$A$3:$B$14,2,FALSE)</f>
        <v>#N/A</v>
      </c>
      <c r="J3334" s="84">
        <f t="shared" si="106"/>
        <v>0</v>
      </c>
      <c r="K3334" s="84">
        <f t="shared" si="107"/>
        <v>0</v>
      </c>
      <c r="L3334" s="61" t="e">
        <f>VLOOKUP(K3334,[1]Mapping!$J$3:$Q$351,8,FALSE)</f>
        <v>#N/A</v>
      </c>
      <c r="M3334" t="s">
        <v>83</v>
      </c>
    </row>
    <row r="3335" spans="5:13" hidden="1" x14ac:dyDescent="0.35">
      <c r="E3335" s="81"/>
      <c r="I3335" s="83" t="e">
        <f>VLOOKUP(E3335,[1]Mapping!$A$3:$B$14,2,FALSE)</f>
        <v>#N/A</v>
      </c>
      <c r="J3335" s="84">
        <f t="shared" si="106"/>
        <v>0</v>
      </c>
      <c r="K3335" s="84">
        <f t="shared" si="107"/>
        <v>0</v>
      </c>
      <c r="L3335" s="61" t="e">
        <f>VLOOKUP(K3335,[1]Mapping!$J$3:$Q$351,8,FALSE)</f>
        <v>#N/A</v>
      </c>
      <c r="M3335" t="s">
        <v>83</v>
      </c>
    </row>
    <row r="3336" spans="5:13" hidden="1" x14ac:dyDescent="0.35">
      <c r="E3336" s="81"/>
      <c r="I3336" s="83" t="e">
        <f>VLOOKUP(E3336,[1]Mapping!$A$3:$B$14,2,FALSE)</f>
        <v>#N/A</v>
      </c>
      <c r="J3336" s="84">
        <f t="shared" si="106"/>
        <v>0</v>
      </c>
      <c r="K3336" s="84">
        <f t="shared" si="107"/>
        <v>0</v>
      </c>
      <c r="L3336" s="61" t="e">
        <f>VLOOKUP(K3336,[1]Mapping!$J$3:$Q$351,8,FALSE)</f>
        <v>#N/A</v>
      </c>
      <c r="M3336" t="s">
        <v>83</v>
      </c>
    </row>
    <row r="3337" spans="5:13" hidden="1" x14ac:dyDescent="0.35">
      <c r="E3337" s="81"/>
      <c r="I3337" s="83" t="e">
        <f>VLOOKUP(E3337,[1]Mapping!$A$3:$B$14,2,FALSE)</f>
        <v>#N/A</v>
      </c>
      <c r="J3337" s="84">
        <f t="shared" si="106"/>
        <v>0</v>
      </c>
      <c r="K3337" s="84">
        <f t="shared" si="107"/>
        <v>0</v>
      </c>
      <c r="L3337" s="61" t="e">
        <f>VLOOKUP(K3337,[1]Mapping!$J$3:$Q$351,8,FALSE)</f>
        <v>#N/A</v>
      </c>
      <c r="M3337" t="s">
        <v>83</v>
      </c>
    </row>
    <row r="3338" spans="5:13" hidden="1" x14ac:dyDescent="0.35">
      <c r="E3338" s="81"/>
      <c r="I3338" s="83" t="e">
        <f>VLOOKUP(E3338,[1]Mapping!$A$3:$B$14,2,FALSE)</f>
        <v>#N/A</v>
      </c>
      <c r="J3338" s="84">
        <f t="shared" si="106"/>
        <v>0</v>
      </c>
      <c r="K3338" s="84">
        <f t="shared" si="107"/>
        <v>0</v>
      </c>
      <c r="L3338" s="61" t="e">
        <f>VLOOKUP(K3338,[1]Mapping!$J$3:$Q$351,8,FALSE)</f>
        <v>#N/A</v>
      </c>
      <c r="M3338" t="s">
        <v>83</v>
      </c>
    </row>
    <row r="3339" spans="5:13" hidden="1" x14ac:dyDescent="0.35">
      <c r="E3339" s="81"/>
      <c r="I3339" s="83" t="e">
        <f>VLOOKUP(E3339,[1]Mapping!$A$3:$B$14,2,FALSE)</f>
        <v>#N/A</v>
      </c>
      <c r="J3339" s="84">
        <f t="shared" si="106"/>
        <v>0</v>
      </c>
      <c r="K3339" s="84">
        <f t="shared" si="107"/>
        <v>0</v>
      </c>
      <c r="L3339" s="61" t="e">
        <f>VLOOKUP(K3339,[1]Mapping!$J$3:$Q$351,8,FALSE)</f>
        <v>#N/A</v>
      </c>
      <c r="M3339" t="s">
        <v>83</v>
      </c>
    </row>
    <row r="3340" spans="5:13" hidden="1" x14ac:dyDescent="0.35">
      <c r="E3340" s="81"/>
      <c r="I3340" s="83" t="e">
        <f>VLOOKUP(E3340,[1]Mapping!$A$3:$B$14,2,FALSE)</f>
        <v>#N/A</v>
      </c>
      <c r="J3340" s="84">
        <f t="shared" si="106"/>
        <v>0</v>
      </c>
      <c r="K3340" s="84">
        <f t="shared" si="107"/>
        <v>0</v>
      </c>
      <c r="L3340" s="61" t="e">
        <f>VLOOKUP(K3340,[1]Mapping!$J$3:$Q$351,8,FALSE)</f>
        <v>#N/A</v>
      </c>
      <c r="M3340" t="s">
        <v>83</v>
      </c>
    </row>
    <row r="3341" spans="5:13" hidden="1" x14ac:dyDescent="0.35">
      <c r="E3341" s="81"/>
      <c r="I3341" s="83" t="e">
        <f>VLOOKUP(E3341,[1]Mapping!$A$3:$B$14,2,FALSE)</f>
        <v>#N/A</v>
      </c>
      <c r="J3341" s="84">
        <f t="shared" si="106"/>
        <v>0</v>
      </c>
      <c r="K3341" s="84">
        <f t="shared" si="107"/>
        <v>0</v>
      </c>
      <c r="L3341" s="61" t="e">
        <f>VLOOKUP(K3341,[1]Mapping!$J$3:$Q$351,8,FALSE)</f>
        <v>#N/A</v>
      </c>
      <c r="M3341" t="s">
        <v>83</v>
      </c>
    </row>
    <row r="3342" spans="5:13" hidden="1" x14ac:dyDescent="0.35">
      <c r="E3342" s="81"/>
      <c r="I3342" s="83" t="e">
        <f>VLOOKUP(E3342,[1]Mapping!$A$3:$B$14,2,FALSE)</f>
        <v>#N/A</v>
      </c>
      <c r="J3342" s="84">
        <f t="shared" si="106"/>
        <v>0</v>
      </c>
      <c r="K3342" s="84">
        <f t="shared" si="107"/>
        <v>0</v>
      </c>
      <c r="L3342" s="61" t="e">
        <f>VLOOKUP(K3342,[1]Mapping!$J$3:$Q$351,8,FALSE)</f>
        <v>#N/A</v>
      </c>
      <c r="M3342" t="s">
        <v>83</v>
      </c>
    </row>
    <row r="3343" spans="5:13" hidden="1" x14ac:dyDescent="0.35">
      <c r="E3343" s="81"/>
      <c r="I3343" s="83" t="e">
        <f>VLOOKUP(E3343,[1]Mapping!$A$3:$B$14,2,FALSE)</f>
        <v>#N/A</v>
      </c>
      <c r="J3343" s="84">
        <f t="shared" si="106"/>
        <v>0</v>
      </c>
      <c r="K3343" s="84">
        <f t="shared" si="107"/>
        <v>0</v>
      </c>
      <c r="L3343" s="61" t="e">
        <f>VLOOKUP(K3343,[1]Mapping!$J$3:$Q$351,8,FALSE)</f>
        <v>#N/A</v>
      </c>
      <c r="M3343" t="s">
        <v>83</v>
      </c>
    </row>
    <row r="3344" spans="5:13" hidden="1" x14ac:dyDescent="0.35">
      <c r="E3344" s="81"/>
      <c r="I3344" s="83" t="e">
        <f>VLOOKUP(E3344,[1]Mapping!$A$3:$B$14,2,FALSE)</f>
        <v>#N/A</v>
      </c>
      <c r="J3344" s="84">
        <f t="shared" si="106"/>
        <v>0</v>
      </c>
      <c r="K3344" s="84">
        <f t="shared" si="107"/>
        <v>0</v>
      </c>
      <c r="L3344" s="61" t="e">
        <f>VLOOKUP(K3344,[1]Mapping!$J$3:$Q$351,8,FALSE)</f>
        <v>#N/A</v>
      </c>
      <c r="M3344" t="s">
        <v>83</v>
      </c>
    </row>
    <row r="3345" spans="5:13" hidden="1" x14ac:dyDescent="0.35">
      <c r="E3345" s="81"/>
      <c r="I3345" s="83" t="e">
        <f>VLOOKUP(E3345,[1]Mapping!$A$3:$B$14,2,FALSE)</f>
        <v>#N/A</v>
      </c>
      <c r="J3345" s="84">
        <f t="shared" si="106"/>
        <v>0</v>
      </c>
      <c r="K3345" s="84">
        <f t="shared" si="107"/>
        <v>0</v>
      </c>
      <c r="L3345" s="61" t="e">
        <f>VLOOKUP(K3345,[1]Mapping!$J$3:$Q$351,8,FALSE)</f>
        <v>#N/A</v>
      </c>
      <c r="M3345" t="s">
        <v>83</v>
      </c>
    </row>
    <row r="3346" spans="5:13" hidden="1" x14ac:dyDescent="0.35">
      <c r="E3346" s="81"/>
      <c r="I3346" s="83" t="e">
        <f>VLOOKUP(E3346,[1]Mapping!$A$3:$B$14,2,FALSE)</f>
        <v>#N/A</v>
      </c>
      <c r="J3346" s="84">
        <f t="shared" si="106"/>
        <v>0</v>
      </c>
      <c r="K3346" s="84">
        <f t="shared" si="107"/>
        <v>0</v>
      </c>
      <c r="L3346" s="61" t="e">
        <f>VLOOKUP(K3346,[1]Mapping!$J$3:$Q$351,8,FALSE)</f>
        <v>#N/A</v>
      </c>
      <c r="M3346" t="s">
        <v>83</v>
      </c>
    </row>
    <row r="3347" spans="5:13" hidden="1" x14ac:dyDescent="0.35">
      <c r="E3347" s="81"/>
      <c r="I3347" s="83" t="e">
        <f>VLOOKUP(E3347,[1]Mapping!$A$3:$B$14,2,FALSE)</f>
        <v>#N/A</v>
      </c>
      <c r="J3347" s="84">
        <f t="shared" si="106"/>
        <v>0</v>
      </c>
      <c r="K3347" s="84">
        <f t="shared" si="107"/>
        <v>0</v>
      </c>
      <c r="L3347" s="61" t="e">
        <f>VLOOKUP(K3347,[1]Mapping!$J$3:$Q$351,8,FALSE)</f>
        <v>#N/A</v>
      </c>
      <c r="M3347" t="s">
        <v>83</v>
      </c>
    </row>
    <row r="3348" spans="5:13" hidden="1" x14ac:dyDescent="0.35">
      <c r="E3348" s="81"/>
      <c r="I3348" s="83" t="e">
        <f>VLOOKUP(E3348,[1]Mapping!$A$3:$B$14,2,FALSE)</f>
        <v>#N/A</v>
      </c>
      <c r="J3348" s="84">
        <f t="shared" si="106"/>
        <v>0</v>
      </c>
      <c r="K3348" s="84">
        <f t="shared" si="107"/>
        <v>0</v>
      </c>
      <c r="L3348" s="61" t="e">
        <f>VLOOKUP(K3348,[1]Mapping!$J$3:$Q$351,8,FALSE)</f>
        <v>#N/A</v>
      </c>
      <c r="M3348" t="s">
        <v>83</v>
      </c>
    </row>
    <row r="3349" spans="5:13" hidden="1" x14ac:dyDescent="0.35">
      <c r="E3349" s="81"/>
      <c r="I3349" s="83" t="e">
        <f>VLOOKUP(E3349,[1]Mapping!$A$3:$B$14,2,FALSE)</f>
        <v>#N/A</v>
      </c>
      <c r="J3349" s="84">
        <f t="shared" si="106"/>
        <v>0</v>
      </c>
      <c r="K3349" s="84">
        <f t="shared" si="107"/>
        <v>0</v>
      </c>
      <c r="L3349" s="61" t="e">
        <f>VLOOKUP(K3349,[1]Mapping!$J$3:$Q$351,8,FALSE)</f>
        <v>#N/A</v>
      </c>
      <c r="M3349" t="s">
        <v>83</v>
      </c>
    </row>
    <row r="3350" spans="5:13" hidden="1" x14ac:dyDescent="0.35">
      <c r="E3350" s="81"/>
      <c r="I3350" s="83" t="e">
        <f>VLOOKUP(E3350,[1]Mapping!$A$3:$B$14,2,FALSE)</f>
        <v>#N/A</v>
      </c>
      <c r="J3350" s="84">
        <f t="shared" si="106"/>
        <v>0</v>
      </c>
      <c r="K3350" s="84">
        <f t="shared" si="107"/>
        <v>0</v>
      </c>
      <c r="L3350" s="61" t="e">
        <f>VLOOKUP(K3350,[1]Mapping!$J$3:$Q$351,8,FALSE)</f>
        <v>#N/A</v>
      </c>
      <c r="M3350" t="s">
        <v>83</v>
      </c>
    </row>
    <row r="3351" spans="5:13" hidden="1" x14ac:dyDescent="0.35">
      <c r="E3351" s="81"/>
      <c r="I3351" s="83" t="e">
        <f>VLOOKUP(E3351,[1]Mapping!$A$3:$B$14,2,FALSE)</f>
        <v>#N/A</v>
      </c>
      <c r="J3351" s="84">
        <f t="shared" si="106"/>
        <v>0</v>
      </c>
      <c r="K3351" s="84">
        <f t="shared" si="107"/>
        <v>0</v>
      </c>
      <c r="L3351" s="61" t="e">
        <f>VLOOKUP(K3351,[1]Mapping!$J$3:$Q$351,8,FALSE)</f>
        <v>#N/A</v>
      </c>
      <c r="M3351" t="s">
        <v>83</v>
      </c>
    </row>
    <row r="3352" spans="5:13" hidden="1" x14ac:dyDescent="0.35">
      <c r="E3352" s="81"/>
      <c r="I3352" s="83" t="e">
        <f>VLOOKUP(E3352,[1]Mapping!$A$3:$B$14,2,FALSE)</f>
        <v>#N/A</v>
      </c>
      <c r="J3352" s="84">
        <f t="shared" si="106"/>
        <v>0</v>
      </c>
      <c r="K3352" s="84">
        <f t="shared" si="107"/>
        <v>0</v>
      </c>
      <c r="L3352" s="61" t="e">
        <f>VLOOKUP(K3352,[1]Mapping!$J$3:$Q$351,8,FALSE)</f>
        <v>#N/A</v>
      </c>
      <c r="M3352" t="s">
        <v>83</v>
      </c>
    </row>
    <row r="3353" spans="5:13" hidden="1" x14ac:dyDescent="0.35">
      <c r="E3353" s="81"/>
      <c r="I3353" s="83" t="e">
        <f>VLOOKUP(E3353,[1]Mapping!$A$3:$B$14,2,FALSE)</f>
        <v>#N/A</v>
      </c>
      <c r="J3353" s="84">
        <f t="shared" si="106"/>
        <v>0</v>
      </c>
      <c r="K3353" s="84">
        <f t="shared" si="107"/>
        <v>0</v>
      </c>
      <c r="L3353" s="61" t="e">
        <f>VLOOKUP(K3353,[1]Mapping!$J$3:$Q$351,8,FALSE)</f>
        <v>#N/A</v>
      </c>
      <c r="M3353" t="s">
        <v>83</v>
      </c>
    </row>
    <row r="3354" spans="5:13" hidden="1" x14ac:dyDescent="0.35">
      <c r="E3354" s="81"/>
      <c r="I3354" s="83" t="e">
        <f>VLOOKUP(E3354,[1]Mapping!$A$3:$B$14,2,FALSE)</f>
        <v>#N/A</v>
      </c>
      <c r="J3354" s="84">
        <f t="shared" si="106"/>
        <v>0</v>
      </c>
      <c r="K3354" s="84">
        <f t="shared" si="107"/>
        <v>0</v>
      </c>
      <c r="L3354" s="61" t="e">
        <f>VLOOKUP(K3354,[1]Mapping!$J$3:$Q$351,8,FALSE)</f>
        <v>#N/A</v>
      </c>
      <c r="M3354" t="s">
        <v>83</v>
      </c>
    </row>
    <row r="3355" spans="5:13" hidden="1" x14ac:dyDescent="0.35">
      <c r="E3355" s="81"/>
      <c r="I3355" s="83" t="e">
        <f>VLOOKUP(E3355,[1]Mapping!$A$3:$B$14,2,FALSE)</f>
        <v>#N/A</v>
      </c>
      <c r="J3355" s="84">
        <f t="shared" si="106"/>
        <v>0</v>
      </c>
      <c r="K3355" s="84">
        <f t="shared" si="107"/>
        <v>0</v>
      </c>
      <c r="L3355" s="61" t="e">
        <f>VLOOKUP(K3355,[1]Mapping!$J$3:$Q$351,8,FALSE)</f>
        <v>#N/A</v>
      </c>
      <c r="M3355" t="s">
        <v>83</v>
      </c>
    </row>
    <row r="3356" spans="5:13" hidden="1" x14ac:dyDescent="0.35">
      <c r="E3356" s="81"/>
      <c r="I3356" s="83" t="e">
        <f>VLOOKUP(E3356,[1]Mapping!$A$3:$B$14,2,FALSE)</f>
        <v>#N/A</v>
      </c>
      <c r="J3356" s="84">
        <f t="shared" si="106"/>
        <v>0</v>
      </c>
      <c r="K3356" s="84">
        <f t="shared" si="107"/>
        <v>0</v>
      </c>
      <c r="L3356" s="61" t="e">
        <f>VLOOKUP(K3356,[1]Mapping!$J$3:$Q$351,8,FALSE)</f>
        <v>#N/A</v>
      </c>
      <c r="M3356" t="s">
        <v>83</v>
      </c>
    </row>
    <row r="3357" spans="5:13" hidden="1" x14ac:dyDescent="0.35">
      <c r="E3357" s="81"/>
      <c r="I3357" s="83" t="e">
        <f>VLOOKUP(E3357,[1]Mapping!$A$3:$B$14,2,FALSE)</f>
        <v>#N/A</v>
      </c>
      <c r="J3357" s="84">
        <f t="shared" si="106"/>
        <v>0</v>
      </c>
      <c r="K3357" s="84">
        <f t="shared" si="107"/>
        <v>0</v>
      </c>
      <c r="L3357" s="61" t="e">
        <f>VLOOKUP(K3357,[1]Mapping!$J$3:$Q$351,8,FALSE)</f>
        <v>#N/A</v>
      </c>
      <c r="M3357" t="s">
        <v>83</v>
      </c>
    </row>
    <row r="3358" spans="5:13" hidden="1" x14ac:dyDescent="0.35">
      <c r="E3358" s="81"/>
      <c r="I3358" s="83" t="e">
        <f>VLOOKUP(E3358,[1]Mapping!$A$3:$B$14,2,FALSE)</f>
        <v>#N/A</v>
      </c>
      <c r="J3358" s="84">
        <f t="shared" si="106"/>
        <v>0</v>
      </c>
      <c r="K3358" s="84">
        <f t="shared" si="107"/>
        <v>0</v>
      </c>
      <c r="L3358" s="61" t="e">
        <f>VLOOKUP(K3358,[1]Mapping!$J$3:$Q$351,8,FALSE)</f>
        <v>#N/A</v>
      </c>
      <c r="M3358" t="s">
        <v>83</v>
      </c>
    </row>
    <row r="3359" spans="5:13" hidden="1" x14ac:dyDescent="0.35">
      <c r="E3359" s="81"/>
      <c r="I3359" s="83" t="e">
        <f>VLOOKUP(E3359,[1]Mapping!$A$3:$B$14,2,FALSE)</f>
        <v>#N/A</v>
      </c>
      <c r="J3359" s="84">
        <f t="shared" si="106"/>
        <v>0</v>
      </c>
      <c r="K3359" s="84">
        <f t="shared" si="107"/>
        <v>0</v>
      </c>
      <c r="L3359" s="61" t="e">
        <f>VLOOKUP(K3359,[1]Mapping!$J$3:$Q$351,8,FALSE)</f>
        <v>#N/A</v>
      </c>
      <c r="M3359" t="s">
        <v>83</v>
      </c>
    </row>
    <row r="3360" spans="5:13" hidden="1" x14ac:dyDescent="0.35">
      <c r="E3360" s="81"/>
      <c r="I3360" s="83" t="e">
        <f>VLOOKUP(E3360,[1]Mapping!$A$3:$B$14,2,FALSE)</f>
        <v>#N/A</v>
      </c>
      <c r="J3360" s="84">
        <f t="shared" si="106"/>
        <v>0</v>
      </c>
      <c r="K3360" s="84">
        <f t="shared" si="107"/>
        <v>0</v>
      </c>
      <c r="L3360" s="61" t="e">
        <f>VLOOKUP(K3360,[1]Mapping!$J$3:$Q$351,8,FALSE)</f>
        <v>#N/A</v>
      </c>
      <c r="M3360" t="s">
        <v>83</v>
      </c>
    </row>
    <row r="3361" spans="5:13" hidden="1" x14ac:dyDescent="0.35">
      <c r="E3361" s="81"/>
      <c r="I3361" s="83" t="e">
        <f>VLOOKUP(E3361,[1]Mapping!$A$3:$B$14,2,FALSE)</f>
        <v>#N/A</v>
      </c>
      <c r="J3361" s="84">
        <f t="shared" si="106"/>
        <v>0</v>
      </c>
      <c r="K3361" s="84">
        <f t="shared" si="107"/>
        <v>0</v>
      </c>
      <c r="L3361" s="61" t="e">
        <f>VLOOKUP(K3361,[1]Mapping!$J$3:$Q$351,8,FALSE)</f>
        <v>#N/A</v>
      </c>
      <c r="M3361" t="s">
        <v>83</v>
      </c>
    </row>
    <row r="3362" spans="5:13" hidden="1" x14ac:dyDescent="0.35">
      <c r="E3362" s="81"/>
      <c r="I3362" s="83" t="e">
        <f>VLOOKUP(E3362,[1]Mapping!$A$3:$B$14,2,FALSE)</f>
        <v>#N/A</v>
      </c>
      <c r="J3362" s="84">
        <f t="shared" si="106"/>
        <v>0</v>
      </c>
      <c r="K3362" s="84">
        <f t="shared" si="107"/>
        <v>0</v>
      </c>
      <c r="L3362" s="61" t="e">
        <f>VLOOKUP(K3362,[1]Mapping!$J$3:$Q$351,8,FALSE)</f>
        <v>#N/A</v>
      </c>
      <c r="M3362" t="s">
        <v>83</v>
      </c>
    </row>
    <row r="3363" spans="5:13" hidden="1" x14ac:dyDescent="0.35">
      <c r="E3363" s="81"/>
      <c r="I3363" s="83" t="e">
        <f>VLOOKUP(E3363,[1]Mapping!$A$3:$B$14,2,FALSE)</f>
        <v>#N/A</v>
      </c>
      <c r="J3363" s="84">
        <f t="shared" si="106"/>
        <v>0</v>
      </c>
      <c r="K3363" s="84">
        <f t="shared" si="107"/>
        <v>0</v>
      </c>
      <c r="L3363" s="61" t="e">
        <f>VLOOKUP(K3363,[1]Mapping!$J$3:$Q$351,8,FALSE)</f>
        <v>#N/A</v>
      </c>
      <c r="M3363" t="s">
        <v>83</v>
      </c>
    </row>
    <row r="3364" spans="5:13" hidden="1" x14ac:dyDescent="0.35">
      <c r="E3364" s="81"/>
      <c r="I3364" s="83" t="e">
        <f>VLOOKUP(E3364,[1]Mapping!$A$3:$B$14,2,FALSE)</f>
        <v>#N/A</v>
      </c>
      <c r="J3364" s="84">
        <f t="shared" si="106"/>
        <v>0</v>
      </c>
      <c r="K3364" s="84">
        <f t="shared" si="107"/>
        <v>0</v>
      </c>
      <c r="L3364" s="61" t="e">
        <f>VLOOKUP(K3364,[1]Mapping!$J$3:$Q$351,8,FALSE)</f>
        <v>#N/A</v>
      </c>
      <c r="M3364" t="s">
        <v>83</v>
      </c>
    </row>
    <row r="3365" spans="5:13" hidden="1" x14ac:dyDescent="0.35">
      <c r="E3365" s="81"/>
      <c r="I3365" s="83" t="e">
        <f>VLOOKUP(E3365,[1]Mapping!$A$3:$B$14,2,FALSE)</f>
        <v>#N/A</v>
      </c>
      <c r="J3365" s="84">
        <f t="shared" si="106"/>
        <v>0</v>
      </c>
      <c r="K3365" s="84">
        <f t="shared" si="107"/>
        <v>0</v>
      </c>
      <c r="L3365" s="61" t="e">
        <f>VLOOKUP(K3365,[1]Mapping!$J$3:$Q$351,8,FALSE)</f>
        <v>#N/A</v>
      </c>
      <c r="M3365" t="s">
        <v>83</v>
      </c>
    </row>
    <row r="3366" spans="5:13" hidden="1" x14ac:dyDescent="0.35">
      <c r="E3366" s="81"/>
      <c r="I3366" s="83" t="e">
        <f>VLOOKUP(E3366,[1]Mapping!$A$3:$B$14,2,FALSE)</f>
        <v>#N/A</v>
      </c>
      <c r="J3366" s="84">
        <f t="shared" si="106"/>
        <v>0</v>
      </c>
      <c r="K3366" s="84">
        <f t="shared" si="107"/>
        <v>0</v>
      </c>
      <c r="L3366" s="61" t="e">
        <f>VLOOKUP(K3366,[1]Mapping!$J$3:$Q$351,8,FALSE)</f>
        <v>#N/A</v>
      </c>
      <c r="M3366" t="s">
        <v>83</v>
      </c>
    </row>
    <row r="3367" spans="5:13" hidden="1" x14ac:dyDescent="0.35">
      <c r="E3367" s="81"/>
      <c r="I3367" s="83" t="e">
        <f>VLOOKUP(E3367,[1]Mapping!$A$3:$B$14,2,FALSE)</f>
        <v>#N/A</v>
      </c>
      <c r="J3367" s="84">
        <f t="shared" si="106"/>
        <v>0</v>
      </c>
      <c r="K3367" s="84">
        <f t="shared" si="107"/>
        <v>0</v>
      </c>
      <c r="L3367" s="61" t="e">
        <f>VLOOKUP(K3367,[1]Mapping!$J$3:$Q$351,8,FALSE)</f>
        <v>#N/A</v>
      </c>
      <c r="M3367" t="s">
        <v>83</v>
      </c>
    </row>
    <row r="3368" spans="5:13" hidden="1" x14ac:dyDescent="0.35">
      <c r="E3368" s="81"/>
      <c r="I3368" s="83" t="e">
        <f>VLOOKUP(E3368,[1]Mapping!$A$3:$B$14,2,FALSE)</f>
        <v>#N/A</v>
      </c>
      <c r="J3368" s="84">
        <f t="shared" si="106"/>
        <v>0</v>
      </c>
      <c r="K3368" s="84">
        <f t="shared" si="107"/>
        <v>0</v>
      </c>
      <c r="L3368" s="61" t="e">
        <f>VLOOKUP(K3368,[1]Mapping!$J$3:$Q$351,8,FALSE)</f>
        <v>#N/A</v>
      </c>
      <c r="M3368" t="s">
        <v>83</v>
      </c>
    </row>
    <row r="3369" spans="5:13" hidden="1" x14ac:dyDescent="0.35">
      <c r="E3369" s="81"/>
      <c r="I3369" s="83" t="e">
        <f>VLOOKUP(E3369,[1]Mapping!$A$3:$B$14,2,FALSE)</f>
        <v>#N/A</v>
      </c>
      <c r="J3369" s="84">
        <f t="shared" si="106"/>
        <v>0</v>
      </c>
      <c r="K3369" s="84">
        <f t="shared" si="107"/>
        <v>0</v>
      </c>
      <c r="L3369" s="61" t="e">
        <f>VLOOKUP(K3369,[1]Mapping!$J$3:$Q$351,8,FALSE)</f>
        <v>#N/A</v>
      </c>
      <c r="M3369" t="s">
        <v>83</v>
      </c>
    </row>
    <row r="3370" spans="5:13" hidden="1" x14ac:dyDescent="0.35">
      <c r="E3370" s="81"/>
      <c r="I3370" s="83" t="e">
        <f>VLOOKUP(E3370,[1]Mapping!$A$3:$B$14,2,FALSE)</f>
        <v>#N/A</v>
      </c>
      <c r="J3370" s="84">
        <f t="shared" si="106"/>
        <v>0</v>
      </c>
      <c r="K3370" s="84">
        <f t="shared" si="107"/>
        <v>0</v>
      </c>
      <c r="L3370" s="61" t="e">
        <f>VLOOKUP(K3370,[1]Mapping!$J$3:$Q$351,8,FALSE)</f>
        <v>#N/A</v>
      </c>
      <c r="M3370" t="s">
        <v>83</v>
      </c>
    </row>
    <row r="3371" spans="5:13" hidden="1" x14ac:dyDescent="0.35">
      <c r="E3371" s="81"/>
      <c r="I3371" s="83" t="e">
        <f>VLOOKUP(E3371,[1]Mapping!$A$3:$B$14,2,FALSE)</f>
        <v>#N/A</v>
      </c>
      <c r="J3371" s="84">
        <f t="shared" si="106"/>
        <v>0</v>
      </c>
      <c r="K3371" s="84">
        <f t="shared" si="107"/>
        <v>0</v>
      </c>
      <c r="L3371" s="61" t="e">
        <f>VLOOKUP(K3371,[1]Mapping!$J$3:$Q$351,8,FALSE)</f>
        <v>#N/A</v>
      </c>
      <c r="M3371" t="s">
        <v>83</v>
      </c>
    </row>
    <row r="3372" spans="5:13" hidden="1" x14ac:dyDescent="0.35">
      <c r="E3372" s="81"/>
      <c r="I3372" s="83" t="e">
        <f>VLOOKUP(E3372,[1]Mapping!$A$3:$B$14,2,FALSE)</f>
        <v>#N/A</v>
      </c>
      <c r="J3372" s="84">
        <f t="shared" si="106"/>
        <v>0</v>
      </c>
      <c r="K3372" s="84">
        <f t="shared" si="107"/>
        <v>0</v>
      </c>
      <c r="L3372" s="61" t="e">
        <f>VLOOKUP(K3372,[1]Mapping!$J$3:$Q$351,8,FALSE)</f>
        <v>#N/A</v>
      </c>
      <c r="M3372" t="s">
        <v>83</v>
      </c>
    </row>
    <row r="3373" spans="5:13" hidden="1" x14ac:dyDescent="0.35">
      <c r="E3373" s="81"/>
      <c r="I3373" s="83" t="e">
        <f>VLOOKUP(E3373,[1]Mapping!$A$3:$B$14,2,FALSE)</f>
        <v>#N/A</v>
      </c>
      <c r="J3373" s="84">
        <f t="shared" si="106"/>
        <v>0</v>
      </c>
      <c r="K3373" s="84">
        <f t="shared" si="107"/>
        <v>0</v>
      </c>
      <c r="L3373" s="61" t="e">
        <f>VLOOKUP(K3373,[1]Mapping!$J$3:$Q$351,8,FALSE)</f>
        <v>#N/A</v>
      </c>
      <c r="M3373" t="s">
        <v>83</v>
      </c>
    </row>
    <row r="3374" spans="5:13" hidden="1" x14ac:dyDescent="0.35">
      <c r="E3374" s="81"/>
      <c r="I3374" s="83" t="e">
        <f>VLOOKUP(E3374,[1]Mapping!$A$3:$B$14,2,FALSE)</f>
        <v>#N/A</v>
      </c>
      <c r="J3374" s="84">
        <f t="shared" si="106"/>
        <v>0</v>
      </c>
      <c r="K3374" s="84">
        <f t="shared" si="107"/>
        <v>0</v>
      </c>
      <c r="L3374" s="61" t="e">
        <f>VLOOKUP(K3374,[1]Mapping!$J$3:$Q$351,8,FALSE)</f>
        <v>#N/A</v>
      </c>
      <c r="M3374" t="s">
        <v>83</v>
      </c>
    </row>
    <row r="3375" spans="5:13" hidden="1" x14ac:dyDescent="0.35">
      <c r="E3375" s="81"/>
      <c r="I3375" s="83" t="e">
        <f>VLOOKUP(E3375,[1]Mapping!$A$3:$B$14,2,FALSE)</f>
        <v>#N/A</v>
      </c>
      <c r="J3375" s="84">
        <f t="shared" si="106"/>
        <v>0</v>
      </c>
      <c r="K3375" s="84">
        <f t="shared" si="107"/>
        <v>0</v>
      </c>
      <c r="L3375" s="61" t="e">
        <f>VLOOKUP(K3375,[1]Mapping!$J$3:$Q$351,8,FALSE)</f>
        <v>#N/A</v>
      </c>
      <c r="M3375" t="s">
        <v>83</v>
      </c>
    </row>
    <row r="3376" spans="5:13" hidden="1" x14ac:dyDescent="0.35">
      <c r="E3376" s="81"/>
      <c r="I3376" s="83" t="e">
        <f>VLOOKUP(E3376,[1]Mapping!$A$3:$B$14,2,FALSE)</f>
        <v>#N/A</v>
      </c>
      <c r="J3376" s="84">
        <f t="shared" si="106"/>
        <v>0</v>
      </c>
      <c r="K3376" s="84">
        <f t="shared" si="107"/>
        <v>0</v>
      </c>
      <c r="L3376" s="61" t="e">
        <f>VLOOKUP(K3376,[1]Mapping!$J$3:$Q$351,8,FALSE)</f>
        <v>#N/A</v>
      </c>
      <c r="M3376" t="s">
        <v>83</v>
      </c>
    </row>
    <row r="3377" spans="5:13" hidden="1" x14ac:dyDescent="0.35">
      <c r="E3377" s="81"/>
      <c r="I3377" s="83" t="e">
        <f>VLOOKUP(E3377,[1]Mapping!$A$3:$B$14,2,FALSE)</f>
        <v>#N/A</v>
      </c>
      <c r="J3377" s="84">
        <f t="shared" si="106"/>
        <v>0</v>
      </c>
      <c r="K3377" s="84">
        <f t="shared" si="107"/>
        <v>0</v>
      </c>
      <c r="L3377" s="61" t="e">
        <f>VLOOKUP(K3377,[1]Mapping!$J$3:$Q$351,8,FALSE)</f>
        <v>#N/A</v>
      </c>
      <c r="M3377" t="s">
        <v>83</v>
      </c>
    </row>
    <row r="3378" spans="5:13" hidden="1" x14ac:dyDescent="0.35">
      <c r="E3378" s="81"/>
      <c r="I3378" s="83" t="e">
        <f>VLOOKUP(E3378,[1]Mapping!$A$3:$B$14,2,FALSE)</f>
        <v>#N/A</v>
      </c>
      <c r="J3378" s="84">
        <f t="shared" si="106"/>
        <v>0</v>
      </c>
      <c r="K3378" s="84">
        <f t="shared" si="107"/>
        <v>0</v>
      </c>
      <c r="L3378" s="61" t="e">
        <f>VLOOKUP(K3378,[1]Mapping!$J$3:$Q$351,8,FALSE)</f>
        <v>#N/A</v>
      </c>
      <c r="M3378" t="s">
        <v>83</v>
      </c>
    </row>
    <row r="3379" spans="5:13" hidden="1" x14ac:dyDescent="0.35">
      <c r="E3379" s="81"/>
      <c r="I3379" s="83" t="e">
        <f>VLOOKUP(E3379,[1]Mapping!$A$3:$B$14,2,FALSE)</f>
        <v>#N/A</v>
      </c>
      <c r="J3379" s="84">
        <f t="shared" si="106"/>
        <v>0</v>
      </c>
      <c r="K3379" s="84">
        <f t="shared" si="107"/>
        <v>0</v>
      </c>
      <c r="L3379" s="61" t="e">
        <f>VLOOKUP(K3379,[1]Mapping!$J$3:$Q$351,8,FALSE)</f>
        <v>#N/A</v>
      </c>
      <c r="M3379" t="s">
        <v>83</v>
      </c>
    </row>
    <row r="3380" spans="5:13" hidden="1" x14ac:dyDescent="0.35">
      <c r="E3380" s="81"/>
      <c r="I3380" s="83" t="e">
        <f>VLOOKUP(E3380,[1]Mapping!$A$3:$B$14,2,FALSE)</f>
        <v>#N/A</v>
      </c>
      <c r="J3380" s="84">
        <f t="shared" si="106"/>
        <v>0</v>
      </c>
      <c r="K3380" s="84">
        <f t="shared" si="107"/>
        <v>0</v>
      </c>
      <c r="L3380" s="61" t="e">
        <f>VLOOKUP(K3380,[1]Mapping!$J$3:$Q$351,8,FALSE)</f>
        <v>#N/A</v>
      </c>
      <c r="M3380" t="s">
        <v>83</v>
      </c>
    </row>
    <row r="3381" spans="5:13" hidden="1" x14ac:dyDescent="0.35">
      <c r="E3381" s="81"/>
      <c r="I3381" s="83" t="e">
        <f>VLOOKUP(E3381,[1]Mapping!$A$3:$B$14,2,FALSE)</f>
        <v>#N/A</v>
      </c>
      <c r="J3381" s="84">
        <f t="shared" si="106"/>
        <v>0</v>
      </c>
      <c r="K3381" s="84">
        <f t="shared" si="107"/>
        <v>0</v>
      </c>
      <c r="L3381" s="61" t="e">
        <f>VLOOKUP(K3381,[1]Mapping!$J$3:$Q$351,8,FALSE)</f>
        <v>#N/A</v>
      </c>
      <c r="M3381" t="s">
        <v>83</v>
      </c>
    </row>
    <row r="3382" spans="5:13" hidden="1" x14ac:dyDescent="0.35">
      <c r="E3382" s="81"/>
      <c r="I3382" s="83" t="e">
        <f>VLOOKUP(E3382,[1]Mapping!$A$3:$B$14,2,FALSE)</f>
        <v>#N/A</v>
      </c>
      <c r="J3382" s="84">
        <f t="shared" si="106"/>
        <v>0</v>
      </c>
      <c r="K3382" s="84">
        <f t="shared" si="107"/>
        <v>0</v>
      </c>
      <c r="L3382" s="61" t="e">
        <f>VLOOKUP(K3382,[1]Mapping!$J$3:$Q$351,8,FALSE)</f>
        <v>#N/A</v>
      </c>
      <c r="M3382" t="s">
        <v>83</v>
      </c>
    </row>
    <row r="3383" spans="5:13" hidden="1" x14ac:dyDescent="0.35">
      <c r="E3383" s="81"/>
      <c r="I3383" s="83" t="e">
        <f>VLOOKUP(E3383,[1]Mapping!$A$3:$B$14,2,FALSE)</f>
        <v>#N/A</v>
      </c>
      <c r="J3383" s="84">
        <f t="shared" si="106"/>
        <v>0</v>
      </c>
      <c r="K3383" s="84">
        <f t="shared" si="107"/>
        <v>0</v>
      </c>
      <c r="L3383" s="61" t="e">
        <f>VLOOKUP(K3383,[1]Mapping!$J$3:$Q$351,8,FALSE)</f>
        <v>#N/A</v>
      </c>
      <c r="M3383" t="s">
        <v>83</v>
      </c>
    </row>
    <row r="3384" spans="5:13" hidden="1" x14ac:dyDescent="0.35">
      <c r="E3384" s="81"/>
      <c r="I3384" s="83" t="e">
        <f>VLOOKUP(E3384,[1]Mapping!$A$3:$B$14,2,FALSE)</f>
        <v>#N/A</v>
      </c>
      <c r="J3384" s="84">
        <f t="shared" si="106"/>
        <v>0</v>
      </c>
      <c r="K3384" s="84">
        <f t="shared" si="107"/>
        <v>0</v>
      </c>
      <c r="L3384" s="61" t="e">
        <f>VLOOKUP(K3384,[1]Mapping!$J$3:$Q$351,8,FALSE)</f>
        <v>#N/A</v>
      </c>
      <c r="M3384" t="s">
        <v>83</v>
      </c>
    </row>
    <row r="3385" spans="5:13" hidden="1" x14ac:dyDescent="0.35">
      <c r="E3385" s="81"/>
      <c r="I3385" s="83" t="e">
        <f>VLOOKUP(E3385,[1]Mapping!$A$3:$B$14,2,FALSE)</f>
        <v>#N/A</v>
      </c>
      <c r="J3385" s="84">
        <f t="shared" si="106"/>
        <v>0</v>
      </c>
      <c r="K3385" s="84">
        <f t="shared" si="107"/>
        <v>0</v>
      </c>
      <c r="L3385" s="61" t="e">
        <f>VLOOKUP(K3385,[1]Mapping!$J$3:$Q$351,8,FALSE)</f>
        <v>#N/A</v>
      </c>
      <c r="M3385" t="s">
        <v>83</v>
      </c>
    </row>
    <row r="3386" spans="5:13" hidden="1" x14ac:dyDescent="0.35">
      <c r="E3386" s="81"/>
      <c r="I3386" s="83" t="e">
        <f>VLOOKUP(E3386,[1]Mapping!$A$3:$B$14,2,FALSE)</f>
        <v>#N/A</v>
      </c>
      <c r="J3386" s="84">
        <f t="shared" si="106"/>
        <v>0</v>
      </c>
      <c r="K3386" s="84">
        <f t="shared" si="107"/>
        <v>0</v>
      </c>
      <c r="L3386" s="61" t="e">
        <f>VLOOKUP(K3386,[1]Mapping!$J$3:$Q$351,8,FALSE)</f>
        <v>#N/A</v>
      </c>
      <c r="M3386" t="s">
        <v>83</v>
      </c>
    </row>
    <row r="3387" spans="5:13" hidden="1" x14ac:dyDescent="0.35">
      <c r="E3387" s="81"/>
      <c r="I3387" s="83" t="e">
        <f>VLOOKUP(E3387,[1]Mapping!$A$3:$B$14,2,FALSE)</f>
        <v>#N/A</v>
      </c>
      <c r="J3387" s="84">
        <f t="shared" si="106"/>
        <v>0</v>
      </c>
      <c r="K3387" s="84">
        <f t="shared" si="107"/>
        <v>0</v>
      </c>
      <c r="L3387" s="61" t="e">
        <f>VLOOKUP(K3387,[1]Mapping!$J$3:$Q$351,8,FALSE)</f>
        <v>#N/A</v>
      </c>
      <c r="M3387" t="s">
        <v>83</v>
      </c>
    </row>
    <row r="3388" spans="5:13" hidden="1" x14ac:dyDescent="0.35">
      <c r="E3388" s="81"/>
      <c r="I3388" s="83" t="e">
        <f>VLOOKUP(E3388,[1]Mapping!$A$3:$B$14,2,FALSE)</f>
        <v>#N/A</v>
      </c>
      <c r="J3388" s="84">
        <f t="shared" si="106"/>
        <v>0</v>
      </c>
      <c r="K3388" s="84">
        <f t="shared" si="107"/>
        <v>0</v>
      </c>
      <c r="L3388" s="61" t="e">
        <f>VLOOKUP(K3388,[1]Mapping!$J$3:$Q$351,8,FALSE)</f>
        <v>#N/A</v>
      </c>
      <c r="M3388" t="s">
        <v>83</v>
      </c>
    </row>
    <row r="3389" spans="5:13" hidden="1" x14ac:dyDescent="0.35">
      <c r="E3389" s="81"/>
      <c r="I3389" s="83" t="e">
        <f>VLOOKUP(E3389,[1]Mapping!$A$3:$B$14,2,FALSE)</f>
        <v>#N/A</v>
      </c>
      <c r="J3389" s="84">
        <f t="shared" si="106"/>
        <v>0</v>
      </c>
      <c r="K3389" s="84">
        <f t="shared" si="107"/>
        <v>0</v>
      </c>
      <c r="L3389" s="61" t="e">
        <f>VLOOKUP(K3389,[1]Mapping!$J$3:$Q$351,8,FALSE)</f>
        <v>#N/A</v>
      </c>
      <c r="M3389" t="s">
        <v>83</v>
      </c>
    </row>
    <row r="3390" spans="5:13" hidden="1" x14ac:dyDescent="0.35">
      <c r="E3390" s="81"/>
      <c r="I3390" s="83" t="e">
        <f>VLOOKUP(E3390,[1]Mapping!$A$3:$B$14,2,FALSE)</f>
        <v>#N/A</v>
      </c>
      <c r="J3390" s="84">
        <f t="shared" si="106"/>
        <v>0</v>
      </c>
      <c r="K3390" s="84">
        <f t="shared" si="107"/>
        <v>0</v>
      </c>
      <c r="L3390" s="61" t="e">
        <f>VLOOKUP(K3390,[1]Mapping!$J$3:$Q$351,8,FALSE)</f>
        <v>#N/A</v>
      </c>
      <c r="M3390" t="s">
        <v>83</v>
      </c>
    </row>
    <row r="3391" spans="5:13" hidden="1" x14ac:dyDescent="0.35">
      <c r="E3391" s="81"/>
      <c r="I3391" s="83" t="e">
        <f>VLOOKUP(E3391,[1]Mapping!$A$3:$B$14,2,FALSE)</f>
        <v>#N/A</v>
      </c>
      <c r="J3391" s="84">
        <f t="shared" si="106"/>
        <v>0</v>
      </c>
      <c r="K3391" s="84">
        <f t="shared" si="107"/>
        <v>0</v>
      </c>
      <c r="L3391" s="61" t="e">
        <f>VLOOKUP(K3391,[1]Mapping!$J$3:$Q$351,8,FALSE)</f>
        <v>#N/A</v>
      </c>
      <c r="M3391" t="s">
        <v>83</v>
      </c>
    </row>
    <row r="3392" spans="5:13" hidden="1" x14ac:dyDescent="0.35">
      <c r="E3392" s="81"/>
      <c r="I3392" s="83" t="e">
        <f>VLOOKUP(E3392,[1]Mapping!$A$3:$B$14,2,FALSE)</f>
        <v>#N/A</v>
      </c>
      <c r="J3392" s="84">
        <f t="shared" si="106"/>
        <v>0</v>
      </c>
      <c r="K3392" s="84">
        <f t="shared" si="107"/>
        <v>0</v>
      </c>
      <c r="L3392" s="61" t="e">
        <f>VLOOKUP(K3392,[1]Mapping!$J$3:$Q$351,8,FALSE)</f>
        <v>#N/A</v>
      </c>
      <c r="M3392" t="s">
        <v>83</v>
      </c>
    </row>
    <row r="3393" spans="5:13" hidden="1" x14ac:dyDescent="0.35">
      <c r="E3393" s="81"/>
      <c r="I3393" s="83" t="e">
        <f>VLOOKUP(E3393,[1]Mapping!$A$3:$B$14,2,FALSE)</f>
        <v>#N/A</v>
      </c>
      <c r="J3393" s="84">
        <f t="shared" si="106"/>
        <v>0</v>
      </c>
      <c r="K3393" s="84">
        <f t="shared" si="107"/>
        <v>0</v>
      </c>
      <c r="L3393" s="61" t="e">
        <f>VLOOKUP(K3393,[1]Mapping!$J$3:$Q$351,8,FALSE)</f>
        <v>#N/A</v>
      </c>
      <c r="M3393" t="s">
        <v>83</v>
      </c>
    </row>
    <row r="3394" spans="5:13" hidden="1" x14ac:dyDescent="0.35">
      <c r="E3394" s="81"/>
      <c r="I3394" s="83" t="e">
        <f>VLOOKUP(E3394,[1]Mapping!$A$3:$B$14,2,FALSE)</f>
        <v>#N/A</v>
      </c>
      <c r="J3394" s="84">
        <f t="shared" si="106"/>
        <v>0</v>
      </c>
      <c r="K3394" s="84">
        <f t="shared" si="107"/>
        <v>0</v>
      </c>
      <c r="L3394" s="61" t="e">
        <f>VLOOKUP(K3394,[1]Mapping!$J$3:$Q$351,8,FALSE)</f>
        <v>#N/A</v>
      </c>
      <c r="M3394" t="s">
        <v>83</v>
      </c>
    </row>
    <row r="3395" spans="5:13" hidden="1" x14ac:dyDescent="0.35">
      <c r="E3395" s="81"/>
      <c r="I3395" s="83" t="e">
        <f>VLOOKUP(E3395,[1]Mapping!$A$3:$B$14,2,FALSE)</f>
        <v>#N/A</v>
      </c>
      <c r="J3395" s="84">
        <f t="shared" si="106"/>
        <v>0</v>
      </c>
      <c r="K3395" s="84">
        <f t="shared" si="107"/>
        <v>0</v>
      </c>
      <c r="L3395" s="61" t="e">
        <f>VLOOKUP(K3395,[1]Mapping!$J$3:$Q$351,8,FALSE)</f>
        <v>#N/A</v>
      </c>
      <c r="M3395" t="s">
        <v>83</v>
      </c>
    </row>
    <row r="3396" spans="5:13" hidden="1" x14ac:dyDescent="0.35">
      <c r="E3396" s="81"/>
      <c r="I3396" s="83" t="e">
        <f>VLOOKUP(E3396,[1]Mapping!$A$3:$B$14,2,FALSE)</f>
        <v>#N/A</v>
      </c>
      <c r="J3396" s="84">
        <f t="shared" ref="J3396:J3459" si="108">VALUE(A3396)</f>
        <v>0</v>
      </c>
      <c r="K3396" s="84">
        <f t="shared" ref="K3396:K3459" si="109">VALUE(C3396)</f>
        <v>0</v>
      </c>
      <c r="L3396" s="61" t="e">
        <f>VLOOKUP(K3396,[1]Mapping!$J$3:$Q$351,8,FALSE)</f>
        <v>#N/A</v>
      </c>
      <c r="M3396" t="s">
        <v>83</v>
      </c>
    </row>
    <row r="3397" spans="5:13" hidden="1" x14ac:dyDescent="0.35">
      <c r="E3397" s="81"/>
      <c r="I3397" s="83" t="e">
        <f>VLOOKUP(E3397,[1]Mapping!$A$3:$B$14,2,FALSE)</f>
        <v>#N/A</v>
      </c>
      <c r="J3397" s="84">
        <f t="shared" si="108"/>
        <v>0</v>
      </c>
      <c r="K3397" s="84">
        <f t="shared" si="109"/>
        <v>0</v>
      </c>
      <c r="L3397" s="61" t="e">
        <f>VLOOKUP(K3397,[1]Mapping!$J$3:$Q$351,8,FALSE)</f>
        <v>#N/A</v>
      </c>
      <c r="M3397" t="s">
        <v>83</v>
      </c>
    </row>
    <row r="3398" spans="5:13" hidden="1" x14ac:dyDescent="0.35">
      <c r="E3398" s="81"/>
      <c r="I3398" s="83" t="e">
        <f>VLOOKUP(E3398,[1]Mapping!$A$3:$B$14,2,FALSE)</f>
        <v>#N/A</v>
      </c>
      <c r="J3398" s="84">
        <f t="shared" si="108"/>
        <v>0</v>
      </c>
      <c r="K3398" s="84">
        <f t="shared" si="109"/>
        <v>0</v>
      </c>
      <c r="L3398" s="61" t="e">
        <f>VLOOKUP(K3398,[1]Mapping!$J$3:$Q$351,8,FALSE)</f>
        <v>#N/A</v>
      </c>
      <c r="M3398" t="s">
        <v>83</v>
      </c>
    </row>
    <row r="3399" spans="5:13" hidden="1" x14ac:dyDescent="0.35">
      <c r="E3399" s="81"/>
      <c r="I3399" s="83" t="e">
        <f>VLOOKUP(E3399,[1]Mapping!$A$3:$B$14,2,FALSE)</f>
        <v>#N/A</v>
      </c>
      <c r="J3399" s="84">
        <f t="shared" si="108"/>
        <v>0</v>
      </c>
      <c r="K3399" s="84">
        <f t="shared" si="109"/>
        <v>0</v>
      </c>
      <c r="L3399" s="61" t="e">
        <f>VLOOKUP(K3399,[1]Mapping!$J$3:$Q$351,8,FALSE)</f>
        <v>#N/A</v>
      </c>
      <c r="M3399" t="s">
        <v>83</v>
      </c>
    </row>
    <row r="3400" spans="5:13" hidden="1" x14ac:dyDescent="0.35">
      <c r="E3400" s="81"/>
      <c r="I3400" s="83" t="e">
        <f>VLOOKUP(E3400,[1]Mapping!$A$3:$B$14,2,FALSE)</f>
        <v>#N/A</v>
      </c>
      <c r="J3400" s="84">
        <f t="shared" si="108"/>
        <v>0</v>
      </c>
      <c r="K3400" s="84">
        <f t="shared" si="109"/>
        <v>0</v>
      </c>
      <c r="L3400" s="61" t="e">
        <f>VLOOKUP(K3400,[1]Mapping!$J$3:$Q$351,8,FALSE)</f>
        <v>#N/A</v>
      </c>
      <c r="M3400" t="s">
        <v>83</v>
      </c>
    </row>
    <row r="3401" spans="5:13" hidden="1" x14ac:dyDescent="0.35">
      <c r="E3401" s="81"/>
      <c r="I3401" s="83" t="e">
        <f>VLOOKUP(E3401,[1]Mapping!$A$3:$B$14,2,FALSE)</f>
        <v>#N/A</v>
      </c>
      <c r="J3401" s="84">
        <f t="shared" si="108"/>
        <v>0</v>
      </c>
      <c r="K3401" s="84">
        <f t="shared" si="109"/>
        <v>0</v>
      </c>
      <c r="L3401" s="61" t="e">
        <f>VLOOKUP(K3401,[1]Mapping!$J$3:$Q$351,8,FALSE)</f>
        <v>#N/A</v>
      </c>
      <c r="M3401" t="s">
        <v>83</v>
      </c>
    </row>
    <row r="3402" spans="5:13" hidden="1" x14ac:dyDescent="0.35">
      <c r="E3402" s="81"/>
      <c r="I3402" s="83" t="e">
        <f>VLOOKUP(E3402,[1]Mapping!$A$3:$B$14,2,FALSE)</f>
        <v>#N/A</v>
      </c>
      <c r="J3402" s="84">
        <f t="shared" si="108"/>
        <v>0</v>
      </c>
      <c r="K3402" s="84">
        <f t="shared" si="109"/>
        <v>0</v>
      </c>
      <c r="L3402" s="61" t="e">
        <f>VLOOKUP(K3402,[1]Mapping!$J$3:$Q$351,8,FALSE)</f>
        <v>#N/A</v>
      </c>
      <c r="M3402" t="s">
        <v>83</v>
      </c>
    </row>
    <row r="3403" spans="5:13" hidden="1" x14ac:dyDescent="0.35">
      <c r="E3403" s="81"/>
      <c r="I3403" s="83" t="e">
        <f>VLOOKUP(E3403,[1]Mapping!$A$3:$B$14,2,FALSE)</f>
        <v>#N/A</v>
      </c>
      <c r="J3403" s="84">
        <f t="shared" si="108"/>
        <v>0</v>
      </c>
      <c r="K3403" s="84">
        <f t="shared" si="109"/>
        <v>0</v>
      </c>
      <c r="L3403" s="61" t="e">
        <f>VLOOKUP(K3403,[1]Mapping!$J$3:$Q$351,8,FALSE)</f>
        <v>#N/A</v>
      </c>
      <c r="M3403" t="s">
        <v>83</v>
      </c>
    </row>
    <row r="3404" spans="5:13" hidden="1" x14ac:dyDescent="0.35">
      <c r="E3404" s="81"/>
      <c r="I3404" s="83" t="e">
        <f>VLOOKUP(E3404,[1]Mapping!$A$3:$B$14,2,FALSE)</f>
        <v>#N/A</v>
      </c>
      <c r="J3404" s="84">
        <f t="shared" si="108"/>
        <v>0</v>
      </c>
      <c r="K3404" s="84">
        <f t="shared" si="109"/>
        <v>0</v>
      </c>
      <c r="L3404" s="61" t="e">
        <f>VLOOKUP(K3404,[1]Mapping!$J$3:$Q$351,8,FALSE)</f>
        <v>#N/A</v>
      </c>
      <c r="M3404" t="s">
        <v>83</v>
      </c>
    </row>
    <row r="3405" spans="5:13" hidden="1" x14ac:dyDescent="0.35">
      <c r="E3405" s="81"/>
      <c r="I3405" s="83" t="e">
        <f>VLOOKUP(E3405,[1]Mapping!$A$3:$B$14,2,FALSE)</f>
        <v>#N/A</v>
      </c>
      <c r="J3405" s="84">
        <f t="shared" si="108"/>
        <v>0</v>
      </c>
      <c r="K3405" s="84">
        <f t="shared" si="109"/>
        <v>0</v>
      </c>
      <c r="L3405" s="61" t="e">
        <f>VLOOKUP(K3405,[1]Mapping!$J$3:$Q$351,8,FALSE)</f>
        <v>#N/A</v>
      </c>
      <c r="M3405" t="s">
        <v>83</v>
      </c>
    </row>
    <row r="3406" spans="5:13" hidden="1" x14ac:dyDescent="0.35">
      <c r="E3406" s="81"/>
      <c r="I3406" s="83" t="e">
        <f>VLOOKUP(E3406,[1]Mapping!$A$3:$B$14,2,FALSE)</f>
        <v>#N/A</v>
      </c>
      <c r="J3406" s="84">
        <f t="shared" si="108"/>
        <v>0</v>
      </c>
      <c r="K3406" s="84">
        <f t="shared" si="109"/>
        <v>0</v>
      </c>
      <c r="L3406" s="61" t="e">
        <f>VLOOKUP(K3406,[1]Mapping!$J$3:$Q$351,8,FALSE)</f>
        <v>#N/A</v>
      </c>
      <c r="M3406" t="s">
        <v>83</v>
      </c>
    </row>
    <row r="3407" spans="5:13" hidden="1" x14ac:dyDescent="0.35">
      <c r="E3407" s="81"/>
      <c r="I3407" s="83" t="e">
        <f>VLOOKUP(E3407,[1]Mapping!$A$3:$B$14,2,FALSE)</f>
        <v>#N/A</v>
      </c>
      <c r="J3407" s="84">
        <f t="shared" si="108"/>
        <v>0</v>
      </c>
      <c r="K3407" s="84">
        <f t="shared" si="109"/>
        <v>0</v>
      </c>
      <c r="L3407" s="61" t="e">
        <f>VLOOKUP(K3407,[1]Mapping!$J$3:$Q$351,8,FALSE)</f>
        <v>#N/A</v>
      </c>
      <c r="M3407" t="s">
        <v>83</v>
      </c>
    </row>
    <row r="3408" spans="5:13" hidden="1" x14ac:dyDescent="0.35">
      <c r="E3408" s="81"/>
      <c r="I3408" s="83" t="e">
        <f>VLOOKUP(E3408,[1]Mapping!$A$3:$B$14,2,FALSE)</f>
        <v>#N/A</v>
      </c>
      <c r="J3408" s="84">
        <f t="shared" si="108"/>
        <v>0</v>
      </c>
      <c r="K3408" s="84">
        <f t="shared" si="109"/>
        <v>0</v>
      </c>
      <c r="L3408" s="61" t="e">
        <f>VLOOKUP(K3408,[1]Mapping!$J$3:$Q$351,8,FALSE)</f>
        <v>#N/A</v>
      </c>
      <c r="M3408" t="s">
        <v>83</v>
      </c>
    </row>
    <row r="3409" spans="5:13" hidden="1" x14ac:dyDescent="0.35">
      <c r="E3409" s="81"/>
      <c r="I3409" s="83" t="e">
        <f>VLOOKUP(E3409,[1]Mapping!$A$3:$B$14,2,FALSE)</f>
        <v>#N/A</v>
      </c>
      <c r="J3409" s="84">
        <f t="shared" si="108"/>
        <v>0</v>
      </c>
      <c r="K3409" s="84">
        <f t="shared" si="109"/>
        <v>0</v>
      </c>
      <c r="L3409" s="61" t="e">
        <f>VLOOKUP(K3409,[1]Mapping!$J$3:$Q$351,8,FALSE)</f>
        <v>#N/A</v>
      </c>
      <c r="M3409" t="s">
        <v>83</v>
      </c>
    </row>
    <row r="3410" spans="5:13" hidden="1" x14ac:dyDescent="0.35">
      <c r="E3410" s="81"/>
      <c r="I3410" s="83" t="e">
        <f>VLOOKUP(E3410,[1]Mapping!$A$3:$B$14,2,FALSE)</f>
        <v>#N/A</v>
      </c>
      <c r="J3410" s="84">
        <f t="shared" si="108"/>
        <v>0</v>
      </c>
      <c r="K3410" s="84">
        <f t="shared" si="109"/>
        <v>0</v>
      </c>
      <c r="L3410" s="61" t="e">
        <f>VLOOKUP(K3410,[1]Mapping!$J$3:$Q$351,8,FALSE)</f>
        <v>#N/A</v>
      </c>
      <c r="M3410" t="s">
        <v>83</v>
      </c>
    </row>
    <row r="3411" spans="5:13" hidden="1" x14ac:dyDescent="0.35">
      <c r="E3411" s="81"/>
      <c r="I3411" s="83" t="e">
        <f>VLOOKUP(E3411,[1]Mapping!$A$3:$B$14,2,FALSE)</f>
        <v>#N/A</v>
      </c>
      <c r="J3411" s="84">
        <f t="shared" si="108"/>
        <v>0</v>
      </c>
      <c r="K3411" s="84">
        <f t="shared" si="109"/>
        <v>0</v>
      </c>
      <c r="L3411" s="61" t="e">
        <f>VLOOKUP(K3411,[1]Mapping!$J$3:$Q$351,8,FALSE)</f>
        <v>#N/A</v>
      </c>
      <c r="M3411" t="s">
        <v>83</v>
      </c>
    </row>
    <row r="3412" spans="5:13" hidden="1" x14ac:dyDescent="0.35">
      <c r="E3412" s="81"/>
      <c r="I3412" s="83" t="e">
        <f>VLOOKUP(E3412,[1]Mapping!$A$3:$B$14,2,FALSE)</f>
        <v>#N/A</v>
      </c>
      <c r="J3412" s="84">
        <f t="shared" si="108"/>
        <v>0</v>
      </c>
      <c r="K3412" s="84">
        <f t="shared" si="109"/>
        <v>0</v>
      </c>
      <c r="L3412" s="61" t="e">
        <f>VLOOKUP(K3412,[1]Mapping!$J$3:$Q$351,8,FALSE)</f>
        <v>#N/A</v>
      </c>
      <c r="M3412" t="s">
        <v>83</v>
      </c>
    </row>
    <row r="3413" spans="5:13" hidden="1" x14ac:dyDescent="0.35">
      <c r="E3413" s="81"/>
      <c r="I3413" s="83" t="e">
        <f>VLOOKUP(E3413,[1]Mapping!$A$3:$B$14,2,FALSE)</f>
        <v>#N/A</v>
      </c>
      <c r="J3413" s="84">
        <f t="shared" si="108"/>
        <v>0</v>
      </c>
      <c r="K3413" s="84">
        <f t="shared" si="109"/>
        <v>0</v>
      </c>
      <c r="L3413" s="61" t="e">
        <f>VLOOKUP(K3413,[1]Mapping!$J$3:$Q$351,8,FALSE)</f>
        <v>#N/A</v>
      </c>
      <c r="M3413" t="s">
        <v>83</v>
      </c>
    </row>
    <row r="3414" spans="5:13" hidden="1" x14ac:dyDescent="0.35">
      <c r="E3414" s="81"/>
      <c r="I3414" s="83" t="e">
        <f>VLOOKUP(E3414,[1]Mapping!$A$3:$B$14,2,FALSE)</f>
        <v>#N/A</v>
      </c>
      <c r="J3414" s="84">
        <f t="shared" si="108"/>
        <v>0</v>
      </c>
      <c r="K3414" s="84">
        <f t="shared" si="109"/>
        <v>0</v>
      </c>
      <c r="L3414" s="61" t="e">
        <f>VLOOKUP(K3414,[1]Mapping!$J$3:$Q$351,8,FALSE)</f>
        <v>#N/A</v>
      </c>
      <c r="M3414" t="s">
        <v>83</v>
      </c>
    </row>
    <row r="3415" spans="5:13" hidden="1" x14ac:dyDescent="0.35">
      <c r="E3415" s="81"/>
      <c r="I3415" s="83" t="e">
        <f>VLOOKUP(E3415,[1]Mapping!$A$3:$B$14,2,FALSE)</f>
        <v>#N/A</v>
      </c>
      <c r="J3415" s="84">
        <f t="shared" si="108"/>
        <v>0</v>
      </c>
      <c r="K3415" s="84">
        <f t="shared" si="109"/>
        <v>0</v>
      </c>
      <c r="L3415" s="61" t="e">
        <f>VLOOKUP(K3415,[1]Mapping!$J$3:$Q$351,8,FALSE)</f>
        <v>#N/A</v>
      </c>
      <c r="M3415" t="s">
        <v>83</v>
      </c>
    </row>
    <row r="3416" spans="5:13" hidden="1" x14ac:dyDescent="0.35">
      <c r="E3416" s="81"/>
      <c r="I3416" s="83" t="e">
        <f>VLOOKUP(E3416,[1]Mapping!$A$3:$B$14,2,FALSE)</f>
        <v>#N/A</v>
      </c>
      <c r="J3416" s="84">
        <f t="shared" si="108"/>
        <v>0</v>
      </c>
      <c r="K3416" s="84">
        <f t="shared" si="109"/>
        <v>0</v>
      </c>
      <c r="L3416" s="61" t="e">
        <f>VLOOKUP(K3416,[1]Mapping!$J$3:$Q$351,8,FALSE)</f>
        <v>#N/A</v>
      </c>
      <c r="M3416" t="s">
        <v>83</v>
      </c>
    </row>
    <row r="3417" spans="5:13" hidden="1" x14ac:dyDescent="0.35">
      <c r="E3417" s="81"/>
      <c r="I3417" s="83" t="e">
        <f>VLOOKUP(E3417,[1]Mapping!$A$3:$B$14,2,FALSE)</f>
        <v>#N/A</v>
      </c>
      <c r="J3417" s="84">
        <f t="shared" si="108"/>
        <v>0</v>
      </c>
      <c r="K3417" s="84">
        <f t="shared" si="109"/>
        <v>0</v>
      </c>
      <c r="L3417" s="61" t="e">
        <f>VLOOKUP(K3417,[1]Mapping!$J$3:$Q$351,8,FALSE)</f>
        <v>#N/A</v>
      </c>
      <c r="M3417" t="s">
        <v>83</v>
      </c>
    </row>
    <row r="3418" spans="5:13" hidden="1" x14ac:dyDescent="0.35">
      <c r="E3418" s="81"/>
      <c r="I3418" s="83" t="e">
        <f>VLOOKUP(E3418,[1]Mapping!$A$3:$B$14,2,FALSE)</f>
        <v>#N/A</v>
      </c>
      <c r="J3418" s="84">
        <f t="shared" si="108"/>
        <v>0</v>
      </c>
      <c r="K3418" s="84">
        <f t="shared" si="109"/>
        <v>0</v>
      </c>
      <c r="L3418" s="61" t="e">
        <f>VLOOKUP(K3418,[1]Mapping!$J$3:$Q$351,8,FALSE)</f>
        <v>#N/A</v>
      </c>
      <c r="M3418" t="s">
        <v>83</v>
      </c>
    </row>
    <row r="3419" spans="5:13" hidden="1" x14ac:dyDescent="0.35">
      <c r="E3419" s="81"/>
      <c r="I3419" s="83" t="e">
        <f>VLOOKUP(E3419,[1]Mapping!$A$3:$B$14,2,FALSE)</f>
        <v>#N/A</v>
      </c>
      <c r="J3419" s="84">
        <f t="shared" si="108"/>
        <v>0</v>
      </c>
      <c r="K3419" s="84">
        <f t="shared" si="109"/>
        <v>0</v>
      </c>
      <c r="L3419" s="61" t="e">
        <f>VLOOKUP(K3419,[1]Mapping!$J$3:$Q$351,8,FALSE)</f>
        <v>#N/A</v>
      </c>
      <c r="M3419" t="s">
        <v>83</v>
      </c>
    </row>
    <row r="3420" spans="5:13" hidden="1" x14ac:dyDescent="0.35">
      <c r="E3420" s="81"/>
      <c r="I3420" s="83" t="e">
        <f>VLOOKUP(E3420,[1]Mapping!$A$3:$B$14,2,FALSE)</f>
        <v>#N/A</v>
      </c>
      <c r="J3420" s="84">
        <f t="shared" si="108"/>
        <v>0</v>
      </c>
      <c r="K3420" s="84">
        <f t="shared" si="109"/>
        <v>0</v>
      </c>
      <c r="L3420" s="61" t="e">
        <f>VLOOKUP(K3420,[1]Mapping!$J$3:$Q$351,8,FALSE)</f>
        <v>#N/A</v>
      </c>
      <c r="M3420" t="s">
        <v>83</v>
      </c>
    </row>
    <row r="3421" spans="5:13" hidden="1" x14ac:dyDescent="0.35">
      <c r="E3421" s="81"/>
      <c r="I3421" s="83" t="e">
        <f>VLOOKUP(E3421,[1]Mapping!$A$3:$B$14,2,FALSE)</f>
        <v>#N/A</v>
      </c>
      <c r="J3421" s="84">
        <f t="shared" si="108"/>
        <v>0</v>
      </c>
      <c r="K3421" s="84">
        <f t="shared" si="109"/>
        <v>0</v>
      </c>
      <c r="L3421" s="61" t="e">
        <f>VLOOKUP(K3421,[1]Mapping!$J$3:$Q$351,8,FALSE)</f>
        <v>#N/A</v>
      </c>
      <c r="M3421" t="s">
        <v>83</v>
      </c>
    </row>
    <row r="3422" spans="5:13" hidden="1" x14ac:dyDescent="0.35">
      <c r="E3422" s="81"/>
      <c r="I3422" s="83" t="e">
        <f>VLOOKUP(E3422,[1]Mapping!$A$3:$B$14,2,FALSE)</f>
        <v>#N/A</v>
      </c>
      <c r="J3422" s="84">
        <f t="shared" si="108"/>
        <v>0</v>
      </c>
      <c r="K3422" s="84">
        <f t="shared" si="109"/>
        <v>0</v>
      </c>
      <c r="L3422" s="61" t="e">
        <f>VLOOKUP(K3422,[1]Mapping!$J$3:$Q$351,8,FALSE)</f>
        <v>#N/A</v>
      </c>
      <c r="M3422" t="s">
        <v>83</v>
      </c>
    </row>
    <row r="3423" spans="5:13" hidden="1" x14ac:dyDescent="0.35">
      <c r="E3423" s="81"/>
      <c r="I3423" s="83" t="e">
        <f>VLOOKUP(E3423,[1]Mapping!$A$3:$B$14,2,FALSE)</f>
        <v>#N/A</v>
      </c>
      <c r="J3423" s="84">
        <f t="shared" si="108"/>
        <v>0</v>
      </c>
      <c r="K3423" s="84">
        <f t="shared" si="109"/>
        <v>0</v>
      </c>
      <c r="L3423" s="61" t="e">
        <f>VLOOKUP(K3423,[1]Mapping!$J$3:$Q$351,8,FALSE)</f>
        <v>#N/A</v>
      </c>
      <c r="M3423" t="s">
        <v>83</v>
      </c>
    </row>
    <row r="3424" spans="5:13" hidden="1" x14ac:dyDescent="0.35">
      <c r="E3424" s="81"/>
      <c r="I3424" s="83" t="e">
        <f>VLOOKUP(E3424,[1]Mapping!$A$3:$B$14,2,FALSE)</f>
        <v>#N/A</v>
      </c>
      <c r="J3424" s="84">
        <f t="shared" si="108"/>
        <v>0</v>
      </c>
      <c r="K3424" s="84">
        <f t="shared" si="109"/>
        <v>0</v>
      </c>
      <c r="L3424" s="61" t="e">
        <f>VLOOKUP(K3424,[1]Mapping!$J$3:$Q$351,8,FALSE)</f>
        <v>#N/A</v>
      </c>
      <c r="M3424" t="s">
        <v>83</v>
      </c>
    </row>
    <row r="3425" spans="5:13" hidden="1" x14ac:dyDescent="0.35">
      <c r="E3425" s="81"/>
      <c r="I3425" s="83" t="e">
        <f>VLOOKUP(E3425,[1]Mapping!$A$3:$B$14,2,FALSE)</f>
        <v>#N/A</v>
      </c>
      <c r="J3425" s="84">
        <f t="shared" si="108"/>
        <v>0</v>
      </c>
      <c r="K3425" s="84">
        <f t="shared" si="109"/>
        <v>0</v>
      </c>
      <c r="L3425" s="61" t="e">
        <f>VLOOKUP(K3425,[1]Mapping!$J$3:$Q$351,8,FALSE)</f>
        <v>#N/A</v>
      </c>
      <c r="M3425" t="s">
        <v>83</v>
      </c>
    </row>
    <row r="3426" spans="5:13" hidden="1" x14ac:dyDescent="0.35">
      <c r="E3426" s="81"/>
      <c r="I3426" s="83" t="e">
        <f>VLOOKUP(E3426,[1]Mapping!$A$3:$B$14,2,FALSE)</f>
        <v>#N/A</v>
      </c>
      <c r="J3426" s="84">
        <f t="shared" si="108"/>
        <v>0</v>
      </c>
      <c r="K3426" s="84">
        <f t="shared" si="109"/>
        <v>0</v>
      </c>
      <c r="L3426" s="61" t="e">
        <f>VLOOKUP(K3426,[1]Mapping!$J$3:$Q$351,8,FALSE)</f>
        <v>#N/A</v>
      </c>
      <c r="M3426" t="s">
        <v>83</v>
      </c>
    </row>
    <row r="3427" spans="5:13" hidden="1" x14ac:dyDescent="0.35">
      <c r="E3427" s="81"/>
      <c r="I3427" s="83" t="e">
        <f>VLOOKUP(E3427,[1]Mapping!$A$3:$B$14,2,FALSE)</f>
        <v>#N/A</v>
      </c>
      <c r="J3427" s="84">
        <f t="shared" si="108"/>
        <v>0</v>
      </c>
      <c r="K3427" s="84">
        <f t="shared" si="109"/>
        <v>0</v>
      </c>
      <c r="L3427" s="61" t="e">
        <f>VLOOKUP(K3427,[1]Mapping!$J$3:$Q$351,8,FALSE)</f>
        <v>#N/A</v>
      </c>
      <c r="M3427" t="s">
        <v>83</v>
      </c>
    </row>
    <row r="3428" spans="5:13" hidden="1" x14ac:dyDescent="0.35">
      <c r="E3428" s="81"/>
      <c r="I3428" s="83" t="e">
        <f>VLOOKUP(E3428,[1]Mapping!$A$3:$B$14,2,FALSE)</f>
        <v>#N/A</v>
      </c>
      <c r="J3428" s="84">
        <f t="shared" si="108"/>
        <v>0</v>
      </c>
      <c r="K3428" s="84">
        <f t="shared" si="109"/>
        <v>0</v>
      </c>
      <c r="L3428" s="61" t="e">
        <f>VLOOKUP(K3428,[1]Mapping!$J$3:$Q$351,8,FALSE)</f>
        <v>#N/A</v>
      </c>
      <c r="M3428" t="s">
        <v>83</v>
      </c>
    </row>
    <row r="3429" spans="5:13" hidden="1" x14ac:dyDescent="0.35">
      <c r="E3429" s="81"/>
      <c r="I3429" s="83" t="e">
        <f>VLOOKUP(E3429,[1]Mapping!$A$3:$B$14,2,FALSE)</f>
        <v>#N/A</v>
      </c>
      <c r="J3429" s="84">
        <f t="shared" si="108"/>
        <v>0</v>
      </c>
      <c r="K3429" s="84">
        <f t="shared" si="109"/>
        <v>0</v>
      </c>
      <c r="L3429" s="61" t="e">
        <f>VLOOKUP(K3429,[1]Mapping!$J$3:$Q$351,8,FALSE)</f>
        <v>#N/A</v>
      </c>
      <c r="M3429" t="s">
        <v>83</v>
      </c>
    </row>
    <row r="3430" spans="5:13" hidden="1" x14ac:dyDescent="0.35">
      <c r="E3430" s="81"/>
      <c r="I3430" s="83" t="e">
        <f>VLOOKUP(E3430,[1]Mapping!$A$3:$B$14,2,FALSE)</f>
        <v>#N/A</v>
      </c>
      <c r="J3430" s="84">
        <f t="shared" si="108"/>
        <v>0</v>
      </c>
      <c r="K3430" s="84">
        <f t="shared" si="109"/>
        <v>0</v>
      </c>
      <c r="L3430" s="61" t="e">
        <f>VLOOKUP(K3430,[1]Mapping!$J$3:$Q$351,8,FALSE)</f>
        <v>#N/A</v>
      </c>
      <c r="M3430" t="s">
        <v>83</v>
      </c>
    </row>
    <row r="3431" spans="5:13" hidden="1" x14ac:dyDescent="0.35">
      <c r="E3431" s="81"/>
      <c r="I3431" s="83" t="e">
        <f>VLOOKUP(E3431,[1]Mapping!$A$3:$B$14,2,FALSE)</f>
        <v>#N/A</v>
      </c>
      <c r="J3431" s="84">
        <f t="shared" si="108"/>
        <v>0</v>
      </c>
      <c r="K3431" s="84">
        <f t="shared" si="109"/>
        <v>0</v>
      </c>
      <c r="L3431" s="61" t="e">
        <f>VLOOKUP(K3431,[1]Mapping!$J$3:$Q$351,8,FALSE)</f>
        <v>#N/A</v>
      </c>
      <c r="M3431" t="s">
        <v>83</v>
      </c>
    </row>
    <row r="3432" spans="5:13" hidden="1" x14ac:dyDescent="0.35">
      <c r="E3432" s="81"/>
      <c r="I3432" s="83" t="e">
        <f>VLOOKUP(E3432,[1]Mapping!$A$3:$B$14,2,FALSE)</f>
        <v>#N/A</v>
      </c>
      <c r="J3432" s="84">
        <f t="shared" si="108"/>
        <v>0</v>
      </c>
      <c r="K3432" s="84">
        <f t="shared" si="109"/>
        <v>0</v>
      </c>
      <c r="L3432" s="61" t="e">
        <f>VLOOKUP(K3432,[1]Mapping!$J$3:$Q$351,8,FALSE)</f>
        <v>#N/A</v>
      </c>
      <c r="M3432" t="s">
        <v>83</v>
      </c>
    </row>
    <row r="3433" spans="5:13" hidden="1" x14ac:dyDescent="0.35">
      <c r="E3433" s="81"/>
      <c r="I3433" s="83" t="e">
        <f>VLOOKUP(E3433,[1]Mapping!$A$3:$B$14,2,FALSE)</f>
        <v>#N/A</v>
      </c>
      <c r="J3433" s="84">
        <f t="shared" si="108"/>
        <v>0</v>
      </c>
      <c r="K3433" s="84">
        <f t="shared" si="109"/>
        <v>0</v>
      </c>
      <c r="L3433" s="61" t="e">
        <f>VLOOKUP(K3433,[1]Mapping!$J$3:$Q$351,8,FALSE)</f>
        <v>#N/A</v>
      </c>
      <c r="M3433" t="s">
        <v>83</v>
      </c>
    </row>
    <row r="3434" spans="5:13" hidden="1" x14ac:dyDescent="0.35">
      <c r="E3434" s="81"/>
      <c r="I3434" s="83" t="e">
        <f>VLOOKUP(E3434,[1]Mapping!$A$3:$B$14,2,FALSE)</f>
        <v>#N/A</v>
      </c>
      <c r="J3434" s="84">
        <f t="shared" si="108"/>
        <v>0</v>
      </c>
      <c r="K3434" s="84">
        <f t="shared" si="109"/>
        <v>0</v>
      </c>
      <c r="L3434" s="61" t="e">
        <f>VLOOKUP(K3434,[1]Mapping!$J$3:$Q$351,8,FALSE)</f>
        <v>#N/A</v>
      </c>
      <c r="M3434" t="s">
        <v>83</v>
      </c>
    </row>
    <row r="3435" spans="5:13" hidden="1" x14ac:dyDescent="0.35">
      <c r="E3435" s="81"/>
      <c r="I3435" s="83" t="e">
        <f>VLOOKUP(E3435,[1]Mapping!$A$3:$B$14,2,FALSE)</f>
        <v>#N/A</v>
      </c>
      <c r="J3435" s="84">
        <f t="shared" si="108"/>
        <v>0</v>
      </c>
      <c r="K3435" s="84">
        <f t="shared" si="109"/>
        <v>0</v>
      </c>
      <c r="L3435" s="61" t="e">
        <f>VLOOKUP(K3435,[1]Mapping!$J$3:$Q$351,8,FALSE)</f>
        <v>#N/A</v>
      </c>
      <c r="M3435" t="s">
        <v>83</v>
      </c>
    </row>
    <row r="3436" spans="5:13" hidden="1" x14ac:dyDescent="0.35">
      <c r="E3436" s="81"/>
      <c r="I3436" s="83" t="e">
        <f>VLOOKUP(E3436,[1]Mapping!$A$3:$B$14,2,FALSE)</f>
        <v>#N/A</v>
      </c>
      <c r="J3436" s="84">
        <f t="shared" si="108"/>
        <v>0</v>
      </c>
      <c r="K3436" s="84">
        <f t="shared" si="109"/>
        <v>0</v>
      </c>
      <c r="L3436" s="61" t="e">
        <f>VLOOKUP(K3436,[1]Mapping!$J$3:$Q$351,8,FALSE)</f>
        <v>#N/A</v>
      </c>
      <c r="M3436" t="s">
        <v>83</v>
      </c>
    </row>
    <row r="3437" spans="5:13" hidden="1" x14ac:dyDescent="0.35">
      <c r="E3437" s="81"/>
      <c r="I3437" s="83" t="e">
        <f>VLOOKUP(E3437,[1]Mapping!$A$3:$B$14,2,FALSE)</f>
        <v>#N/A</v>
      </c>
      <c r="J3437" s="84">
        <f t="shared" si="108"/>
        <v>0</v>
      </c>
      <c r="K3437" s="84">
        <f t="shared" si="109"/>
        <v>0</v>
      </c>
      <c r="L3437" s="61" t="e">
        <f>VLOOKUP(K3437,[1]Mapping!$J$3:$Q$351,8,FALSE)</f>
        <v>#N/A</v>
      </c>
      <c r="M3437" t="s">
        <v>83</v>
      </c>
    </row>
    <row r="3438" spans="5:13" hidden="1" x14ac:dyDescent="0.35">
      <c r="E3438" s="81"/>
      <c r="I3438" s="83" t="e">
        <f>VLOOKUP(E3438,[1]Mapping!$A$3:$B$14,2,FALSE)</f>
        <v>#N/A</v>
      </c>
      <c r="J3438" s="84">
        <f t="shared" si="108"/>
        <v>0</v>
      </c>
      <c r="K3438" s="84">
        <f t="shared" si="109"/>
        <v>0</v>
      </c>
      <c r="L3438" s="61" t="e">
        <f>VLOOKUP(K3438,[1]Mapping!$J$3:$Q$351,8,FALSE)</f>
        <v>#N/A</v>
      </c>
      <c r="M3438" t="s">
        <v>83</v>
      </c>
    </row>
    <row r="3439" spans="5:13" hidden="1" x14ac:dyDescent="0.35">
      <c r="E3439" s="81"/>
      <c r="I3439" s="83" t="e">
        <f>VLOOKUP(E3439,[1]Mapping!$A$3:$B$14,2,FALSE)</f>
        <v>#N/A</v>
      </c>
      <c r="J3439" s="84">
        <f t="shared" si="108"/>
        <v>0</v>
      </c>
      <c r="K3439" s="84">
        <f t="shared" si="109"/>
        <v>0</v>
      </c>
      <c r="L3439" s="61" t="e">
        <f>VLOOKUP(K3439,[1]Mapping!$J$3:$Q$351,8,FALSE)</f>
        <v>#N/A</v>
      </c>
      <c r="M3439" t="s">
        <v>83</v>
      </c>
    </row>
    <row r="3440" spans="5:13" hidden="1" x14ac:dyDescent="0.35">
      <c r="E3440" s="81"/>
      <c r="I3440" s="83" t="e">
        <f>VLOOKUP(E3440,[1]Mapping!$A$3:$B$14,2,FALSE)</f>
        <v>#N/A</v>
      </c>
      <c r="J3440" s="84">
        <f t="shared" si="108"/>
        <v>0</v>
      </c>
      <c r="K3440" s="84">
        <f t="shared" si="109"/>
        <v>0</v>
      </c>
      <c r="L3440" s="61" t="e">
        <f>VLOOKUP(K3440,[1]Mapping!$J$3:$Q$351,8,FALSE)</f>
        <v>#N/A</v>
      </c>
      <c r="M3440" t="s">
        <v>83</v>
      </c>
    </row>
    <row r="3441" spans="5:13" hidden="1" x14ac:dyDescent="0.35">
      <c r="E3441" s="81"/>
      <c r="I3441" s="83" t="e">
        <f>VLOOKUP(E3441,[1]Mapping!$A$3:$B$14,2,FALSE)</f>
        <v>#N/A</v>
      </c>
      <c r="J3441" s="84">
        <f t="shared" si="108"/>
        <v>0</v>
      </c>
      <c r="K3441" s="84">
        <f t="shared" si="109"/>
        <v>0</v>
      </c>
      <c r="L3441" s="61" t="e">
        <f>VLOOKUP(K3441,[1]Mapping!$J$3:$Q$351,8,FALSE)</f>
        <v>#N/A</v>
      </c>
      <c r="M3441" t="s">
        <v>83</v>
      </c>
    </row>
    <row r="3442" spans="5:13" hidden="1" x14ac:dyDescent="0.35">
      <c r="E3442" s="81"/>
      <c r="I3442" s="83" t="e">
        <f>VLOOKUP(E3442,[1]Mapping!$A$3:$B$14,2,FALSE)</f>
        <v>#N/A</v>
      </c>
      <c r="J3442" s="84">
        <f t="shared" si="108"/>
        <v>0</v>
      </c>
      <c r="K3442" s="84">
        <f t="shared" si="109"/>
        <v>0</v>
      </c>
      <c r="L3442" s="61" t="e">
        <f>VLOOKUP(K3442,[1]Mapping!$J$3:$Q$351,8,FALSE)</f>
        <v>#N/A</v>
      </c>
      <c r="M3442" t="s">
        <v>83</v>
      </c>
    </row>
    <row r="3443" spans="5:13" hidden="1" x14ac:dyDescent="0.35">
      <c r="E3443" s="81"/>
      <c r="I3443" s="83" t="e">
        <f>VLOOKUP(E3443,[1]Mapping!$A$3:$B$14,2,FALSE)</f>
        <v>#N/A</v>
      </c>
      <c r="J3443" s="84">
        <f t="shared" si="108"/>
        <v>0</v>
      </c>
      <c r="K3443" s="84">
        <f t="shared" si="109"/>
        <v>0</v>
      </c>
      <c r="L3443" s="61" t="e">
        <f>VLOOKUP(K3443,[1]Mapping!$J$3:$Q$351,8,FALSE)</f>
        <v>#N/A</v>
      </c>
      <c r="M3443" t="s">
        <v>83</v>
      </c>
    </row>
    <row r="3444" spans="5:13" hidden="1" x14ac:dyDescent="0.35">
      <c r="E3444" s="81"/>
      <c r="I3444" s="83" t="e">
        <f>VLOOKUP(E3444,[1]Mapping!$A$3:$B$14,2,FALSE)</f>
        <v>#N/A</v>
      </c>
      <c r="J3444" s="84">
        <f t="shared" si="108"/>
        <v>0</v>
      </c>
      <c r="K3444" s="84">
        <f t="shared" si="109"/>
        <v>0</v>
      </c>
      <c r="L3444" s="61" t="e">
        <f>VLOOKUP(K3444,[1]Mapping!$J$3:$Q$351,8,FALSE)</f>
        <v>#N/A</v>
      </c>
      <c r="M3444" t="s">
        <v>83</v>
      </c>
    </row>
    <row r="3445" spans="5:13" hidden="1" x14ac:dyDescent="0.35">
      <c r="E3445" s="81"/>
      <c r="I3445" s="83" t="e">
        <f>VLOOKUP(E3445,[1]Mapping!$A$3:$B$14,2,FALSE)</f>
        <v>#N/A</v>
      </c>
      <c r="J3445" s="84">
        <f t="shared" si="108"/>
        <v>0</v>
      </c>
      <c r="K3445" s="84">
        <f t="shared" si="109"/>
        <v>0</v>
      </c>
      <c r="L3445" s="61" t="e">
        <f>VLOOKUP(K3445,[1]Mapping!$J$3:$Q$351,8,FALSE)</f>
        <v>#N/A</v>
      </c>
      <c r="M3445" t="s">
        <v>83</v>
      </c>
    </row>
    <row r="3446" spans="5:13" hidden="1" x14ac:dyDescent="0.35">
      <c r="E3446" s="81"/>
      <c r="I3446" s="83" t="e">
        <f>VLOOKUP(E3446,[1]Mapping!$A$3:$B$14,2,FALSE)</f>
        <v>#N/A</v>
      </c>
      <c r="J3446" s="84">
        <f t="shared" si="108"/>
        <v>0</v>
      </c>
      <c r="K3446" s="84">
        <f t="shared" si="109"/>
        <v>0</v>
      </c>
      <c r="L3446" s="61" t="e">
        <f>VLOOKUP(K3446,[1]Mapping!$J$3:$Q$351,8,FALSE)</f>
        <v>#N/A</v>
      </c>
      <c r="M3446" t="s">
        <v>83</v>
      </c>
    </row>
    <row r="3447" spans="5:13" hidden="1" x14ac:dyDescent="0.35">
      <c r="E3447" s="81"/>
      <c r="I3447" s="83" t="e">
        <f>VLOOKUP(E3447,[1]Mapping!$A$3:$B$14,2,FALSE)</f>
        <v>#N/A</v>
      </c>
      <c r="J3447" s="84">
        <f t="shared" si="108"/>
        <v>0</v>
      </c>
      <c r="K3447" s="84">
        <f t="shared" si="109"/>
        <v>0</v>
      </c>
      <c r="L3447" s="61" t="e">
        <f>VLOOKUP(K3447,[1]Mapping!$J$3:$Q$351,8,FALSE)</f>
        <v>#N/A</v>
      </c>
      <c r="M3447" t="s">
        <v>83</v>
      </c>
    </row>
    <row r="3448" spans="5:13" hidden="1" x14ac:dyDescent="0.35">
      <c r="E3448" s="81"/>
      <c r="I3448" s="83" t="e">
        <f>VLOOKUP(E3448,[1]Mapping!$A$3:$B$14,2,FALSE)</f>
        <v>#N/A</v>
      </c>
      <c r="J3448" s="84">
        <f t="shared" si="108"/>
        <v>0</v>
      </c>
      <c r="K3448" s="84">
        <f t="shared" si="109"/>
        <v>0</v>
      </c>
      <c r="L3448" s="61" t="e">
        <f>VLOOKUP(K3448,[1]Mapping!$J$3:$Q$351,8,FALSE)</f>
        <v>#N/A</v>
      </c>
      <c r="M3448" t="s">
        <v>83</v>
      </c>
    </row>
    <row r="3449" spans="5:13" hidden="1" x14ac:dyDescent="0.35">
      <c r="E3449" s="81"/>
      <c r="I3449" s="83" t="e">
        <f>VLOOKUP(E3449,[1]Mapping!$A$3:$B$14,2,FALSE)</f>
        <v>#N/A</v>
      </c>
      <c r="J3449" s="84">
        <f t="shared" si="108"/>
        <v>0</v>
      </c>
      <c r="K3449" s="84">
        <f t="shared" si="109"/>
        <v>0</v>
      </c>
      <c r="L3449" s="61" t="e">
        <f>VLOOKUP(K3449,[1]Mapping!$J$3:$Q$351,8,FALSE)</f>
        <v>#N/A</v>
      </c>
      <c r="M3449" t="s">
        <v>83</v>
      </c>
    </row>
    <row r="3450" spans="5:13" hidden="1" x14ac:dyDescent="0.35">
      <c r="E3450" s="81"/>
      <c r="I3450" s="83" t="e">
        <f>VLOOKUP(E3450,[1]Mapping!$A$3:$B$14,2,FALSE)</f>
        <v>#N/A</v>
      </c>
      <c r="J3450" s="84">
        <f t="shared" si="108"/>
        <v>0</v>
      </c>
      <c r="K3450" s="84">
        <f t="shared" si="109"/>
        <v>0</v>
      </c>
      <c r="L3450" s="61" t="e">
        <f>VLOOKUP(K3450,[1]Mapping!$J$3:$Q$351,8,FALSE)</f>
        <v>#N/A</v>
      </c>
      <c r="M3450" t="s">
        <v>83</v>
      </c>
    </row>
    <row r="3451" spans="5:13" hidden="1" x14ac:dyDescent="0.35">
      <c r="E3451" s="81"/>
      <c r="I3451" s="83" t="e">
        <f>VLOOKUP(E3451,[1]Mapping!$A$3:$B$14,2,FALSE)</f>
        <v>#N/A</v>
      </c>
      <c r="J3451" s="84">
        <f t="shared" si="108"/>
        <v>0</v>
      </c>
      <c r="K3451" s="84">
        <f t="shared" si="109"/>
        <v>0</v>
      </c>
      <c r="L3451" s="61" t="e">
        <f>VLOOKUP(K3451,[1]Mapping!$J$3:$Q$351,8,FALSE)</f>
        <v>#N/A</v>
      </c>
      <c r="M3451" t="s">
        <v>83</v>
      </c>
    </row>
    <row r="3452" spans="5:13" hidden="1" x14ac:dyDescent="0.35">
      <c r="E3452" s="81"/>
      <c r="I3452" s="83" t="e">
        <f>VLOOKUP(E3452,[1]Mapping!$A$3:$B$14,2,FALSE)</f>
        <v>#N/A</v>
      </c>
      <c r="J3452" s="84">
        <f t="shared" si="108"/>
        <v>0</v>
      </c>
      <c r="K3452" s="84">
        <f t="shared" si="109"/>
        <v>0</v>
      </c>
      <c r="L3452" s="61" t="e">
        <f>VLOOKUP(K3452,[1]Mapping!$J$3:$Q$351,8,FALSE)</f>
        <v>#N/A</v>
      </c>
      <c r="M3452" t="s">
        <v>83</v>
      </c>
    </row>
    <row r="3453" spans="5:13" hidden="1" x14ac:dyDescent="0.35">
      <c r="E3453" s="81"/>
      <c r="I3453" s="83" t="e">
        <f>VLOOKUP(E3453,[1]Mapping!$A$3:$B$14,2,FALSE)</f>
        <v>#N/A</v>
      </c>
      <c r="J3453" s="84">
        <f t="shared" si="108"/>
        <v>0</v>
      </c>
      <c r="K3453" s="84">
        <f t="shared" si="109"/>
        <v>0</v>
      </c>
      <c r="L3453" s="61" t="e">
        <f>VLOOKUP(K3453,[1]Mapping!$J$3:$Q$351,8,FALSE)</f>
        <v>#N/A</v>
      </c>
      <c r="M3453" t="s">
        <v>83</v>
      </c>
    </row>
    <row r="3454" spans="5:13" hidden="1" x14ac:dyDescent="0.35">
      <c r="E3454" s="81"/>
      <c r="I3454" s="83" t="e">
        <f>VLOOKUP(E3454,[1]Mapping!$A$3:$B$14,2,FALSE)</f>
        <v>#N/A</v>
      </c>
      <c r="J3454" s="84">
        <f t="shared" si="108"/>
        <v>0</v>
      </c>
      <c r="K3454" s="84">
        <f t="shared" si="109"/>
        <v>0</v>
      </c>
      <c r="L3454" s="61" t="e">
        <f>VLOOKUP(K3454,[1]Mapping!$J$3:$Q$351,8,FALSE)</f>
        <v>#N/A</v>
      </c>
      <c r="M3454" t="s">
        <v>83</v>
      </c>
    </row>
    <row r="3455" spans="5:13" hidden="1" x14ac:dyDescent="0.35">
      <c r="E3455" s="81"/>
      <c r="I3455" s="83" t="e">
        <f>VLOOKUP(E3455,[1]Mapping!$A$3:$B$14,2,FALSE)</f>
        <v>#N/A</v>
      </c>
      <c r="J3455" s="84">
        <f t="shared" si="108"/>
        <v>0</v>
      </c>
      <c r="K3455" s="84">
        <f t="shared" si="109"/>
        <v>0</v>
      </c>
      <c r="L3455" s="61" t="e">
        <f>VLOOKUP(K3455,[1]Mapping!$J$3:$Q$351,8,FALSE)</f>
        <v>#N/A</v>
      </c>
      <c r="M3455" t="s">
        <v>83</v>
      </c>
    </row>
    <row r="3456" spans="5:13" hidden="1" x14ac:dyDescent="0.35">
      <c r="E3456" s="81"/>
      <c r="I3456" s="83" t="e">
        <f>VLOOKUP(E3456,[1]Mapping!$A$3:$B$14,2,FALSE)</f>
        <v>#N/A</v>
      </c>
      <c r="J3456" s="84">
        <f t="shared" si="108"/>
        <v>0</v>
      </c>
      <c r="K3456" s="84">
        <f t="shared" si="109"/>
        <v>0</v>
      </c>
      <c r="L3456" s="61" t="e">
        <f>VLOOKUP(K3456,[1]Mapping!$J$3:$Q$351,8,FALSE)</f>
        <v>#N/A</v>
      </c>
      <c r="M3456" t="s">
        <v>83</v>
      </c>
    </row>
    <row r="3457" spans="5:13" hidden="1" x14ac:dyDescent="0.35">
      <c r="E3457" s="81"/>
      <c r="I3457" s="83" t="e">
        <f>VLOOKUP(E3457,[1]Mapping!$A$3:$B$14,2,FALSE)</f>
        <v>#N/A</v>
      </c>
      <c r="J3457" s="84">
        <f t="shared" si="108"/>
        <v>0</v>
      </c>
      <c r="K3457" s="84">
        <f t="shared" si="109"/>
        <v>0</v>
      </c>
      <c r="L3457" s="61" t="e">
        <f>VLOOKUP(K3457,[1]Mapping!$J$3:$Q$351,8,FALSE)</f>
        <v>#N/A</v>
      </c>
      <c r="M3457" t="s">
        <v>83</v>
      </c>
    </row>
    <row r="3458" spans="5:13" hidden="1" x14ac:dyDescent="0.35">
      <c r="E3458" s="81"/>
      <c r="I3458" s="83" t="e">
        <f>VLOOKUP(E3458,[1]Mapping!$A$3:$B$14,2,FALSE)</f>
        <v>#N/A</v>
      </c>
      <c r="J3458" s="84">
        <f t="shared" si="108"/>
        <v>0</v>
      </c>
      <c r="K3458" s="84">
        <f t="shared" si="109"/>
        <v>0</v>
      </c>
      <c r="L3458" s="61" t="e">
        <f>VLOOKUP(K3458,[1]Mapping!$J$3:$Q$351,8,FALSE)</f>
        <v>#N/A</v>
      </c>
      <c r="M3458" t="s">
        <v>83</v>
      </c>
    </row>
    <row r="3459" spans="5:13" hidden="1" x14ac:dyDescent="0.35">
      <c r="E3459" s="81"/>
      <c r="I3459" s="83" t="e">
        <f>VLOOKUP(E3459,[1]Mapping!$A$3:$B$14,2,FALSE)</f>
        <v>#N/A</v>
      </c>
      <c r="J3459" s="84">
        <f t="shared" si="108"/>
        <v>0</v>
      </c>
      <c r="K3459" s="84">
        <f t="shared" si="109"/>
        <v>0</v>
      </c>
      <c r="L3459" s="61" t="e">
        <f>VLOOKUP(K3459,[1]Mapping!$J$3:$Q$351,8,FALSE)</f>
        <v>#N/A</v>
      </c>
      <c r="M3459" t="s">
        <v>83</v>
      </c>
    </row>
    <row r="3460" spans="5:13" hidden="1" x14ac:dyDescent="0.35">
      <c r="E3460" s="81"/>
      <c r="I3460" s="83" t="e">
        <f>VLOOKUP(E3460,[1]Mapping!$A$3:$B$14,2,FALSE)</f>
        <v>#N/A</v>
      </c>
      <c r="J3460" s="84">
        <f t="shared" ref="J3460:J3523" si="110">VALUE(A3460)</f>
        <v>0</v>
      </c>
      <c r="K3460" s="84">
        <f t="shared" ref="K3460:K3523" si="111">VALUE(C3460)</f>
        <v>0</v>
      </c>
      <c r="L3460" s="61" t="e">
        <f>VLOOKUP(K3460,[1]Mapping!$J$3:$Q$351,8,FALSE)</f>
        <v>#N/A</v>
      </c>
      <c r="M3460" t="s">
        <v>83</v>
      </c>
    </row>
    <row r="3461" spans="5:13" hidden="1" x14ac:dyDescent="0.35">
      <c r="E3461" s="81"/>
      <c r="I3461" s="83" t="e">
        <f>VLOOKUP(E3461,[1]Mapping!$A$3:$B$14,2,FALSE)</f>
        <v>#N/A</v>
      </c>
      <c r="J3461" s="84">
        <f t="shared" si="110"/>
        <v>0</v>
      </c>
      <c r="K3461" s="84">
        <f t="shared" si="111"/>
        <v>0</v>
      </c>
      <c r="L3461" s="61" t="e">
        <f>VLOOKUP(K3461,[1]Mapping!$J$3:$Q$351,8,FALSE)</f>
        <v>#N/A</v>
      </c>
      <c r="M3461" t="s">
        <v>83</v>
      </c>
    </row>
    <row r="3462" spans="5:13" hidden="1" x14ac:dyDescent="0.35">
      <c r="E3462" s="81"/>
      <c r="I3462" s="83" t="e">
        <f>VLOOKUP(E3462,[1]Mapping!$A$3:$B$14,2,FALSE)</f>
        <v>#N/A</v>
      </c>
      <c r="J3462" s="84">
        <f t="shared" si="110"/>
        <v>0</v>
      </c>
      <c r="K3462" s="84">
        <f t="shared" si="111"/>
        <v>0</v>
      </c>
      <c r="L3462" s="61" t="e">
        <f>VLOOKUP(K3462,[1]Mapping!$J$3:$Q$351,8,FALSE)</f>
        <v>#N/A</v>
      </c>
      <c r="M3462" t="s">
        <v>83</v>
      </c>
    </row>
    <row r="3463" spans="5:13" hidden="1" x14ac:dyDescent="0.35">
      <c r="E3463" s="81"/>
      <c r="I3463" s="83" t="e">
        <f>VLOOKUP(E3463,[1]Mapping!$A$3:$B$14,2,FALSE)</f>
        <v>#N/A</v>
      </c>
      <c r="J3463" s="84">
        <f t="shared" si="110"/>
        <v>0</v>
      </c>
      <c r="K3463" s="84">
        <f t="shared" si="111"/>
        <v>0</v>
      </c>
      <c r="L3463" s="61" t="e">
        <f>VLOOKUP(K3463,[1]Mapping!$J$3:$Q$351,8,FALSE)</f>
        <v>#N/A</v>
      </c>
      <c r="M3463" t="s">
        <v>83</v>
      </c>
    </row>
    <row r="3464" spans="5:13" hidden="1" x14ac:dyDescent="0.35">
      <c r="E3464" s="81"/>
      <c r="I3464" s="83" t="e">
        <f>VLOOKUP(E3464,[1]Mapping!$A$3:$B$14,2,FALSE)</f>
        <v>#N/A</v>
      </c>
      <c r="J3464" s="84">
        <f t="shared" si="110"/>
        <v>0</v>
      </c>
      <c r="K3464" s="84">
        <f t="shared" si="111"/>
        <v>0</v>
      </c>
      <c r="L3464" s="61" t="e">
        <f>VLOOKUP(K3464,[1]Mapping!$J$3:$Q$351,8,FALSE)</f>
        <v>#N/A</v>
      </c>
      <c r="M3464" t="s">
        <v>83</v>
      </c>
    </row>
    <row r="3465" spans="5:13" hidden="1" x14ac:dyDescent="0.35">
      <c r="E3465" s="81"/>
      <c r="I3465" s="83" t="e">
        <f>VLOOKUP(E3465,[1]Mapping!$A$3:$B$14,2,FALSE)</f>
        <v>#N/A</v>
      </c>
      <c r="J3465" s="84">
        <f t="shared" si="110"/>
        <v>0</v>
      </c>
      <c r="K3465" s="84">
        <f t="shared" si="111"/>
        <v>0</v>
      </c>
      <c r="L3465" s="61" t="e">
        <f>VLOOKUP(K3465,[1]Mapping!$J$3:$Q$351,8,FALSE)</f>
        <v>#N/A</v>
      </c>
      <c r="M3465" t="s">
        <v>83</v>
      </c>
    </row>
    <row r="3466" spans="5:13" hidden="1" x14ac:dyDescent="0.35">
      <c r="E3466" s="81"/>
      <c r="I3466" s="83" t="e">
        <f>VLOOKUP(E3466,[1]Mapping!$A$3:$B$14,2,FALSE)</f>
        <v>#N/A</v>
      </c>
      <c r="J3466" s="84">
        <f t="shared" si="110"/>
        <v>0</v>
      </c>
      <c r="K3466" s="84">
        <f t="shared" si="111"/>
        <v>0</v>
      </c>
      <c r="L3466" s="61" t="e">
        <f>VLOOKUP(K3466,[1]Mapping!$J$3:$Q$351,8,FALSE)</f>
        <v>#N/A</v>
      </c>
      <c r="M3466" t="s">
        <v>83</v>
      </c>
    </row>
    <row r="3467" spans="5:13" hidden="1" x14ac:dyDescent="0.35">
      <c r="E3467" s="81"/>
      <c r="I3467" s="83" t="e">
        <f>VLOOKUP(E3467,[1]Mapping!$A$3:$B$14,2,FALSE)</f>
        <v>#N/A</v>
      </c>
      <c r="J3467" s="84">
        <f t="shared" si="110"/>
        <v>0</v>
      </c>
      <c r="K3467" s="84">
        <f t="shared" si="111"/>
        <v>0</v>
      </c>
      <c r="L3467" s="61" t="e">
        <f>VLOOKUP(K3467,[1]Mapping!$J$3:$Q$351,8,FALSE)</f>
        <v>#N/A</v>
      </c>
      <c r="M3467" t="s">
        <v>83</v>
      </c>
    </row>
    <row r="3468" spans="5:13" hidden="1" x14ac:dyDescent="0.35">
      <c r="E3468" s="81"/>
      <c r="I3468" s="83" t="e">
        <f>VLOOKUP(E3468,[1]Mapping!$A$3:$B$14,2,FALSE)</f>
        <v>#N/A</v>
      </c>
      <c r="J3468" s="84">
        <f t="shared" si="110"/>
        <v>0</v>
      </c>
      <c r="K3468" s="84">
        <f t="shared" si="111"/>
        <v>0</v>
      </c>
      <c r="L3468" s="61" t="e">
        <f>VLOOKUP(K3468,[1]Mapping!$J$3:$Q$351,8,FALSE)</f>
        <v>#N/A</v>
      </c>
      <c r="M3468" t="s">
        <v>83</v>
      </c>
    </row>
    <row r="3469" spans="5:13" hidden="1" x14ac:dyDescent="0.35">
      <c r="E3469" s="81"/>
      <c r="I3469" s="83" t="e">
        <f>VLOOKUP(E3469,[1]Mapping!$A$3:$B$14,2,FALSE)</f>
        <v>#N/A</v>
      </c>
      <c r="J3469" s="84">
        <f t="shared" si="110"/>
        <v>0</v>
      </c>
      <c r="K3469" s="84">
        <f t="shared" si="111"/>
        <v>0</v>
      </c>
      <c r="L3469" s="61" t="e">
        <f>VLOOKUP(K3469,[1]Mapping!$J$3:$Q$351,8,FALSE)</f>
        <v>#N/A</v>
      </c>
      <c r="M3469" t="s">
        <v>83</v>
      </c>
    </row>
    <row r="3470" spans="5:13" hidden="1" x14ac:dyDescent="0.35">
      <c r="E3470" s="81"/>
      <c r="I3470" s="83" t="e">
        <f>VLOOKUP(E3470,[1]Mapping!$A$3:$B$14,2,FALSE)</f>
        <v>#N/A</v>
      </c>
      <c r="J3470" s="84">
        <f t="shared" si="110"/>
        <v>0</v>
      </c>
      <c r="K3470" s="84">
        <f t="shared" si="111"/>
        <v>0</v>
      </c>
      <c r="L3470" s="61" t="e">
        <f>VLOOKUP(K3470,[1]Mapping!$J$3:$Q$351,8,FALSE)</f>
        <v>#N/A</v>
      </c>
      <c r="M3470" t="s">
        <v>83</v>
      </c>
    </row>
    <row r="3471" spans="5:13" hidden="1" x14ac:dyDescent="0.35">
      <c r="E3471" s="81"/>
      <c r="I3471" s="83" t="e">
        <f>VLOOKUP(E3471,[1]Mapping!$A$3:$B$14,2,FALSE)</f>
        <v>#N/A</v>
      </c>
      <c r="J3471" s="84">
        <f t="shared" si="110"/>
        <v>0</v>
      </c>
      <c r="K3471" s="84">
        <f t="shared" si="111"/>
        <v>0</v>
      </c>
      <c r="L3471" s="61" t="e">
        <f>VLOOKUP(K3471,[1]Mapping!$J$3:$Q$351,8,FALSE)</f>
        <v>#N/A</v>
      </c>
      <c r="M3471" t="s">
        <v>83</v>
      </c>
    </row>
    <row r="3472" spans="5:13" hidden="1" x14ac:dyDescent="0.35">
      <c r="E3472" s="81"/>
      <c r="I3472" s="83" t="e">
        <f>VLOOKUP(E3472,[1]Mapping!$A$3:$B$14,2,FALSE)</f>
        <v>#N/A</v>
      </c>
      <c r="J3472" s="84">
        <f t="shared" si="110"/>
        <v>0</v>
      </c>
      <c r="K3472" s="84">
        <f t="shared" si="111"/>
        <v>0</v>
      </c>
      <c r="L3472" s="61" t="e">
        <f>VLOOKUP(K3472,[1]Mapping!$J$3:$Q$351,8,FALSE)</f>
        <v>#N/A</v>
      </c>
      <c r="M3472" t="s">
        <v>83</v>
      </c>
    </row>
    <row r="3473" spans="5:13" hidden="1" x14ac:dyDescent="0.35">
      <c r="E3473" s="81"/>
      <c r="I3473" s="83" t="e">
        <f>VLOOKUP(E3473,[1]Mapping!$A$3:$B$14,2,FALSE)</f>
        <v>#N/A</v>
      </c>
      <c r="J3473" s="84">
        <f t="shared" si="110"/>
        <v>0</v>
      </c>
      <c r="K3473" s="84">
        <f t="shared" si="111"/>
        <v>0</v>
      </c>
      <c r="L3473" s="61" t="e">
        <f>VLOOKUP(K3473,[1]Mapping!$J$3:$Q$351,8,FALSE)</f>
        <v>#N/A</v>
      </c>
      <c r="M3473" t="s">
        <v>83</v>
      </c>
    </row>
    <row r="3474" spans="5:13" hidden="1" x14ac:dyDescent="0.35">
      <c r="E3474" s="81"/>
      <c r="I3474" s="83" t="e">
        <f>VLOOKUP(E3474,[1]Mapping!$A$3:$B$14,2,FALSE)</f>
        <v>#N/A</v>
      </c>
      <c r="J3474" s="84">
        <f t="shared" si="110"/>
        <v>0</v>
      </c>
      <c r="K3474" s="84">
        <f t="shared" si="111"/>
        <v>0</v>
      </c>
      <c r="L3474" s="61" t="e">
        <f>VLOOKUP(K3474,[1]Mapping!$J$3:$Q$351,8,FALSE)</f>
        <v>#N/A</v>
      </c>
      <c r="M3474" t="s">
        <v>83</v>
      </c>
    </row>
    <row r="3475" spans="5:13" hidden="1" x14ac:dyDescent="0.35">
      <c r="E3475" s="81"/>
      <c r="I3475" s="83" t="e">
        <f>VLOOKUP(E3475,[1]Mapping!$A$3:$B$14,2,FALSE)</f>
        <v>#N/A</v>
      </c>
      <c r="J3475" s="84">
        <f t="shared" si="110"/>
        <v>0</v>
      </c>
      <c r="K3475" s="84">
        <f t="shared" si="111"/>
        <v>0</v>
      </c>
      <c r="L3475" s="61" t="e">
        <f>VLOOKUP(K3475,[1]Mapping!$J$3:$Q$351,8,FALSE)</f>
        <v>#N/A</v>
      </c>
      <c r="M3475" t="s">
        <v>83</v>
      </c>
    </row>
    <row r="3476" spans="5:13" hidden="1" x14ac:dyDescent="0.35">
      <c r="E3476" s="81"/>
      <c r="I3476" s="83" t="e">
        <f>VLOOKUP(E3476,[1]Mapping!$A$3:$B$14,2,FALSE)</f>
        <v>#N/A</v>
      </c>
      <c r="J3476" s="84">
        <f t="shared" si="110"/>
        <v>0</v>
      </c>
      <c r="K3476" s="84">
        <f t="shared" si="111"/>
        <v>0</v>
      </c>
      <c r="L3476" s="61" t="e">
        <f>VLOOKUP(K3476,[1]Mapping!$J$3:$Q$351,8,FALSE)</f>
        <v>#N/A</v>
      </c>
      <c r="M3476" t="s">
        <v>83</v>
      </c>
    </row>
    <row r="3477" spans="5:13" hidden="1" x14ac:dyDescent="0.35">
      <c r="E3477" s="81"/>
      <c r="I3477" s="83" t="e">
        <f>VLOOKUP(E3477,[1]Mapping!$A$3:$B$14,2,FALSE)</f>
        <v>#N/A</v>
      </c>
      <c r="J3477" s="84">
        <f t="shared" si="110"/>
        <v>0</v>
      </c>
      <c r="K3477" s="84">
        <f t="shared" si="111"/>
        <v>0</v>
      </c>
      <c r="L3477" s="61" t="e">
        <f>VLOOKUP(K3477,[1]Mapping!$J$3:$Q$351,8,FALSE)</f>
        <v>#N/A</v>
      </c>
      <c r="M3477" t="s">
        <v>83</v>
      </c>
    </row>
    <row r="3478" spans="5:13" hidden="1" x14ac:dyDescent="0.35">
      <c r="E3478" s="81"/>
      <c r="I3478" s="83" t="e">
        <f>VLOOKUP(E3478,[1]Mapping!$A$3:$B$14,2,FALSE)</f>
        <v>#N/A</v>
      </c>
      <c r="J3478" s="84">
        <f t="shared" si="110"/>
        <v>0</v>
      </c>
      <c r="K3478" s="84">
        <f t="shared" si="111"/>
        <v>0</v>
      </c>
      <c r="L3478" s="61" t="e">
        <f>VLOOKUP(K3478,[1]Mapping!$J$3:$Q$351,8,FALSE)</f>
        <v>#N/A</v>
      </c>
      <c r="M3478" t="s">
        <v>83</v>
      </c>
    </row>
    <row r="3479" spans="5:13" hidden="1" x14ac:dyDescent="0.35">
      <c r="E3479" s="81"/>
      <c r="I3479" s="83" t="e">
        <f>VLOOKUP(E3479,[1]Mapping!$A$3:$B$14,2,FALSE)</f>
        <v>#N/A</v>
      </c>
      <c r="J3479" s="84">
        <f t="shared" si="110"/>
        <v>0</v>
      </c>
      <c r="K3479" s="84">
        <f t="shared" si="111"/>
        <v>0</v>
      </c>
      <c r="L3479" s="61" t="e">
        <f>VLOOKUP(K3479,[1]Mapping!$J$3:$Q$351,8,FALSE)</f>
        <v>#N/A</v>
      </c>
      <c r="M3479" t="s">
        <v>83</v>
      </c>
    </row>
    <row r="3480" spans="5:13" hidden="1" x14ac:dyDescent="0.35">
      <c r="E3480" s="81"/>
      <c r="I3480" s="83" t="e">
        <f>VLOOKUP(E3480,[1]Mapping!$A$3:$B$14,2,FALSE)</f>
        <v>#N/A</v>
      </c>
      <c r="J3480" s="84">
        <f t="shared" si="110"/>
        <v>0</v>
      </c>
      <c r="K3480" s="84">
        <f t="shared" si="111"/>
        <v>0</v>
      </c>
      <c r="L3480" s="61" t="e">
        <f>VLOOKUP(K3480,[1]Mapping!$J$3:$Q$351,8,FALSE)</f>
        <v>#N/A</v>
      </c>
      <c r="M3480" t="s">
        <v>83</v>
      </c>
    </row>
    <row r="3481" spans="5:13" hidden="1" x14ac:dyDescent="0.35">
      <c r="E3481" s="81"/>
      <c r="I3481" s="83" t="e">
        <f>VLOOKUP(E3481,[1]Mapping!$A$3:$B$14,2,FALSE)</f>
        <v>#N/A</v>
      </c>
      <c r="J3481" s="84">
        <f t="shared" si="110"/>
        <v>0</v>
      </c>
      <c r="K3481" s="84">
        <f t="shared" si="111"/>
        <v>0</v>
      </c>
      <c r="L3481" s="61" t="e">
        <f>VLOOKUP(K3481,[1]Mapping!$J$3:$Q$351,8,FALSE)</f>
        <v>#N/A</v>
      </c>
      <c r="M3481" t="s">
        <v>83</v>
      </c>
    </row>
    <row r="3482" spans="5:13" hidden="1" x14ac:dyDescent="0.35">
      <c r="E3482" s="81"/>
      <c r="I3482" s="83" t="e">
        <f>VLOOKUP(E3482,[1]Mapping!$A$3:$B$14,2,FALSE)</f>
        <v>#N/A</v>
      </c>
      <c r="J3482" s="84">
        <f t="shared" si="110"/>
        <v>0</v>
      </c>
      <c r="K3482" s="84">
        <f t="shared" si="111"/>
        <v>0</v>
      </c>
      <c r="L3482" s="61" t="e">
        <f>VLOOKUP(K3482,[1]Mapping!$J$3:$Q$351,8,FALSE)</f>
        <v>#N/A</v>
      </c>
      <c r="M3482" t="s">
        <v>83</v>
      </c>
    </row>
    <row r="3483" spans="5:13" hidden="1" x14ac:dyDescent="0.35">
      <c r="E3483" s="81"/>
      <c r="I3483" s="83" t="e">
        <f>VLOOKUP(E3483,[1]Mapping!$A$3:$B$14,2,FALSE)</f>
        <v>#N/A</v>
      </c>
      <c r="J3483" s="84">
        <f t="shared" si="110"/>
        <v>0</v>
      </c>
      <c r="K3483" s="84">
        <f t="shared" si="111"/>
        <v>0</v>
      </c>
      <c r="L3483" s="61" t="e">
        <f>VLOOKUP(K3483,[1]Mapping!$J$3:$Q$351,8,FALSE)</f>
        <v>#N/A</v>
      </c>
      <c r="M3483" t="s">
        <v>83</v>
      </c>
    </row>
    <row r="3484" spans="5:13" hidden="1" x14ac:dyDescent="0.35">
      <c r="E3484" s="81"/>
      <c r="I3484" s="83" t="e">
        <f>VLOOKUP(E3484,[1]Mapping!$A$3:$B$14,2,FALSE)</f>
        <v>#N/A</v>
      </c>
      <c r="J3484" s="84">
        <f t="shared" si="110"/>
        <v>0</v>
      </c>
      <c r="K3484" s="84">
        <f t="shared" si="111"/>
        <v>0</v>
      </c>
      <c r="L3484" s="61" t="e">
        <f>VLOOKUP(K3484,[1]Mapping!$J$3:$Q$351,8,FALSE)</f>
        <v>#N/A</v>
      </c>
      <c r="M3484" t="s">
        <v>83</v>
      </c>
    </row>
    <row r="3485" spans="5:13" hidden="1" x14ac:dyDescent="0.35">
      <c r="E3485" s="81"/>
      <c r="I3485" s="83" t="e">
        <f>VLOOKUP(E3485,[1]Mapping!$A$3:$B$14,2,FALSE)</f>
        <v>#N/A</v>
      </c>
      <c r="J3485" s="84">
        <f t="shared" si="110"/>
        <v>0</v>
      </c>
      <c r="K3485" s="84">
        <f t="shared" si="111"/>
        <v>0</v>
      </c>
      <c r="L3485" s="61" t="e">
        <f>VLOOKUP(K3485,[1]Mapping!$J$3:$Q$351,8,FALSE)</f>
        <v>#N/A</v>
      </c>
      <c r="M3485" t="s">
        <v>83</v>
      </c>
    </row>
    <row r="3486" spans="5:13" hidden="1" x14ac:dyDescent="0.35">
      <c r="E3486" s="81"/>
      <c r="I3486" s="83" t="e">
        <f>VLOOKUP(E3486,[1]Mapping!$A$3:$B$14,2,FALSE)</f>
        <v>#N/A</v>
      </c>
      <c r="J3486" s="84">
        <f t="shared" si="110"/>
        <v>0</v>
      </c>
      <c r="K3486" s="84">
        <f t="shared" si="111"/>
        <v>0</v>
      </c>
      <c r="L3486" s="61" t="e">
        <f>VLOOKUP(K3486,[1]Mapping!$J$3:$Q$351,8,FALSE)</f>
        <v>#N/A</v>
      </c>
      <c r="M3486" t="s">
        <v>83</v>
      </c>
    </row>
    <row r="3487" spans="5:13" hidden="1" x14ac:dyDescent="0.35">
      <c r="E3487" s="81"/>
      <c r="I3487" s="83" t="e">
        <f>VLOOKUP(E3487,[1]Mapping!$A$3:$B$14,2,FALSE)</f>
        <v>#N/A</v>
      </c>
      <c r="J3487" s="84">
        <f t="shared" si="110"/>
        <v>0</v>
      </c>
      <c r="K3487" s="84">
        <f t="shared" si="111"/>
        <v>0</v>
      </c>
      <c r="L3487" s="61" t="e">
        <f>VLOOKUP(K3487,[1]Mapping!$J$3:$Q$351,8,FALSE)</f>
        <v>#N/A</v>
      </c>
      <c r="M3487" t="s">
        <v>83</v>
      </c>
    </row>
    <row r="3488" spans="5:13" hidden="1" x14ac:dyDescent="0.35">
      <c r="E3488" s="81"/>
      <c r="I3488" s="83" t="e">
        <f>VLOOKUP(E3488,[1]Mapping!$A$3:$B$14,2,FALSE)</f>
        <v>#N/A</v>
      </c>
      <c r="J3488" s="84">
        <f t="shared" si="110"/>
        <v>0</v>
      </c>
      <c r="K3488" s="84">
        <f t="shared" si="111"/>
        <v>0</v>
      </c>
      <c r="L3488" s="61" t="e">
        <f>VLOOKUP(K3488,[1]Mapping!$J$3:$Q$351,8,FALSE)</f>
        <v>#N/A</v>
      </c>
      <c r="M3488" t="s">
        <v>83</v>
      </c>
    </row>
    <row r="3489" spans="5:13" hidden="1" x14ac:dyDescent="0.35">
      <c r="E3489" s="81"/>
      <c r="I3489" s="83" t="e">
        <f>VLOOKUP(E3489,[1]Mapping!$A$3:$B$14,2,FALSE)</f>
        <v>#N/A</v>
      </c>
      <c r="J3489" s="84">
        <f t="shared" si="110"/>
        <v>0</v>
      </c>
      <c r="K3489" s="84">
        <f t="shared" si="111"/>
        <v>0</v>
      </c>
      <c r="L3489" s="61" t="e">
        <f>VLOOKUP(K3489,[1]Mapping!$J$3:$Q$351,8,FALSE)</f>
        <v>#N/A</v>
      </c>
      <c r="M3489" t="s">
        <v>83</v>
      </c>
    </row>
    <row r="3490" spans="5:13" hidden="1" x14ac:dyDescent="0.35">
      <c r="E3490" s="81"/>
      <c r="I3490" s="83" t="e">
        <f>VLOOKUP(E3490,[1]Mapping!$A$3:$B$14,2,FALSE)</f>
        <v>#N/A</v>
      </c>
      <c r="J3490" s="84">
        <f t="shared" si="110"/>
        <v>0</v>
      </c>
      <c r="K3490" s="84">
        <f t="shared" si="111"/>
        <v>0</v>
      </c>
      <c r="L3490" s="61" t="e">
        <f>VLOOKUP(K3490,[1]Mapping!$J$3:$Q$351,8,FALSE)</f>
        <v>#N/A</v>
      </c>
      <c r="M3490" t="s">
        <v>83</v>
      </c>
    </row>
    <row r="3491" spans="5:13" hidden="1" x14ac:dyDescent="0.35">
      <c r="E3491" s="81"/>
      <c r="I3491" s="83" t="e">
        <f>VLOOKUP(E3491,[1]Mapping!$A$3:$B$14,2,FALSE)</f>
        <v>#N/A</v>
      </c>
      <c r="J3491" s="84">
        <f t="shared" si="110"/>
        <v>0</v>
      </c>
      <c r="K3491" s="84">
        <f t="shared" si="111"/>
        <v>0</v>
      </c>
      <c r="L3491" s="61" t="e">
        <f>VLOOKUP(K3491,[1]Mapping!$J$3:$Q$351,8,FALSE)</f>
        <v>#N/A</v>
      </c>
      <c r="M3491" t="s">
        <v>83</v>
      </c>
    </row>
    <row r="3492" spans="5:13" hidden="1" x14ac:dyDescent="0.35">
      <c r="E3492" s="81"/>
      <c r="I3492" s="83" t="e">
        <f>VLOOKUP(E3492,[1]Mapping!$A$3:$B$14,2,FALSE)</f>
        <v>#N/A</v>
      </c>
      <c r="J3492" s="84">
        <f t="shared" si="110"/>
        <v>0</v>
      </c>
      <c r="K3492" s="84">
        <f t="shared" si="111"/>
        <v>0</v>
      </c>
      <c r="L3492" s="61" t="e">
        <f>VLOOKUP(K3492,[1]Mapping!$J$3:$Q$351,8,FALSE)</f>
        <v>#N/A</v>
      </c>
      <c r="M3492" t="s">
        <v>83</v>
      </c>
    </row>
    <row r="3493" spans="5:13" hidden="1" x14ac:dyDescent="0.35">
      <c r="E3493" s="81"/>
      <c r="I3493" s="83" t="e">
        <f>VLOOKUP(E3493,[1]Mapping!$A$3:$B$14,2,FALSE)</f>
        <v>#N/A</v>
      </c>
      <c r="J3493" s="84">
        <f t="shared" si="110"/>
        <v>0</v>
      </c>
      <c r="K3493" s="84">
        <f t="shared" si="111"/>
        <v>0</v>
      </c>
      <c r="L3493" s="61" t="e">
        <f>VLOOKUP(K3493,[1]Mapping!$J$3:$Q$351,8,FALSE)</f>
        <v>#N/A</v>
      </c>
      <c r="M3493" t="s">
        <v>83</v>
      </c>
    </row>
    <row r="3494" spans="5:13" hidden="1" x14ac:dyDescent="0.35">
      <c r="E3494" s="81"/>
      <c r="I3494" s="83" t="e">
        <f>VLOOKUP(E3494,[1]Mapping!$A$3:$B$14,2,FALSE)</f>
        <v>#N/A</v>
      </c>
      <c r="J3494" s="84">
        <f t="shared" si="110"/>
        <v>0</v>
      </c>
      <c r="K3494" s="84">
        <f t="shared" si="111"/>
        <v>0</v>
      </c>
      <c r="L3494" s="61" t="e">
        <f>VLOOKUP(K3494,[1]Mapping!$J$3:$Q$351,8,FALSE)</f>
        <v>#N/A</v>
      </c>
      <c r="M3494" t="s">
        <v>83</v>
      </c>
    </row>
    <row r="3495" spans="5:13" hidden="1" x14ac:dyDescent="0.35">
      <c r="E3495" s="81"/>
      <c r="I3495" s="83" t="e">
        <f>VLOOKUP(E3495,[1]Mapping!$A$3:$B$14,2,FALSE)</f>
        <v>#N/A</v>
      </c>
      <c r="J3495" s="84">
        <f t="shared" si="110"/>
        <v>0</v>
      </c>
      <c r="K3495" s="84">
        <f t="shared" si="111"/>
        <v>0</v>
      </c>
      <c r="L3495" s="61" t="e">
        <f>VLOOKUP(K3495,[1]Mapping!$J$3:$Q$351,8,FALSE)</f>
        <v>#N/A</v>
      </c>
      <c r="M3495" t="s">
        <v>83</v>
      </c>
    </row>
    <row r="3496" spans="5:13" hidden="1" x14ac:dyDescent="0.35">
      <c r="E3496" s="81"/>
      <c r="I3496" s="83" t="e">
        <f>VLOOKUP(E3496,[1]Mapping!$A$3:$B$14,2,FALSE)</f>
        <v>#N/A</v>
      </c>
      <c r="J3496" s="84">
        <f t="shared" si="110"/>
        <v>0</v>
      </c>
      <c r="K3496" s="84">
        <f t="shared" si="111"/>
        <v>0</v>
      </c>
      <c r="L3496" s="61" t="e">
        <f>VLOOKUP(K3496,[1]Mapping!$J$3:$Q$351,8,FALSE)</f>
        <v>#N/A</v>
      </c>
      <c r="M3496" t="s">
        <v>83</v>
      </c>
    </row>
    <row r="3497" spans="5:13" hidden="1" x14ac:dyDescent="0.35">
      <c r="E3497" s="81"/>
      <c r="I3497" s="83" t="e">
        <f>VLOOKUP(E3497,[1]Mapping!$A$3:$B$14,2,FALSE)</f>
        <v>#N/A</v>
      </c>
      <c r="J3497" s="84">
        <f t="shared" si="110"/>
        <v>0</v>
      </c>
      <c r="K3497" s="84">
        <f t="shared" si="111"/>
        <v>0</v>
      </c>
      <c r="L3497" s="61" t="e">
        <f>VLOOKUP(K3497,[1]Mapping!$J$3:$Q$351,8,FALSE)</f>
        <v>#N/A</v>
      </c>
      <c r="M3497" t="s">
        <v>83</v>
      </c>
    </row>
    <row r="3498" spans="5:13" hidden="1" x14ac:dyDescent="0.35">
      <c r="E3498" s="81"/>
      <c r="I3498" s="83" t="e">
        <f>VLOOKUP(E3498,[1]Mapping!$A$3:$B$14,2,FALSE)</f>
        <v>#N/A</v>
      </c>
      <c r="J3498" s="84">
        <f t="shared" si="110"/>
        <v>0</v>
      </c>
      <c r="K3498" s="84">
        <f t="shared" si="111"/>
        <v>0</v>
      </c>
      <c r="L3498" s="61" t="e">
        <f>VLOOKUP(K3498,[1]Mapping!$J$3:$Q$351,8,FALSE)</f>
        <v>#N/A</v>
      </c>
      <c r="M3498" t="s">
        <v>83</v>
      </c>
    </row>
    <row r="3499" spans="5:13" hidden="1" x14ac:dyDescent="0.35">
      <c r="E3499" s="81"/>
      <c r="I3499" s="83" t="e">
        <f>VLOOKUP(E3499,[1]Mapping!$A$3:$B$14,2,FALSE)</f>
        <v>#N/A</v>
      </c>
      <c r="J3499" s="84">
        <f t="shared" si="110"/>
        <v>0</v>
      </c>
      <c r="K3499" s="84">
        <f t="shared" si="111"/>
        <v>0</v>
      </c>
      <c r="L3499" s="61" t="e">
        <f>VLOOKUP(K3499,[1]Mapping!$J$3:$Q$351,8,FALSE)</f>
        <v>#N/A</v>
      </c>
      <c r="M3499" t="s">
        <v>83</v>
      </c>
    </row>
    <row r="3500" spans="5:13" hidden="1" x14ac:dyDescent="0.35">
      <c r="E3500" s="81"/>
      <c r="I3500" s="83" t="e">
        <f>VLOOKUP(E3500,[1]Mapping!$A$3:$B$14,2,FALSE)</f>
        <v>#N/A</v>
      </c>
      <c r="J3500" s="84">
        <f t="shared" si="110"/>
        <v>0</v>
      </c>
      <c r="K3500" s="84">
        <f t="shared" si="111"/>
        <v>0</v>
      </c>
      <c r="L3500" s="61" t="e">
        <f>VLOOKUP(K3500,[1]Mapping!$J$3:$Q$351,8,FALSE)</f>
        <v>#N/A</v>
      </c>
      <c r="M3500" t="s">
        <v>83</v>
      </c>
    </row>
    <row r="3501" spans="5:13" hidden="1" x14ac:dyDescent="0.35">
      <c r="E3501" s="81"/>
      <c r="I3501" s="83" t="e">
        <f>VLOOKUP(E3501,[1]Mapping!$A$3:$B$14,2,FALSE)</f>
        <v>#N/A</v>
      </c>
      <c r="J3501" s="84">
        <f t="shared" si="110"/>
        <v>0</v>
      </c>
      <c r="K3501" s="84">
        <f t="shared" si="111"/>
        <v>0</v>
      </c>
      <c r="L3501" s="61" t="e">
        <f>VLOOKUP(K3501,[1]Mapping!$J$3:$Q$351,8,FALSE)</f>
        <v>#N/A</v>
      </c>
      <c r="M3501" t="s">
        <v>83</v>
      </c>
    </row>
    <row r="3502" spans="5:13" hidden="1" x14ac:dyDescent="0.35">
      <c r="E3502" s="81"/>
      <c r="I3502" s="83" t="e">
        <f>VLOOKUP(E3502,[1]Mapping!$A$3:$B$14,2,FALSE)</f>
        <v>#N/A</v>
      </c>
      <c r="J3502" s="84">
        <f t="shared" si="110"/>
        <v>0</v>
      </c>
      <c r="K3502" s="84">
        <f t="shared" si="111"/>
        <v>0</v>
      </c>
      <c r="L3502" s="61" t="e">
        <f>VLOOKUP(K3502,[1]Mapping!$J$3:$Q$351,8,FALSE)</f>
        <v>#N/A</v>
      </c>
      <c r="M3502" t="s">
        <v>83</v>
      </c>
    </row>
    <row r="3503" spans="5:13" hidden="1" x14ac:dyDescent="0.35">
      <c r="E3503" s="81"/>
      <c r="I3503" s="83" t="e">
        <f>VLOOKUP(E3503,[1]Mapping!$A$3:$B$14,2,FALSE)</f>
        <v>#N/A</v>
      </c>
      <c r="J3503" s="84">
        <f t="shared" si="110"/>
        <v>0</v>
      </c>
      <c r="K3503" s="84">
        <f t="shared" si="111"/>
        <v>0</v>
      </c>
      <c r="L3503" s="61" t="e">
        <f>VLOOKUP(K3503,[1]Mapping!$J$3:$Q$351,8,FALSE)</f>
        <v>#N/A</v>
      </c>
      <c r="M3503" t="s">
        <v>83</v>
      </c>
    </row>
    <row r="3504" spans="5:13" hidden="1" x14ac:dyDescent="0.35">
      <c r="E3504" s="81"/>
      <c r="I3504" s="83" t="e">
        <f>VLOOKUP(E3504,[1]Mapping!$A$3:$B$14,2,FALSE)</f>
        <v>#N/A</v>
      </c>
      <c r="J3504" s="84">
        <f t="shared" si="110"/>
        <v>0</v>
      </c>
      <c r="K3504" s="84">
        <f t="shared" si="111"/>
        <v>0</v>
      </c>
      <c r="L3504" s="61" t="e">
        <f>VLOOKUP(K3504,[1]Mapping!$J$3:$Q$351,8,FALSE)</f>
        <v>#N/A</v>
      </c>
      <c r="M3504" t="s">
        <v>83</v>
      </c>
    </row>
    <row r="3505" spans="5:13" hidden="1" x14ac:dyDescent="0.35">
      <c r="E3505" s="81"/>
      <c r="I3505" s="83" t="e">
        <f>VLOOKUP(E3505,[1]Mapping!$A$3:$B$14,2,FALSE)</f>
        <v>#N/A</v>
      </c>
      <c r="J3505" s="84">
        <f t="shared" si="110"/>
        <v>0</v>
      </c>
      <c r="K3505" s="84">
        <f t="shared" si="111"/>
        <v>0</v>
      </c>
      <c r="L3505" s="61" t="e">
        <f>VLOOKUP(K3505,[1]Mapping!$J$3:$Q$351,8,FALSE)</f>
        <v>#N/A</v>
      </c>
      <c r="M3505" t="s">
        <v>83</v>
      </c>
    </row>
    <row r="3506" spans="5:13" hidden="1" x14ac:dyDescent="0.35">
      <c r="E3506" s="81"/>
      <c r="I3506" s="83" t="e">
        <f>VLOOKUP(E3506,[1]Mapping!$A$3:$B$14,2,FALSE)</f>
        <v>#N/A</v>
      </c>
      <c r="J3506" s="84">
        <f t="shared" si="110"/>
        <v>0</v>
      </c>
      <c r="K3506" s="84">
        <f t="shared" si="111"/>
        <v>0</v>
      </c>
      <c r="L3506" s="61" t="e">
        <f>VLOOKUP(K3506,[1]Mapping!$J$3:$Q$351,8,FALSE)</f>
        <v>#N/A</v>
      </c>
      <c r="M3506" t="s">
        <v>83</v>
      </c>
    </row>
    <row r="3507" spans="5:13" hidden="1" x14ac:dyDescent="0.35">
      <c r="E3507" s="81"/>
      <c r="I3507" s="83" t="e">
        <f>VLOOKUP(E3507,[1]Mapping!$A$3:$B$14,2,FALSE)</f>
        <v>#N/A</v>
      </c>
      <c r="J3507" s="84">
        <f t="shared" si="110"/>
        <v>0</v>
      </c>
      <c r="K3507" s="84">
        <f t="shared" si="111"/>
        <v>0</v>
      </c>
      <c r="L3507" s="61" t="e">
        <f>VLOOKUP(K3507,[1]Mapping!$J$3:$Q$351,8,FALSE)</f>
        <v>#N/A</v>
      </c>
      <c r="M3507" t="s">
        <v>83</v>
      </c>
    </row>
    <row r="3508" spans="5:13" hidden="1" x14ac:dyDescent="0.35">
      <c r="E3508" s="81"/>
      <c r="I3508" s="83" t="e">
        <f>VLOOKUP(E3508,[1]Mapping!$A$3:$B$14,2,FALSE)</f>
        <v>#N/A</v>
      </c>
      <c r="J3508" s="84">
        <f t="shared" si="110"/>
        <v>0</v>
      </c>
      <c r="K3508" s="84">
        <f t="shared" si="111"/>
        <v>0</v>
      </c>
      <c r="L3508" s="61" t="e">
        <f>VLOOKUP(K3508,[1]Mapping!$J$3:$Q$351,8,FALSE)</f>
        <v>#N/A</v>
      </c>
      <c r="M3508" t="s">
        <v>83</v>
      </c>
    </row>
    <row r="3509" spans="5:13" hidden="1" x14ac:dyDescent="0.35">
      <c r="E3509" s="81"/>
      <c r="I3509" s="83" t="e">
        <f>VLOOKUP(E3509,[1]Mapping!$A$3:$B$14,2,FALSE)</f>
        <v>#N/A</v>
      </c>
      <c r="J3509" s="84">
        <f t="shared" si="110"/>
        <v>0</v>
      </c>
      <c r="K3509" s="84">
        <f t="shared" si="111"/>
        <v>0</v>
      </c>
      <c r="L3509" s="61" t="e">
        <f>VLOOKUP(K3509,[1]Mapping!$J$3:$Q$351,8,FALSE)</f>
        <v>#N/A</v>
      </c>
      <c r="M3509" t="s">
        <v>83</v>
      </c>
    </row>
    <row r="3510" spans="5:13" hidden="1" x14ac:dyDescent="0.35">
      <c r="E3510" s="81"/>
      <c r="I3510" s="83" t="e">
        <f>VLOOKUP(E3510,[1]Mapping!$A$3:$B$14,2,FALSE)</f>
        <v>#N/A</v>
      </c>
      <c r="J3510" s="84">
        <f t="shared" si="110"/>
        <v>0</v>
      </c>
      <c r="K3510" s="84">
        <f t="shared" si="111"/>
        <v>0</v>
      </c>
      <c r="L3510" s="61" t="e">
        <f>VLOOKUP(K3510,[1]Mapping!$J$3:$Q$351,8,FALSE)</f>
        <v>#N/A</v>
      </c>
      <c r="M3510" t="s">
        <v>83</v>
      </c>
    </row>
    <row r="3511" spans="5:13" hidden="1" x14ac:dyDescent="0.35">
      <c r="E3511" s="81"/>
      <c r="I3511" s="83" t="e">
        <f>VLOOKUP(E3511,[1]Mapping!$A$3:$B$14,2,FALSE)</f>
        <v>#N/A</v>
      </c>
      <c r="J3511" s="84">
        <f t="shared" si="110"/>
        <v>0</v>
      </c>
      <c r="K3511" s="84">
        <f t="shared" si="111"/>
        <v>0</v>
      </c>
      <c r="L3511" s="61" t="e">
        <f>VLOOKUP(K3511,[1]Mapping!$J$3:$Q$351,8,FALSE)</f>
        <v>#N/A</v>
      </c>
      <c r="M3511" t="s">
        <v>83</v>
      </c>
    </row>
    <row r="3512" spans="5:13" hidden="1" x14ac:dyDescent="0.35">
      <c r="E3512" s="81"/>
      <c r="I3512" s="83" t="e">
        <f>VLOOKUP(E3512,[1]Mapping!$A$3:$B$14,2,FALSE)</f>
        <v>#N/A</v>
      </c>
      <c r="J3512" s="84">
        <f t="shared" si="110"/>
        <v>0</v>
      </c>
      <c r="K3512" s="84">
        <f t="shared" si="111"/>
        <v>0</v>
      </c>
      <c r="L3512" s="61" t="e">
        <f>VLOOKUP(K3512,[1]Mapping!$J$3:$Q$351,8,FALSE)</f>
        <v>#N/A</v>
      </c>
      <c r="M3512" t="s">
        <v>83</v>
      </c>
    </row>
    <row r="3513" spans="5:13" hidden="1" x14ac:dyDescent="0.35">
      <c r="E3513" s="81"/>
      <c r="I3513" s="83" t="e">
        <f>VLOOKUP(E3513,[1]Mapping!$A$3:$B$14,2,FALSE)</f>
        <v>#N/A</v>
      </c>
      <c r="J3513" s="84">
        <f t="shared" si="110"/>
        <v>0</v>
      </c>
      <c r="K3513" s="84">
        <f t="shared" si="111"/>
        <v>0</v>
      </c>
      <c r="L3513" s="61" t="e">
        <f>VLOOKUP(K3513,[1]Mapping!$J$3:$Q$351,8,FALSE)</f>
        <v>#N/A</v>
      </c>
      <c r="M3513" t="s">
        <v>83</v>
      </c>
    </row>
    <row r="3514" spans="5:13" hidden="1" x14ac:dyDescent="0.35">
      <c r="E3514" s="81"/>
      <c r="I3514" s="83" t="e">
        <f>VLOOKUP(E3514,[1]Mapping!$A$3:$B$14,2,FALSE)</f>
        <v>#N/A</v>
      </c>
      <c r="J3514" s="84">
        <f t="shared" si="110"/>
        <v>0</v>
      </c>
      <c r="K3514" s="84">
        <f t="shared" si="111"/>
        <v>0</v>
      </c>
      <c r="L3514" s="61" t="e">
        <f>VLOOKUP(K3514,[1]Mapping!$J$3:$Q$351,8,FALSE)</f>
        <v>#N/A</v>
      </c>
      <c r="M3514" t="s">
        <v>83</v>
      </c>
    </row>
    <row r="3515" spans="5:13" hidden="1" x14ac:dyDescent="0.35">
      <c r="E3515" s="81"/>
      <c r="I3515" s="83" t="e">
        <f>VLOOKUP(E3515,[1]Mapping!$A$3:$B$14,2,FALSE)</f>
        <v>#N/A</v>
      </c>
      <c r="J3515" s="84">
        <f t="shared" si="110"/>
        <v>0</v>
      </c>
      <c r="K3515" s="84">
        <f t="shared" si="111"/>
        <v>0</v>
      </c>
      <c r="L3515" s="61" t="e">
        <f>VLOOKUP(K3515,[1]Mapping!$J$3:$Q$351,8,FALSE)</f>
        <v>#N/A</v>
      </c>
      <c r="M3515" t="s">
        <v>83</v>
      </c>
    </row>
    <row r="3516" spans="5:13" hidden="1" x14ac:dyDescent="0.35">
      <c r="E3516" s="81"/>
      <c r="I3516" s="83" t="e">
        <f>VLOOKUP(E3516,[1]Mapping!$A$3:$B$14,2,FALSE)</f>
        <v>#N/A</v>
      </c>
      <c r="J3516" s="84">
        <f t="shared" si="110"/>
        <v>0</v>
      </c>
      <c r="K3516" s="84">
        <f t="shared" si="111"/>
        <v>0</v>
      </c>
      <c r="L3516" s="61" t="e">
        <f>VLOOKUP(K3516,[1]Mapping!$J$3:$Q$351,8,FALSE)</f>
        <v>#N/A</v>
      </c>
      <c r="M3516" t="s">
        <v>83</v>
      </c>
    </row>
    <row r="3517" spans="5:13" hidden="1" x14ac:dyDescent="0.35">
      <c r="E3517" s="81"/>
      <c r="I3517" s="83" t="e">
        <f>VLOOKUP(E3517,[1]Mapping!$A$3:$B$14,2,FALSE)</f>
        <v>#N/A</v>
      </c>
      <c r="J3517" s="84">
        <f t="shared" si="110"/>
        <v>0</v>
      </c>
      <c r="K3517" s="84">
        <f t="shared" si="111"/>
        <v>0</v>
      </c>
      <c r="L3517" s="61" t="e">
        <f>VLOOKUP(K3517,[1]Mapping!$J$3:$Q$351,8,FALSE)</f>
        <v>#N/A</v>
      </c>
      <c r="M3517" t="s">
        <v>83</v>
      </c>
    </row>
    <row r="3518" spans="5:13" hidden="1" x14ac:dyDescent="0.35">
      <c r="E3518" s="81"/>
      <c r="I3518" s="83" t="e">
        <f>VLOOKUP(E3518,[1]Mapping!$A$3:$B$14,2,FALSE)</f>
        <v>#N/A</v>
      </c>
      <c r="J3518" s="84">
        <f t="shared" si="110"/>
        <v>0</v>
      </c>
      <c r="K3518" s="84">
        <f t="shared" si="111"/>
        <v>0</v>
      </c>
      <c r="L3518" s="61" t="e">
        <f>VLOOKUP(K3518,[1]Mapping!$J$3:$Q$351,8,FALSE)</f>
        <v>#N/A</v>
      </c>
      <c r="M3518" t="s">
        <v>83</v>
      </c>
    </row>
    <row r="3519" spans="5:13" hidden="1" x14ac:dyDescent="0.35">
      <c r="E3519" s="81"/>
      <c r="I3519" s="83" t="e">
        <f>VLOOKUP(E3519,[1]Mapping!$A$3:$B$14,2,FALSE)</f>
        <v>#N/A</v>
      </c>
      <c r="J3519" s="84">
        <f t="shared" si="110"/>
        <v>0</v>
      </c>
      <c r="K3519" s="84">
        <f t="shared" si="111"/>
        <v>0</v>
      </c>
      <c r="L3519" s="61" t="e">
        <f>VLOOKUP(K3519,[1]Mapping!$J$3:$Q$351,8,FALSE)</f>
        <v>#N/A</v>
      </c>
      <c r="M3519" t="s">
        <v>83</v>
      </c>
    </row>
    <row r="3520" spans="5:13" hidden="1" x14ac:dyDescent="0.35">
      <c r="E3520" s="81"/>
      <c r="I3520" s="83" t="e">
        <f>VLOOKUP(E3520,[1]Mapping!$A$3:$B$14,2,FALSE)</f>
        <v>#N/A</v>
      </c>
      <c r="J3520" s="84">
        <f t="shared" si="110"/>
        <v>0</v>
      </c>
      <c r="K3520" s="84">
        <f t="shared" si="111"/>
        <v>0</v>
      </c>
      <c r="L3520" s="61" t="e">
        <f>VLOOKUP(K3520,[1]Mapping!$J$3:$Q$351,8,FALSE)</f>
        <v>#N/A</v>
      </c>
      <c r="M3520" t="s">
        <v>83</v>
      </c>
    </row>
    <row r="3521" spans="5:13" hidden="1" x14ac:dyDescent="0.35">
      <c r="E3521" s="81"/>
      <c r="I3521" s="83" t="e">
        <f>VLOOKUP(E3521,[1]Mapping!$A$3:$B$14,2,FALSE)</f>
        <v>#N/A</v>
      </c>
      <c r="J3521" s="84">
        <f t="shared" si="110"/>
        <v>0</v>
      </c>
      <c r="K3521" s="84">
        <f t="shared" si="111"/>
        <v>0</v>
      </c>
      <c r="L3521" s="61" t="e">
        <f>VLOOKUP(K3521,[1]Mapping!$J$3:$Q$351,8,FALSE)</f>
        <v>#N/A</v>
      </c>
      <c r="M3521" t="s">
        <v>83</v>
      </c>
    </row>
    <row r="3522" spans="5:13" hidden="1" x14ac:dyDescent="0.35">
      <c r="E3522" s="81"/>
      <c r="I3522" s="83" t="e">
        <f>VLOOKUP(E3522,[1]Mapping!$A$3:$B$14,2,FALSE)</f>
        <v>#N/A</v>
      </c>
      <c r="J3522" s="84">
        <f t="shared" si="110"/>
        <v>0</v>
      </c>
      <c r="K3522" s="84">
        <f t="shared" si="111"/>
        <v>0</v>
      </c>
      <c r="L3522" s="61" t="e">
        <f>VLOOKUP(K3522,[1]Mapping!$J$3:$Q$351,8,FALSE)</f>
        <v>#N/A</v>
      </c>
      <c r="M3522" t="s">
        <v>83</v>
      </c>
    </row>
    <row r="3523" spans="5:13" hidden="1" x14ac:dyDescent="0.35">
      <c r="E3523" s="81"/>
      <c r="I3523" s="83" t="e">
        <f>VLOOKUP(E3523,[1]Mapping!$A$3:$B$14,2,FALSE)</f>
        <v>#N/A</v>
      </c>
      <c r="J3523" s="84">
        <f t="shared" si="110"/>
        <v>0</v>
      </c>
      <c r="K3523" s="84">
        <f t="shared" si="111"/>
        <v>0</v>
      </c>
      <c r="L3523" s="61" t="e">
        <f>VLOOKUP(K3523,[1]Mapping!$J$3:$Q$351,8,FALSE)</f>
        <v>#N/A</v>
      </c>
      <c r="M3523" t="s">
        <v>83</v>
      </c>
    </row>
    <row r="3524" spans="5:13" hidden="1" x14ac:dyDescent="0.35">
      <c r="E3524" s="81"/>
      <c r="I3524" s="83" t="e">
        <f>VLOOKUP(E3524,[1]Mapping!$A$3:$B$14,2,FALSE)</f>
        <v>#N/A</v>
      </c>
      <c r="J3524" s="84">
        <f t="shared" ref="J3524:J3587" si="112">VALUE(A3524)</f>
        <v>0</v>
      </c>
      <c r="K3524" s="84">
        <f t="shared" ref="K3524:K3587" si="113">VALUE(C3524)</f>
        <v>0</v>
      </c>
      <c r="L3524" s="61" t="e">
        <f>VLOOKUP(K3524,[1]Mapping!$J$3:$Q$351,8,FALSE)</f>
        <v>#N/A</v>
      </c>
      <c r="M3524" t="s">
        <v>83</v>
      </c>
    </row>
    <row r="3525" spans="5:13" hidden="1" x14ac:dyDescent="0.35">
      <c r="E3525" s="81"/>
      <c r="I3525" s="83" t="e">
        <f>VLOOKUP(E3525,[1]Mapping!$A$3:$B$14,2,FALSE)</f>
        <v>#N/A</v>
      </c>
      <c r="J3525" s="84">
        <f t="shared" si="112"/>
        <v>0</v>
      </c>
      <c r="K3525" s="84">
        <f t="shared" si="113"/>
        <v>0</v>
      </c>
      <c r="L3525" s="61" t="e">
        <f>VLOOKUP(K3525,[1]Mapping!$J$3:$Q$351,8,FALSE)</f>
        <v>#N/A</v>
      </c>
      <c r="M3525" t="s">
        <v>83</v>
      </c>
    </row>
    <row r="3526" spans="5:13" hidden="1" x14ac:dyDescent="0.35">
      <c r="E3526" s="81"/>
      <c r="I3526" s="83" t="e">
        <f>VLOOKUP(E3526,[1]Mapping!$A$3:$B$14,2,FALSE)</f>
        <v>#N/A</v>
      </c>
      <c r="J3526" s="84">
        <f t="shared" si="112"/>
        <v>0</v>
      </c>
      <c r="K3526" s="84">
        <f t="shared" si="113"/>
        <v>0</v>
      </c>
      <c r="L3526" s="61" t="e">
        <f>VLOOKUP(K3526,[1]Mapping!$J$3:$Q$351,8,FALSE)</f>
        <v>#N/A</v>
      </c>
      <c r="M3526" t="s">
        <v>83</v>
      </c>
    </row>
    <row r="3527" spans="5:13" hidden="1" x14ac:dyDescent="0.35">
      <c r="E3527" s="81"/>
      <c r="I3527" s="83" t="e">
        <f>VLOOKUP(E3527,[1]Mapping!$A$3:$B$14,2,FALSE)</f>
        <v>#N/A</v>
      </c>
      <c r="J3527" s="84">
        <f t="shared" si="112"/>
        <v>0</v>
      </c>
      <c r="K3527" s="84">
        <f t="shared" si="113"/>
        <v>0</v>
      </c>
      <c r="L3527" s="61" t="e">
        <f>VLOOKUP(K3527,[1]Mapping!$J$3:$Q$351,8,FALSE)</f>
        <v>#N/A</v>
      </c>
      <c r="M3527" t="s">
        <v>83</v>
      </c>
    </row>
    <row r="3528" spans="5:13" hidden="1" x14ac:dyDescent="0.35">
      <c r="E3528" s="81"/>
      <c r="I3528" s="83" t="e">
        <f>VLOOKUP(E3528,[1]Mapping!$A$3:$B$14,2,FALSE)</f>
        <v>#N/A</v>
      </c>
      <c r="J3528" s="84">
        <f t="shared" si="112"/>
        <v>0</v>
      </c>
      <c r="K3528" s="84">
        <f t="shared" si="113"/>
        <v>0</v>
      </c>
      <c r="L3528" s="61" t="e">
        <f>VLOOKUP(K3528,[1]Mapping!$J$3:$Q$351,8,FALSE)</f>
        <v>#N/A</v>
      </c>
      <c r="M3528" t="s">
        <v>83</v>
      </c>
    </row>
    <row r="3529" spans="5:13" hidden="1" x14ac:dyDescent="0.35">
      <c r="E3529" s="81"/>
      <c r="I3529" s="83" t="e">
        <f>VLOOKUP(E3529,[1]Mapping!$A$3:$B$14,2,FALSE)</f>
        <v>#N/A</v>
      </c>
      <c r="J3529" s="84">
        <f t="shared" si="112"/>
        <v>0</v>
      </c>
      <c r="K3529" s="84">
        <f t="shared" si="113"/>
        <v>0</v>
      </c>
      <c r="L3529" s="61" t="e">
        <f>VLOOKUP(K3529,[1]Mapping!$J$3:$Q$351,8,FALSE)</f>
        <v>#N/A</v>
      </c>
      <c r="M3529" t="s">
        <v>83</v>
      </c>
    </row>
    <row r="3530" spans="5:13" hidden="1" x14ac:dyDescent="0.35">
      <c r="E3530" s="81"/>
      <c r="I3530" s="83" t="e">
        <f>VLOOKUP(E3530,[1]Mapping!$A$3:$B$14,2,FALSE)</f>
        <v>#N/A</v>
      </c>
      <c r="J3530" s="84">
        <f t="shared" si="112"/>
        <v>0</v>
      </c>
      <c r="K3530" s="84">
        <f t="shared" si="113"/>
        <v>0</v>
      </c>
      <c r="L3530" s="61" t="e">
        <f>VLOOKUP(K3530,[1]Mapping!$J$3:$Q$351,8,FALSE)</f>
        <v>#N/A</v>
      </c>
      <c r="M3530" t="s">
        <v>83</v>
      </c>
    </row>
    <row r="3531" spans="5:13" hidden="1" x14ac:dyDescent="0.35">
      <c r="E3531" s="81"/>
      <c r="I3531" s="83" t="e">
        <f>VLOOKUP(E3531,[1]Mapping!$A$3:$B$14,2,FALSE)</f>
        <v>#N/A</v>
      </c>
      <c r="J3531" s="84">
        <f t="shared" si="112"/>
        <v>0</v>
      </c>
      <c r="K3531" s="84">
        <f t="shared" si="113"/>
        <v>0</v>
      </c>
      <c r="L3531" s="61" t="e">
        <f>VLOOKUP(K3531,[1]Mapping!$J$3:$Q$351,8,FALSE)</f>
        <v>#N/A</v>
      </c>
      <c r="M3531" t="s">
        <v>83</v>
      </c>
    </row>
    <row r="3532" spans="5:13" hidden="1" x14ac:dyDescent="0.35">
      <c r="E3532" s="81"/>
      <c r="I3532" s="83" t="e">
        <f>VLOOKUP(E3532,[1]Mapping!$A$3:$B$14,2,FALSE)</f>
        <v>#N/A</v>
      </c>
      <c r="J3532" s="84">
        <f t="shared" si="112"/>
        <v>0</v>
      </c>
      <c r="K3532" s="84">
        <f t="shared" si="113"/>
        <v>0</v>
      </c>
      <c r="L3532" s="61" t="e">
        <f>VLOOKUP(K3532,[1]Mapping!$J$3:$Q$351,8,FALSE)</f>
        <v>#N/A</v>
      </c>
      <c r="M3532" t="s">
        <v>83</v>
      </c>
    </row>
    <row r="3533" spans="5:13" hidden="1" x14ac:dyDescent="0.35">
      <c r="E3533" s="81"/>
      <c r="I3533" s="83" t="e">
        <f>VLOOKUP(E3533,[1]Mapping!$A$3:$B$14,2,FALSE)</f>
        <v>#N/A</v>
      </c>
      <c r="J3533" s="84">
        <f t="shared" si="112"/>
        <v>0</v>
      </c>
      <c r="K3533" s="84">
        <f t="shared" si="113"/>
        <v>0</v>
      </c>
      <c r="L3533" s="61" t="e">
        <f>VLOOKUP(K3533,[1]Mapping!$J$3:$Q$351,8,FALSE)</f>
        <v>#N/A</v>
      </c>
      <c r="M3533" t="s">
        <v>83</v>
      </c>
    </row>
    <row r="3534" spans="5:13" hidden="1" x14ac:dyDescent="0.35">
      <c r="E3534" s="81"/>
      <c r="I3534" s="83" t="e">
        <f>VLOOKUP(E3534,[1]Mapping!$A$3:$B$14,2,FALSE)</f>
        <v>#N/A</v>
      </c>
      <c r="J3534" s="84">
        <f t="shared" si="112"/>
        <v>0</v>
      </c>
      <c r="K3534" s="84">
        <f t="shared" si="113"/>
        <v>0</v>
      </c>
      <c r="L3534" s="61" t="e">
        <f>VLOOKUP(K3534,[1]Mapping!$J$3:$Q$351,8,FALSE)</f>
        <v>#N/A</v>
      </c>
      <c r="M3534" t="s">
        <v>83</v>
      </c>
    </row>
    <row r="3535" spans="5:13" hidden="1" x14ac:dyDescent="0.35">
      <c r="E3535" s="81"/>
      <c r="I3535" s="83" t="e">
        <f>VLOOKUP(E3535,[1]Mapping!$A$3:$B$14,2,FALSE)</f>
        <v>#N/A</v>
      </c>
      <c r="J3535" s="84">
        <f t="shared" si="112"/>
        <v>0</v>
      </c>
      <c r="K3535" s="84">
        <f t="shared" si="113"/>
        <v>0</v>
      </c>
      <c r="L3535" s="61" t="e">
        <f>VLOOKUP(K3535,[1]Mapping!$J$3:$Q$351,8,FALSE)</f>
        <v>#N/A</v>
      </c>
      <c r="M3535" t="s">
        <v>83</v>
      </c>
    </row>
    <row r="3536" spans="5:13" hidden="1" x14ac:dyDescent="0.35">
      <c r="E3536" s="81"/>
      <c r="I3536" s="83" t="e">
        <f>VLOOKUP(E3536,[1]Mapping!$A$3:$B$14,2,FALSE)</f>
        <v>#N/A</v>
      </c>
      <c r="J3536" s="84">
        <f t="shared" si="112"/>
        <v>0</v>
      </c>
      <c r="K3536" s="84">
        <f t="shared" si="113"/>
        <v>0</v>
      </c>
      <c r="L3536" s="61" t="e">
        <f>VLOOKUP(K3536,[1]Mapping!$J$3:$Q$351,8,FALSE)</f>
        <v>#N/A</v>
      </c>
      <c r="M3536" t="s">
        <v>83</v>
      </c>
    </row>
    <row r="3537" spans="5:13" hidden="1" x14ac:dyDescent="0.35">
      <c r="E3537" s="81"/>
      <c r="I3537" s="83" t="e">
        <f>VLOOKUP(E3537,[1]Mapping!$A$3:$B$14,2,FALSE)</f>
        <v>#N/A</v>
      </c>
      <c r="J3537" s="84">
        <f t="shared" si="112"/>
        <v>0</v>
      </c>
      <c r="K3537" s="84">
        <f t="shared" si="113"/>
        <v>0</v>
      </c>
      <c r="L3537" s="61" t="e">
        <f>VLOOKUP(K3537,[1]Mapping!$J$3:$Q$351,8,FALSE)</f>
        <v>#N/A</v>
      </c>
      <c r="M3537" t="s">
        <v>83</v>
      </c>
    </row>
    <row r="3538" spans="5:13" hidden="1" x14ac:dyDescent="0.35">
      <c r="E3538" s="81"/>
      <c r="I3538" s="83" t="e">
        <f>VLOOKUP(E3538,[1]Mapping!$A$3:$B$14,2,FALSE)</f>
        <v>#N/A</v>
      </c>
      <c r="J3538" s="84">
        <f t="shared" si="112"/>
        <v>0</v>
      </c>
      <c r="K3538" s="84">
        <f t="shared" si="113"/>
        <v>0</v>
      </c>
      <c r="L3538" s="61" t="e">
        <f>VLOOKUP(K3538,[1]Mapping!$J$3:$Q$351,8,FALSE)</f>
        <v>#N/A</v>
      </c>
      <c r="M3538" t="s">
        <v>83</v>
      </c>
    </row>
    <row r="3539" spans="5:13" hidden="1" x14ac:dyDescent="0.35">
      <c r="E3539" s="81"/>
      <c r="I3539" s="83" t="e">
        <f>VLOOKUP(E3539,[1]Mapping!$A$3:$B$14,2,FALSE)</f>
        <v>#N/A</v>
      </c>
      <c r="J3539" s="84">
        <f t="shared" si="112"/>
        <v>0</v>
      </c>
      <c r="K3539" s="84">
        <f t="shared" si="113"/>
        <v>0</v>
      </c>
      <c r="L3539" s="61" t="e">
        <f>VLOOKUP(K3539,[1]Mapping!$J$3:$Q$351,8,FALSE)</f>
        <v>#N/A</v>
      </c>
      <c r="M3539" t="s">
        <v>83</v>
      </c>
    </row>
    <row r="3540" spans="5:13" hidden="1" x14ac:dyDescent="0.35">
      <c r="E3540" s="81"/>
      <c r="I3540" s="83" t="e">
        <f>VLOOKUP(E3540,[1]Mapping!$A$3:$B$14,2,FALSE)</f>
        <v>#N/A</v>
      </c>
      <c r="J3540" s="84">
        <f t="shared" si="112"/>
        <v>0</v>
      </c>
      <c r="K3540" s="84">
        <f t="shared" si="113"/>
        <v>0</v>
      </c>
      <c r="L3540" s="61" t="e">
        <f>VLOOKUP(K3540,[1]Mapping!$J$3:$Q$351,8,FALSE)</f>
        <v>#N/A</v>
      </c>
      <c r="M3540" t="s">
        <v>83</v>
      </c>
    </row>
    <row r="3541" spans="5:13" hidden="1" x14ac:dyDescent="0.35">
      <c r="E3541" s="81"/>
      <c r="I3541" s="83" t="e">
        <f>VLOOKUP(E3541,[1]Mapping!$A$3:$B$14,2,FALSE)</f>
        <v>#N/A</v>
      </c>
      <c r="J3541" s="84">
        <f t="shared" si="112"/>
        <v>0</v>
      </c>
      <c r="K3541" s="84">
        <f t="shared" si="113"/>
        <v>0</v>
      </c>
      <c r="L3541" s="61" t="e">
        <f>VLOOKUP(K3541,[1]Mapping!$J$3:$Q$351,8,FALSE)</f>
        <v>#N/A</v>
      </c>
      <c r="M3541" t="s">
        <v>83</v>
      </c>
    </row>
    <row r="3542" spans="5:13" hidden="1" x14ac:dyDescent="0.35">
      <c r="E3542" s="81"/>
      <c r="I3542" s="83" t="e">
        <f>VLOOKUP(E3542,[1]Mapping!$A$3:$B$14,2,FALSE)</f>
        <v>#N/A</v>
      </c>
      <c r="J3542" s="84">
        <f t="shared" si="112"/>
        <v>0</v>
      </c>
      <c r="K3542" s="84">
        <f t="shared" si="113"/>
        <v>0</v>
      </c>
      <c r="L3542" s="61" t="e">
        <f>VLOOKUP(K3542,[1]Mapping!$J$3:$Q$351,8,FALSE)</f>
        <v>#N/A</v>
      </c>
      <c r="M3542" t="s">
        <v>83</v>
      </c>
    </row>
    <row r="3543" spans="5:13" hidden="1" x14ac:dyDescent="0.35">
      <c r="E3543" s="81"/>
      <c r="I3543" s="83" t="e">
        <f>VLOOKUP(E3543,[1]Mapping!$A$3:$B$14,2,FALSE)</f>
        <v>#N/A</v>
      </c>
      <c r="J3543" s="84">
        <f t="shared" si="112"/>
        <v>0</v>
      </c>
      <c r="K3543" s="84">
        <f t="shared" si="113"/>
        <v>0</v>
      </c>
      <c r="L3543" s="61" t="e">
        <f>VLOOKUP(K3543,[1]Mapping!$J$3:$Q$351,8,FALSE)</f>
        <v>#N/A</v>
      </c>
      <c r="M3543" t="s">
        <v>83</v>
      </c>
    </row>
    <row r="3544" spans="5:13" hidden="1" x14ac:dyDescent="0.35">
      <c r="E3544" s="81"/>
      <c r="I3544" s="83" t="e">
        <f>VLOOKUP(E3544,[1]Mapping!$A$3:$B$14,2,FALSE)</f>
        <v>#N/A</v>
      </c>
      <c r="J3544" s="84">
        <f t="shared" si="112"/>
        <v>0</v>
      </c>
      <c r="K3544" s="84">
        <f t="shared" si="113"/>
        <v>0</v>
      </c>
      <c r="L3544" s="61" t="e">
        <f>VLOOKUP(K3544,[1]Mapping!$J$3:$Q$351,8,FALSE)</f>
        <v>#N/A</v>
      </c>
      <c r="M3544" t="s">
        <v>83</v>
      </c>
    </row>
    <row r="3545" spans="5:13" hidden="1" x14ac:dyDescent="0.35">
      <c r="E3545" s="81"/>
      <c r="I3545" s="83" t="e">
        <f>VLOOKUP(E3545,[1]Mapping!$A$3:$B$14,2,FALSE)</f>
        <v>#N/A</v>
      </c>
      <c r="J3545" s="84">
        <f t="shared" si="112"/>
        <v>0</v>
      </c>
      <c r="K3545" s="84">
        <f t="shared" si="113"/>
        <v>0</v>
      </c>
      <c r="L3545" s="61" t="e">
        <f>VLOOKUP(K3545,[1]Mapping!$J$3:$Q$351,8,FALSE)</f>
        <v>#N/A</v>
      </c>
      <c r="M3545" t="s">
        <v>83</v>
      </c>
    </row>
    <row r="3546" spans="5:13" hidden="1" x14ac:dyDescent="0.35">
      <c r="E3546" s="81"/>
      <c r="I3546" s="83" t="e">
        <f>VLOOKUP(E3546,[1]Mapping!$A$3:$B$14,2,FALSE)</f>
        <v>#N/A</v>
      </c>
      <c r="J3546" s="84">
        <f t="shared" si="112"/>
        <v>0</v>
      </c>
      <c r="K3546" s="84">
        <f t="shared" si="113"/>
        <v>0</v>
      </c>
      <c r="L3546" s="61" t="e">
        <f>VLOOKUP(K3546,[1]Mapping!$J$3:$Q$351,8,FALSE)</f>
        <v>#N/A</v>
      </c>
      <c r="M3546" t="s">
        <v>83</v>
      </c>
    </row>
    <row r="3547" spans="5:13" hidden="1" x14ac:dyDescent="0.35">
      <c r="E3547" s="81"/>
      <c r="I3547" s="83" t="e">
        <f>VLOOKUP(E3547,[1]Mapping!$A$3:$B$14,2,FALSE)</f>
        <v>#N/A</v>
      </c>
      <c r="J3547" s="84">
        <f t="shared" si="112"/>
        <v>0</v>
      </c>
      <c r="K3547" s="84">
        <f t="shared" si="113"/>
        <v>0</v>
      </c>
      <c r="L3547" s="61" t="e">
        <f>VLOOKUP(K3547,[1]Mapping!$J$3:$Q$351,8,FALSE)</f>
        <v>#N/A</v>
      </c>
      <c r="M3547" t="s">
        <v>83</v>
      </c>
    </row>
    <row r="3548" spans="5:13" hidden="1" x14ac:dyDescent="0.35">
      <c r="E3548" s="81"/>
      <c r="I3548" s="83" t="e">
        <f>VLOOKUP(E3548,[1]Mapping!$A$3:$B$14,2,FALSE)</f>
        <v>#N/A</v>
      </c>
      <c r="J3548" s="84">
        <f t="shared" si="112"/>
        <v>0</v>
      </c>
      <c r="K3548" s="84">
        <f t="shared" si="113"/>
        <v>0</v>
      </c>
      <c r="L3548" s="61" t="e">
        <f>VLOOKUP(K3548,[1]Mapping!$J$3:$Q$351,8,FALSE)</f>
        <v>#N/A</v>
      </c>
      <c r="M3548" t="s">
        <v>83</v>
      </c>
    </row>
    <row r="3549" spans="5:13" hidden="1" x14ac:dyDescent="0.35">
      <c r="E3549" s="81"/>
      <c r="I3549" s="83" t="e">
        <f>VLOOKUP(E3549,[1]Mapping!$A$3:$B$14,2,FALSE)</f>
        <v>#N/A</v>
      </c>
      <c r="J3549" s="84">
        <f t="shared" si="112"/>
        <v>0</v>
      </c>
      <c r="K3549" s="84">
        <f t="shared" si="113"/>
        <v>0</v>
      </c>
      <c r="L3549" s="61" t="e">
        <f>VLOOKUP(K3549,[1]Mapping!$J$3:$Q$351,8,FALSE)</f>
        <v>#N/A</v>
      </c>
      <c r="M3549" t="s">
        <v>83</v>
      </c>
    </row>
    <row r="3550" spans="5:13" hidden="1" x14ac:dyDescent="0.35">
      <c r="E3550" s="81"/>
      <c r="I3550" s="83" t="e">
        <f>VLOOKUP(E3550,[1]Mapping!$A$3:$B$14,2,FALSE)</f>
        <v>#N/A</v>
      </c>
      <c r="J3550" s="84">
        <f t="shared" si="112"/>
        <v>0</v>
      </c>
      <c r="K3550" s="84">
        <f t="shared" si="113"/>
        <v>0</v>
      </c>
      <c r="L3550" s="61" t="e">
        <f>VLOOKUP(K3550,[1]Mapping!$J$3:$Q$351,8,FALSE)</f>
        <v>#N/A</v>
      </c>
      <c r="M3550" t="s">
        <v>83</v>
      </c>
    </row>
    <row r="3551" spans="5:13" hidden="1" x14ac:dyDescent="0.35">
      <c r="E3551" s="81"/>
      <c r="I3551" s="83" t="e">
        <f>VLOOKUP(E3551,[1]Mapping!$A$3:$B$14,2,FALSE)</f>
        <v>#N/A</v>
      </c>
      <c r="J3551" s="84">
        <f t="shared" si="112"/>
        <v>0</v>
      </c>
      <c r="K3551" s="84">
        <f t="shared" si="113"/>
        <v>0</v>
      </c>
      <c r="L3551" s="61" t="e">
        <f>VLOOKUP(K3551,[1]Mapping!$J$3:$Q$351,8,FALSE)</f>
        <v>#N/A</v>
      </c>
      <c r="M3551" t="s">
        <v>83</v>
      </c>
    </row>
    <row r="3552" spans="5:13" hidden="1" x14ac:dyDescent="0.35">
      <c r="E3552" s="81"/>
      <c r="I3552" s="83" t="e">
        <f>VLOOKUP(E3552,[1]Mapping!$A$3:$B$14,2,FALSE)</f>
        <v>#N/A</v>
      </c>
      <c r="J3552" s="84">
        <f t="shared" si="112"/>
        <v>0</v>
      </c>
      <c r="K3552" s="84">
        <f t="shared" si="113"/>
        <v>0</v>
      </c>
      <c r="L3552" s="61" t="e">
        <f>VLOOKUP(K3552,[1]Mapping!$J$3:$Q$351,8,FALSE)</f>
        <v>#N/A</v>
      </c>
      <c r="M3552" t="s">
        <v>83</v>
      </c>
    </row>
    <row r="3553" spans="5:13" hidden="1" x14ac:dyDescent="0.35">
      <c r="E3553" s="81"/>
      <c r="I3553" s="83" t="e">
        <f>VLOOKUP(E3553,[1]Mapping!$A$3:$B$14,2,FALSE)</f>
        <v>#N/A</v>
      </c>
      <c r="J3553" s="84">
        <f t="shared" si="112"/>
        <v>0</v>
      </c>
      <c r="K3553" s="84">
        <f t="shared" si="113"/>
        <v>0</v>
      </c>
      <c r="L3553" s="61" t="e">
        <f>VLOOKUP(K3553,[1]Mapping!$J$3:$Q$351,8,FALSE)</f>
        <v>#N/A</v>
      </c>
      <c r="M3553" t="s">
        <v>83</v>
      </c>
    </row>
    <row r="3554" spans="5:13" hidden="1" x14ac:dyDescent="0.35">
      <c r="E3554" s="81"/>
      <c r="I3554" s="83" t="e">
        <f>VLOOKUP(E3554,[1]Mapping!$A$3:$B$14,2,FALSE)</f>
        <v>#N/A</v>
      </c>
      <c r="J3554" s="84">
        <f t="shared" si="112"/>
        <v>0</v>
      </c>
      <c r="K3554" s="84">
        <f t="shared" si="113"/>
        <v>0</v>
      </c>
      <c r="L3554" s="61" t="e">
        <f>VLOOKUP(K3554,[1]Mapping!$J$3:$Q$351,8,FALSE)</f>
        <v>#N/A</v>
      </c>
      <c r="M3554" t="s">
        <v>83</v>
      </c>
    </row>
    <row r="3555" spans="5:13" hidden="1" x14ac:dyDescent="0.35">
      <c r="E3555" s="81"/>
      <c r="I3555" s="83" t="e">
        <f>VLOOKUP(E3555,[1]Mapping!$A$3:$B$14,2,FALSE)</f>
        <v>#N/A</v>
      </c>
      <c r="J3555" s="84">
        <f t="shared" si="112"/>
        <v>0</v>
      </c>
      <c r="K3555" s="84">
        <f t="shared" si="113"/>
        <v>0</v>
      </c>
      <c r="L3555" s="61" t="e">
        <f>VLOOKUP(K3555,[1]Mapping!$J$3:$Q$351,8,FALSE)</f>
        <v>#N/A</v>
      </c>
      <c r="M3555" t="s">
        <v>83</v>
      </c>
    </row>
    <row r="3556" spans="5:13" hidden="1" x14ac:dyDescent="0.35">
      <c r="E3556" s="81"/>
      <c r="I3556" s="83" t="e">
        <f>VLOOKUP(E3556,[1]Mapping!$A$3:$B$14,2,FALSE)</f>
        <v>#N/A</v>
      </c>
      <c r="J3556" s="84">
        <f t="shared" si="112"/>
        <v>0</v>
      </c>
      <c r="K3556" s="84">
        <f t="shared" si="113"/>
        <v>0</v>
      </c>
      <c r="L3556" s="61" t="e">
        <f>VLOOKUP(K3556,[1]Mapping!$J$3:$Q$351,8,FALSE)</f>
        <v>#N/A</v>
      </c>
      <c r="M3556" t="s">
        <v>83</v>
      </c>
    </row>
    <row r="3557" spans="5:13" hidden="1" x14ac:dyDescent="0.35">
      <c r="E3557" s="81"/>
      <c r="I3557" s="83" t="e">
        <f>VLOOKUP(E3557,[1]Mapping!$A$3:$B$14,2,FALSE)</f>
        <v>#N/A</v>
      </c>
      <c r="J3557" s="84">
        <f t="shared" si="112"/>
        <v>0</v>
      </c>
      <c r="K3557" s="84">
        <f t="shared" si="113"/>
        <v>0</v>
      </c>
      <c r="L3557" s="61" t="e">
        <f>VLOOKUP(K3557,[1]Mapping!$J$3:$Q$351,8,FALSE)</f>
        <v>#N/A</v>
      </c>
      <c r="M3557" t="s">
        <v>83</v>
      </c>
    </row>
    <row r="3558" spans="5:13" hidden="1" x14ac:dyDescent="0.35">
      <c r="E3558" s="81"/>
      <c r="I3558" s="83" t="e">
        <f>VLOOKUP(E3558,[1]Mapping!$A$3:$B$14,2,FALSE)</f>
        <v>#N/A</v>
      </c>
      <c r="J3558" s="84">
        <f t="shared" si="112"/>
        <v>0</v>
      </c>
      <c r="K3558" s="84">
        <f t="shared" si="113"/>
        <v>0</v>
      </c>
      <c r="L3558" s="61" t="e">
        <f>VLOOKUP(K3558,[1]Mapping!$J$3:$Q$351,8,FALSE)</f>
        <v>#N/A</v>
      </c>
      <c r="M3558" t="s">
        <v>83</v>
      </c>
    </row>
    <row r="3559" spans="5:13" hidden="1" x14ac:dyDescent="0.35">
      <c r="E3559" s="81"/>
      <c r="I3559" s="83" t="e">
        <f>VLOOKUP(E3559,[1]Mapping!$A$3:$B$14,2,FALSE)</f>
        <v>#N/A</v>
      </c>
      <c r="J3559" s="84">
        <f t="shared" si="112"/>
        <v>0</v>
      </c>
      <c r="K3559" s="84">
        <f t="shared" si="113"/>
        <v>0</v>
      </c>
      <c r="L3559" s="61" t="e">
        <f>VLOOKUP(K3559,[1]Mapping!$J$3:$Q$351,8,FALSE)</f>
        <v>#N/A</v>
      </c>
      <c r="M3559" t="s">
        <v>83</v>
      </c>
    </row>
    <row r="3560" spans="5:13" hidden="1" x14ac:dyDescent="0.35">
      <c r="E3560" s="81"/>
      <c r="I3560" s="83" t="e">
        <f>VLOOKUP(E3560,[1]Mapping!$A$3:$B$14,2,FALSE)</f>
        <v>#N/A</v>
      </c>
      <c r="J3560" s="84">
        <f t="shared" si="112"/>
        <v>0</v>
      </c>
      <c r="K3560" s="84">
        <f t="shared" si="113"/>
        <v>0</v>
      </c>
      <c r="L3560" s="61" t="e">
        <f>VLOOKUP(K3560,[1]Mapping!$J$3:$Q$351,8,FALSE)</f>
        <v>#N/A</v>
      </c>
      <c r="M3560" t="s">
        <v>83</v>
      </c>
    </row>
    <row r="3561" spans="5:13" hidden="1" x14ac:dyDescent="0.35">
      <c r="E3561" s="81"/>
      <c r="I3561" s="83" t="e">
        <f>VLOOKUP(E3561,[1]Mapping!$A$3:$B$14,2,FALSE)</f>
        <v>#N/A</v>
      </c>
      <c r="J3561" s="84">
        <f t="shared" si="112"/>
        <v>0</v>
      </c>
      <c r="K3561" s="84">
        <f t="shared" si="113"/>
        <v>0</v>
      </c>
      <c r="L3561" s="61" t="e">
        <f>VLOOKUP(K3561,[1]Mapping!$J$3:$Q$351,8,FALSE)</f>
        <v>#N/A</v>
      </c>
      <c r="M3561" t="s">
        <v>83</v>
      </c>
    </row>
    <row r="3562" spans="5:13" hidden="1" x14ac:dyDescent="0.35">
      <c r="E3562" s="81"/>
      <c r="I3562" s="83" t="e">
        <f>VLOOKUP(E3562,[1]Mapping!$A$3:$B$14,2,FALSE)</f>
        <v>#N/A</v>
      </c>
      <c r="J3562" s="84">
        <f t="shared" si="112"/>
        <v>0</v>
      </c>
      <c r="K3562" s="84">
        <f t="shared" si="113"/>
        <v>0</v>
      </c>
      <c r="L3562" s="61" t="e">
        <f>VLOOKUP(K3562,[1]Mapping!$J$3:$Q$351,8,FALSE)</f>
        <v>#N/A</v>
      </c>
      <c r="M3562" t="s">
        <v>83</v>
      </c>
    </row>
    <row r="3563" spans="5:13" hidden="1" x14ac:dyDescent="0.35">
      <c r="E3563" s="81"/>
      <c r="I3563" s="83" t="e">
        <f>VLOOKUP(E3563,[1]Mapping!$A$3:$B$14,2,FALSE)</f>
        <v>#N/A</v>
      </c>
      <c r="J3563" s="84">
        <f t="shared" si="112"/>
        <v>0</v>
      </c>
      <c r="K3563" s="84">
        <f t="shared" si="113"/>
        <v>0</v>
      </c>
      <c r="L3563" s="61" t="e">
        <f>VLOOKUP(K3563,[1]Mapping!$J$3:$Q$351,8,FALSE)</f>
        <v>#N/A</v>
      </c>
      <c r="M3563" t="s">
        <v>83</v>
      </c>
    </row>
    <row r="3564" spans="5:13" hidden="1" x14ac:dyDescent="0.35">
      <c r="E3564" s="81"/>
      <c r="I3564" s="83" t="e">
        <f>VLOOKUP(E3564,[1]Mapping!$A$3:$B$14,2,FALSE)</f>
        <v>#N/A</v>
      </c>
      <c r="J3564" s="84">
        <f t="shared" si="112"/>
        <v>0</v>
      </c>
      <c r="K3564" s="84">
        <f t="shared" si="113"/>
        <v>0</v>
      </c>
      <c r="L3564" s="61" t="e">
        <f>VLOOKUP(K3564,[1]Mapping!$J$3:$Q$351,8,FALSE)</f>
        <v>#N/A</v>
      </c>
      <c r="M3564" t="s">
        <v>83</v>
      </c>
    </row>
    <row r="3565" spans="5:13" hidden="1" x14ac:dyDescent="0.35">
      <c r="E3565" s="81"/>
      <c r="I3565" s="83" t="e">
        <f>VLOOKUP(E3565,[1]Mapping!$A$3:$B$14,2,FALSE)</f>
        <v>#N/A</v>
      </c>
      <c r="J3565" s="84">
        <f t="shared" si="112"/>
        <v>0</v>
      </c>
      <c r="K3565" s="84">
        <f t="shared" si="113"/>
        <v>0</v>
      </c>
      <c r="L3565" s="61" t="e">
        <f>VLOOKUP(K3565,[1]Mapping!$J$3:$Q$351,8,FALSE)</f>
        <v>#N/A</v>
      </c>
      <c r="M3565" t="s">
        <v>83</v>
      </c>
    </row>
    <row r="3566" spans="5:13" hidden="1" x14ac:dyDescent="0.35">
      <c r="E3566" s="81"/>
      <c r="I3566" s="83" t="e">
        <f>VLOOKUP(E3566,[1]Mapping!$A$3:$B$14,2,FALSE)</f>
        <v>#N/A</v>
      </c>
      <c r="J3566" s="84">
        <f t="shared" si="112"/>
        <v>0</v>
      </c>
      <c r="K3566" s="84">
        <f t="shared" si="113"/>
        <v>0</v>
      </c>
      <c r="L3566" s="61" t="e">
        <f>VLOOKUP(K3566,[1]Mapping!$J$3:$Q$351,8,FALSE)</f>
        <v>#N/A</v>
      </c>
      <c r="M3566" t="s">
        <v>83</v>
      </c>
    </row>
    <row r="3567" spans="5:13" hidden="1" x14ac:dyDescent="0.35">
      <c r="E3567" s="81"/>
      <c r="I3567" s="83" t="e">
        <f>VLOOKUP(E3567,[1]Mapping!$A$3:$B$14,2,FALSE)</f>
        <v>#N/A</v>
      </c>
      <c r="J3567" s="84">
        <f t="shared" si="112"/>
        <v>0</v>
      </c>
      <c r="K3567" s="84">
        <f t="shared" si="113"/>
        <v>0</v>
      </c>
      <c r="L3567" s="61" t="e">
        <f>VLOOKUP(K3567,[1]Mapping!$J$3:$Q$351,8,FALSE)</f>
        <v>#N/A</v>
      </c>
      <c r="M3567" t="s">
        <v>83</v>
      </c>
    </row>
    <row r="3568" spans="5:13" hidden="1" x14ac:dyDescent="0.35">
      <c r="E3568" s="81"/>
      <c r="I3568" s="83" t="e">
        <f>VLOOKUP(E3568,[1]Mapping!$A$3:$B$14,2,FALSE)</f>
        <v>#N/A</v>
      </c>
      <c r="J3568" s="84">
        <f t="shared" si="112"/>
        <v>0</v>
      </c>
      <c r="K3568" s="84">
        <f t="shared" si="113"/>
        <v>0</v>
      </c>
      <c r="L3568" s="61" t="e">
        <f>VLOOKUP(K3568,[1]Mapping!$J$3:$Q$351,8,FALSE)</f>
        <v>#N/A</v>
      </c>
      <c r="M3568" t="s">
        <v>83</v>
      </c>
    </row>
    <row r="3569" spans="5:13" hidden="1" x14ac:dyDescent="0.35">
      <c r="E3569" s="81"/>
      <c r="I3569" s="83" t="e">
        <f>VLOOKUP(E3569,[1]Mapping!$A$3:$B$14,2,FALSE)</f>
        <v>#N/A</v>
      </c>
      <c r="J3569" s="84">
        <f t="shared" si="112"/>
        <v>0</v>
      </c>
      <c r="K3569" s="84">
        <f t="shared" si="113"/>
        <v>0</v>
      </c>
      <c r="L3569" s="61" t="e">
        <f>VLOOKUP(K3569,[1]Mapping!$J$3:$Q$351,8,FALSE)</f>
        <v>#N/A</v>
      </c>
      <c r="M3569" t="s">
        <v>83</v>
      </c>
    </row>
    <row r="3570" spans="5:13" hidden="1" x14ac:dyDescent="0.35">
      <c r="E3570" s="81"/>
      <c r="I3570" s="83" t="e">
        <f>VLOOKUP(E3570,[1]Mapping!$A$3:$B$14,2,FALSE)</f>
        <v>#N/A</v>
      </c>
      <c r="J3570" s="84">
        <f t="shared" si="112"/>
        <v>0</v>
      </c>
      <c r="K3570" s="84">
        <f t="shared" si="113"/>
        <v>0</v>
      </c>
      <c r="L3570" s="61" t="e">
        <f>VLOOKUP(K3570,[1]Mapping!$J$3:$Q$351,8,FALSE)</f>
        <v>#N/A</v>
      </c>
      <c r="M3570" t="s">
        <v>83</v>
      </c>
    </row>
    <row r="3571" spans="5:13" hidden="1" x14ac:dyDescent="0.35">
      <c r="E3571" s="81"/>
      <c r="I3571" s="83" t="e">
        <f>VLOOKUP(E3571,[1]Mapping!$A$3:$B$14,2,FALSE)</f>
        <v>#N/A</v>
      </c>
      <c r="J3571" s="84">
        <f t="shared" si="112"/>
        <v>0</v>
      </c>
      <c r="K3571" s="84">
        <f t="shared" si="113"/>
        <v>0</v>
      </c>
      <c r="L3571" s="61" t="e">
        <f>VLOOKUP(K3571,[1]Mapping!$J$3:$Q$351,8,FALSE)</f>
        <v>#N/A</v>
      </c>
      <c r="M3571" t="s">
        <v>83</v>
      </c>
    </row>
    <row r="3572" spans="5:13" hidden="1" x14ac:dyDescent="0.35">
      <c r="E3572" s="81"/>
      <c r="I3572" s="83" t="e">
        <f>VLOOKUP(E3572,[1]Mapping!$A$3:$B$14,2,FALSE)</f>
        <v>#N/A</v>
      </c>
      <c r="J3572" s="84">
        <f t="shared" si="112"/>
        <v>0</v>
      </c>
      <c r="K3572" s="84">
        <f t="shared" si="113"/>
        <v>0</v>
      </c>
      <c r="L3572" s="61" t="e">
        <f>VLOOKUP(K3572,[1]Mapping!$J$3:$Q$351,8,FALSE)</f>
        <v>#N/A</v>
      </c>
      <c r="M3572" t="s">
        <v>83</v>
      </c>
    </row>
    <row r="3573" spans="5:13" hidden="1" x14ac:dyDescent="0.35">
      <c r="E3573" s="81"/>
      <c r="I3573" s="83" t="e">
        <f>VLOOKUP(E3573,[1]Mapping!$A$3:$B$14,2,FALSE)</f>
        <v>#N/A</v>
      </c>
      <c r="J3573" s="84">
        <f t="shared" si="112"/>
        <v>0</v>
      </c>
      <c r="K3573" s="84">
        <f t="shared" si="113"/>
        <v>0</v>
      </c>
      <c r="L3573" s="61" t="e">
        <f>VLOOKUP(K3573,[1]Mapping!$J$3:$Q$351,8,FALSE)</f>
        <v>#N/A</v>
      </c>
      <c r="M3573" t="s">
        <v>83</v>
      </c>
    </row>
    <row r="3574" spans="5:13" hidden="1" x14ac:dyDescent="0.35">
      <c r="E3574" s="81"/>
      <c r="I3574" s="83" t="e">
        <f>VLOOKUP(E3574,[1]Mapping!$A$3:$B$14,2,FALSE)</f>
        <v>#N/A</v>
      </c>
      <c r="J3574" s="84">
        <f t="shared" si="112"/>
        <v>0</v>
      </c>
      <c r="K3574" s="84">
        <f t="shared" si="113"/>
        <v>0</v>
      </c>
      <c r="L3574" s="61" t="e">
        <f>VLOOKUP(K3574,[1]Mapping!$J$3:$Q$351,8,FALSE)</f>
        <v>#N/A</v>
      </c>
      <c r="M3574" t="s">
        <v>83</v>
      </c>
    </row>
    <row r="3575" spans="5:13" hidden="1" x14ac:dyDescent="0.35">
      <c r="E3575" s="81"/>
      <c r="I3575" s="83" t="e">
        <f>VLOOKUP(E3575,[1]Mapping!$A$3:$B$14,2,FALSE)</f>
        <v>#N/A</v>
      </c>
      <c r="J3575" s="84">
        <f t="shared" si="112"/>
        <v>0</v>
      </c>
      <c r="K3575" s="84">
        <f t="shared" si="113"/>
        <v>0</v>
      </c>
      <c r="L3575" s="61" t="e">
        <f>VLOOKUP(K3575,[1]Mapping!$J$3:$Q$351,8,FALSE)</f>
        <v>#N/A</v>
      </c>
      <c r="M3575" t="s">
        <v>83</v>
      </c>
    </row>
    <row r="3576" spans="5:13" hidden="1" x14ac:dyDescent="0.35">
      <c r="E3576" s="81"/>
      <c r="I3576" s="83" t="e">
        <f>VLOOKUP(E3576,[1]Mapping!$A$3:$B$14,2,FALSE)</f>
        <v>#N/A</v>
      </c>
      <c r="J3576" s="84">
        <f t="shared" si="112"/>
        <v>0</v>
      </c>
      <c r="K3576" s="84">
        <f t="shared" si="113"/>
        <v>0</v>
      </c>
      <c r="L3576" s="61" t="e">
        <f>VLOOKUP(K3576,[1]Mapping!$J$3:$Q$351,8,FALSE)</f>
        <v>#N/A</v>
      </c>
      <c r="M3576" t="s">
        <v>83</v>
      </c>
    </row>
    <row r="3577" spans="5:13" hidden="1" x14ac:dyDescent="0.35">
      <c r="E3577" s="81"/>
      <c r="I3577" s="83" t="e">
        <f>VLOOKUP(E3577,[1]Mapping!$A$3:$B$14,2,FALSE)</f>
        <v>#N/A</v>
      </c>
      <c r="J3577" s="84">
        <f t="shared" si="112"/>
        <v>0</v>
      </c>
      <c r="K3577" s="84">
        <f t="shared" si="113"/>
        <v>0</v>
      </c>
      <c r="L3577" s="61" t="e">
        <f>VLOOKUP(K3577,[1]Mapping!$J$3:$Q$351,8,FALSE)</f>
        <v>#N/A</v>
      </c>
      <c r="M3577" t="s">
        <v>83</v>
      </c>
    </row>
    <row r="3578" spans="5:13" hidden="1" x14ac:dyDescent="0.35">
      <c r="E3578" s="81"/>
      <c r="I3578" s="83" t="e">
        <f>VLOOKUP(E3578,[1]Mapping!$A$3:$B$14,2,FALSE)</f>
        <v>#N/A</v>
      </c>
      <c r="J3578" s="84">
        <f t="shared" si="112"/>
        <v>0</v>
      </c>
      <c r="K3578" s="84">
        <f t="shared" si="113"/>
        <v>0</v>
      </c>
      <c r="L3578" s="61" t="e">
        <f>VLOOKUP(K3578,[1]Mapping!$J$3:$Q$351,8,FALSE)</f>
        <v>#N/A</v>
      </c>
      <c r="M3578" t="s">
        <v>83</v>
      </c>
    </row>
    <row r="3579" spans="5:13" hidden="1" x14ac:dyDescent="0.35">
      <c r="E3579" s="81"/>
      <c r="I3579" s="83" t="e">
        <f>VLOOKUP(E3579,[1]Mapping!$A$3:$B$14,2,FALSE)</f>
        <v>#N/A</v>
      </c>
      <c r="J3579" s="84">
        <f t="shared" si="112"/>
        <v>0</v>
      </c>
      <c r="K3579" s="84">
        <f t="shared" si="113"/>
        <v>0</v>
      </c>
      <c r="L3579" s="61" t="e">
        <f>VLOOKUP(K3579,[1]Mapping!$J$3:$Q$351,8,FALSE)</f>
        <v>#N/A</v>
      </c>
      <c r="M3579" t="s">
        <v>83</v>
      </c>
    </row>
    <row r="3580" spans="5:13" hidden="1" x14ac:dyDescent="0.35">
      <c r="E3580" s="81"/>
      <c r="I3580" s="83" t="e">
        <f>VLOOKUP(E3580,[1]Mapping!$A$3:$B$14,2,FALSE)</f>
        <v>#N/A</v>
      </c>
      <c r="J3580" s="84">
        <f t="shared" si="112"/>
        <v>0</v>
      </c>
      <c r="K3580" s="84">
        <f t="shared" si="113"/>
        <v>0</v>
      </c>
      <c r="L3580" s="61" t="e">
        <f>VLOOKUP(K3580,[1]Mapping!$J$3:$Q$351,8,FALSE)</f>
        <v>#N/A</v>
      </c>
      <c r="M3580" t="s">
        <v>83</v>
      </c>
    </row>
    <row r="3581" spans="5:13" hidden="1" x14ac:dyDescent="0.35">
      <c r="E3581" s="81"/>
      <c r="I3581" s="83" t="e">
        <f>VLOOKUP(E3581,[1]Mapping!$A$3:$B$14,2,FALSE)</f>
        <v>#N/A</v>
      </c>
      <c r="J3581" s="84">
        <f t="shared" si="112"/>
        <v>0</v>
      </c>
      <c r="K3581" s="84">
        <f t="shared" si="113"/>
        <v>0</v>
      </c>
      <c r="L3581" s="61" t="e">
        <f>VLOOKUP(K3581,[1]Mapping!$J$3:$Q$351,8,FALSE)</f>
        <v>#N/A</v>
      </c>
      <c r="M3581" t="s">
        <v>83</v>
      </c>
    </row>
    <row r="3582" spans="5:13" hidden="1" x14ac:dyDescent="0.35">
      <c r="E3582" s="81"/>
      <c r="I3582" s="83" t="e">
        <f>VLOOKUP(E3582,[1]Mapping!$A$3:$B$14,2,FALSE)</f>
        <v>#N/A</v>
      </c>
      <c r="J3582" s="84">
        <f t="shared" si="112"/>
        <v>0</v>
      </c>
      <c r="K3582" s="84">
        <f t="shared" si="113"/>
        <v>0</v>
      </c>
      <c r="L3582" s="61" t="e">
        <f>VLOOKUP(K3582,[1]Mapping!$J$3:$Q$351,8,FALSE)</f>
        <v>#N/A</v>
      </c>
      <c r="M3582" t="s">
        <v>83</v>
      </c>
    </row>
    <row r="3583" spans="5:13" hidden="1" x14ac:dyDescent="0.35">
      <c r="E3583" s="81"/>
      <c r="I3583" s="83" t="e">
        <f>VLOOKUP(E3583,[1]Mapping!$A$3:$B$14,2,FALSE)</f>
        <v>#N/A</v>
      </c>
      <c r="J3583" s="84">
        <f t="shared" si="112"/>
        <v>0</v>
      </c>
      <c r="K3583" s="84">
        <f t="shared" si="113"/>
        <v>0</v>
      </c>
      <c r="L3583" s="61" t="e">
        <f>VLOOKUP(K3583,[1]Mapping!$J$3:$Q$351,8,FALSE)</f>
        <v>#N/A</v>
      </c>
      <c r="M3583" t="s">
        <v>83</v>
      </c>
    </row>
    <row r="3584" spans="5:13" hidden="1" x14ac:dyDescent="0.35">
      <c r="E3584" s="81"/>
      <c r="I3584" s="83" t="e">
        <f>VLOOKUP(E3584,[1]Mapping!$A$3:$B$14,2,FALSE)</f>
        <v>#N/A</v>
      </c>
      <c r="J3584" s="84">
        <f t="shared" si="112"/>
        <v>0</v>
      </c>
      <c r="K3584" s="84">
        <f t="shared" si="113"/>
        <v>0</v>
      </c>
      <c r="L3584" s="61" t="e">
        <f>VLOOKUP(K3584,[1]Mapping!$J$3:$Q$351,8,FALSE)</f>
        <v>#N/A</v>
      </c>
      <c r="M3584" t="s">
        <v>83</v>
      </c>
    </row>
    <row r="3585" spans="5:13" hidden="1" x14ac:dyDescent="0.35">
      <c r="E3585" s="81"/>
      <c r="I3585" s="83" t="e">
        <f>VLOOKUP(E3585,[1]Mapping!$A$3:$B$14,2,FALSE)</f>
        <v>#N/A</v>
      </c>
      <c r="J3585" s="84">
        <f t="shared" si="112"/>
        <v>0</v>
      </c>
      <c r="K3585" s="84">
        <f t="shared" si="113"/>
        <v>0</v>
      </c>
      <c r="L3585" s="61" t="e">
        <f>VLOOKUP(K3585,[1]Mapping!$J$3:$Q$351,8,FALSE)</f>
        <v>#N/A</v>
      </c>
      <c r="M3585" t="s">
        <v>83</v>
      </c>
    </row>
    <row r="3586" spans="5:13" hidden="1" x14ac:dyDescent="0.35">
      <c r="E3586" s="81"/>
      <c r="I3586" s="83" t="e">
        <f>VLOOKUP(E3586,[1]Mapping!$A$3:$B$14,2,FALSE)</f>
        <v>#N/A</v>
      </c>
      <c r="J3586" s="84">
        <f t="shared" si="112"/>
        <v>0</v>
      </c>
      <c r="K3586" s="84">
        <f t="shared" si="113"/>
        <v>0</v>
      </c>
      <c r="L3586" s="61" t="e">
        <f>VLOOKUP(K3586,[1]Mapping!$J$3:$Q$351,8,FALSE)</f>
        <v>#N/A</v>
      </c>
      <c r="M3586" t="s">
        <v>83</v>
      </c>
    </row>
    <row r="3587" spans="5:13" hidden="1" x14ac:dyDescent="0.35">
      <c r="E3587" s="81"/>
      <c r="I3587" s="83" t="e">
        <f>VLOOKUP(E3587,[1]Mapping!$A$3:$B$14,2,FALSE)</f>
        <v>#N/A</v>
      </c>
      <c r="J3587" s="84">
        <f t="shared" si="112"/>
        <v>0</v>
      </c>
      <c r="K3587" s="84">
        <f t="shared" si="113"/>
        <v>0</v>
      </c>
      <c r="L3587" s="61" t="e">
        <f>VLOOKUP(K3587,[1]Mapping!$J$3:$Q$351,8,FALSE)</f>
        <v>#N/A</v>
      </c>
      <c r="M3587" t="s">
        <v>83</v>
      </c>
    </row>
    <row r="3588" spans="5:13" hidden="1" x14ac:dyDescent="0.35">
      <c r="E3588" s="81"/>
      <c r="I3588" s="83" t="e">
        <f>VLOOKUP(E3588,[1]Mapping!$A$3:$B$14,2,FALSE)</f>
        <v>#N/A</v>
      </c>
      <c r="J3588" s="84">
        <f t="shared" ref="J3588:J3651" si="114">VALUE(A3588)</f>
        <v>0</v>
      </c>
      <c r="K3588" s="84">
        <f t="shared" ref="K3588:K3651" si="115">VALUE(C3588)</f>
        <v>0</v>
      </c>
      <c r="L3588" s="61" t="e">
        <f>VLOOKUP(K3588,[1]Mapping!$J$3:$Q$351,8,FALSE)</f>
        <v>#N/A</v>
      </c>
      <c r="M3588" t="s">
        <v>83</v>
      </c>
    </row>
    <row r="3589" spans="5:13" hidden="1" x14ac:dyDescent="0.35">
      <c r="E3589" s="81"/>
      <c r="I3589" s="83" t="e">
        <f>VLOOKUP(E3589,[1]Mapping!$A$3:$B$14,2,FALSE)</f>
        <v>#N/A</v>
      </c>
      <c r="J3589" s="84">
        <f t="shared" si="114"/>
        <v>0</v>
      </c>
      <c r="K3589" s="84">
        <f t="shared" si="115"/>
        <v>0</v>
      </c>
      <c r="L3589" s="61" t="e">
        <f>VLOOKUP(K3589,[1]Mapping!$J$3:$Q$351,8,FALSE)</f>
        <v>#N/A</v>
      </c>
      <c r="M3589" t="s">
        <v>83</v>
      </c>
    </row>
    <row r="3590" spans="5:13" hidden="1" x14ac:dyDescent="0.35">
      <c r="E3590" s="81"/>
      <c r="I3590" s="83" t="e">
        <f>VLOOKUP(E3590,[1]Mapping!$A$3:$B$14,2,FALSE)</f>
        <v>#N/A</v>
      </c>
      <c r="J3590" s="84">
        <f t="shared" si="114"/>
        <v>0</v>
      </c>
      <c r="K3590" s="84">
        <f t="shared" si="115"/>
        <v>0</v>
      </c>
      <c r="L3590" s="61" t="e">
        <f>VLOOKUP(K3590,[1]Mapping!$J$3:$Q$351,8,FALSE)</f>
        <v>#N/A</v>
      </c>
      <c r="M3590" t="s">
        <v>83</v>
      </c>
    </row>
    <row r="3591" spans="5:13" hidden="1" x14ac:dyDescent="0.35">
      <c r="E3591" s="81"/>
      <c r="I3591" s="83" t="e">
        <f>VLOOKUP(E3591,[1]Mapping!$A$3:$B$14,2,FALSE)</f>
        <v>#N/A</v>
      </c>
      <c r="J3591" s="84">
        <f t="shared" si="114"/>
        <v>0</v>
      </c>
      <c r="K3591" s="84">
        <f t="shared" si="115"/>
        <v>0</v>
      </c>
      <c r="L3591" s="61" t="e">
        <f>VLOOKUP(K3591,[1]Mapping!$J$3:$Q$351,8,FALSE)</f>
        <v>#N/A</v>
      </c>
      <c r="M3591" t="s">
        <v>83</v>
      </c>
    </row>
    <row r="3592" spans="5:13" hidden="1" x14ac:dyDescent="0.35">
      <c r="E3592" s="81"/>
      <c r="I3592" s="83" t="e">
        <f>VLOOKUP(E3592,[1]Mapping!$A$3:$B$14,2,FALSE)</f>
        <v>#N/A</v>
      </c>
      <c r="J3592" s="84">
        <f t="shared" si="114"/>
        <v>0</v>
      </c>
      <c r="K3592" s="84">
        <f t="shared" si="115"/>
        <v>0</v>
      </c>
      <c r="L3592" s="61" t="e">
        <f>VLOOKUP(K3592,[1]Mapping!$J$3:$Q$351,8,FALSE)</f>
        <v>#N/A</v>
      </c>
      <c r="M3592" t="s">
        <v>83</v>
      </c>
    </row>
    <row r="3593" spans="5:13" hidden="1" x14ac:dyDescent="0.35">
      <c r="E3593" s="81"/>
      <c r="I3593" s="83" t="e">
        <f>VLOOKUP(E3593,[1]Mapping!$A$3:$B$14,2,FALSE)</f>
        <v>#N/A</v>
      </c>
      <c r="J3593" s="84">
        <f t="shared" si="114"/>
        <v>0</v>
      </c>
      <c r="K3593" s="84">
        <f t="shared" si="115"/>
        <v>0</v>
      </c>
      <c r="L3593" s="61" t="e">
        <f>VLOOKUP(K3593,[1]Mapping!$J$3:$Q$351,8,FALSE)</f>
        <v>#N/A</v>
      </c>
      <c r="M3593" t="s">
        <v>83</v>
      </c>
    </row>
    <row r="3594" spans="5:13" hidden="1" x14ac:dyDescent="0.35">
      <c r="E3594" s="81"/>
      <c r="I3594" s="83" t="e">
        <f>VLOOKUP(E3594,[1]Mapping!$A$3:$B$14,2,FALSE)</f>
        <v>#N/A</v>
      </c>
      <c r="J3594" s="84">
        <f t="shared" si="114"/>
        <v>0</v>
      </c>
      <c r="K3594" s="84">
        <f t="shared" si="115"/>
        <v>0</v>
      </c>
      <c r="L3594" s="61" t="e">
        <f>VLOOKUP(K3594,[1]Mapping!$J$3:$Q$351,8,FALSE)</f>
        <v>#N/A</v>
      </c>
      <c r="M3594" t="s">
        <v>83</v>
      </c>
    </row>
    <row r="3595" spans="5:13" hidden="1" x14ac:dyDescent="0.35">
      <c r="E3595" s="81"/>
      <c r="I3595" s="83" t="e">
        <f>VLOOKUP(E3595,[1]Mapping!$A$3:$B$14,2,FALSE)</f>
        <v>#N/A</v>
      </c>
      <c r="J3595" s="84">
        <f t="shared" si="114"/>
        <v>0</v>
      </c>
      <c r="K3595" s="84">
        <f t="shared" si="115"/>
        <v>0</v>
      </c>
      <c r="L3595" s="61" t="e">
        <f>VLOOKUP(K3595,[1]Mapping!$J$3:$Q$351,8,FALSE)</f>
        <v>#N/A</v>
      </c>
      <c r="M3595" t="s">
        <v>83</v>
      </c>
    </row>
    <row r="3596" spans="5:13" hidden="1" x14ac:dyDescent="0.35">
      <c r="E3596" s="81"/>
      <c r="I3596" s="83" t="e">
        <f>VLOOKUP(E3596,[1]Mapping!$A$3:$B$14,2,FALSE)</f>
        <v>#N/A</v>
      </c>
      <c r="J3596" s="84">
        <f t="shared" si="114"/>
        <v>0</v>
      </c>
      <c r="K3596" s="84">
        <f t="shared" si="115"/>
        <v>0</v>
      </c>
      <c r="L3596" s="61" t="e">
        <f>VLOOKUP(K3596,[1]Mapping!$J$3:$Q$351,8,FALSE)</f>
        <v>#N/A</v>
      </c>
      <c r="M3596" t="s">
        <v>83</v>
      </c>
    </row>
    <row r="3597" spans="5:13" hidden="1" x14ac:dyDescent="0.35">
      <c r="E3597" s="81"/>
      <c r="I3597" s="83" t="e">
        <f>VLOOKUP(E3597,[1]Mapping!$A$3:$B$14,2,FALSE)</f>
        <v>#N/A</v>
      </c>
      <c r="J3597" s="84">
        <f t="shared" si="114"/>
        <v>0</v>
      </c>
      <c r="K3597" s="84">
        <f t="shared" si="115"/>
        <v>0</v>
      </c>
      <c r="L3597" s="61" t="e">
        <f>VLOOKUP(K3597,[1]Mapping!$J$3:$Q$351,8,FALSE)</f>
        <v>#N/A</v>
      </c>
      <c r="M3597" t="s">
        <v>83</v>
      </c>
    </row>
    <row r="3598" spans="5:13" hidden="1" x14ac:dyDescent="0.35">
      <c r="E3598" s="81"/>
      <c r="I3598" s="83" t="e">
        <f>VLOOKUP(E3598,[1]Mapping!$A$3:$B$14,2,FALSE)</f>
        <v>#N/A</v>
      </c>
      <c r="J3598" s="84">
        <f t="shared" si="114"/>
        <v>0</v>
      </c>
      <c r="K3598" s="84">
        <f t="shared" si="115"/>
        <v>0</v>
      </c>
      <c r="L3598" s="61" t="e">
        <f>VLOOKUP(K3598,[1]Mapping!$J$3:$Q$351,8,FALSE)</f>
        <v>#N/A</v>
      </c>
      <c r="M3598" t="s">
        <v>83</v>
      </c>
    </row>
    <row r="3599" spans="5:13" hidden="1" x14ac:dyDescent="0.35">
      <c r="E3599" s="81"/>
      <c r="I3599" s="83" t="e">
        <f>VLOOKUP(E3599,[1]Mapping!$A$3:$B$14,2,FALSE)</f>
        <v>#N/A</v>
      </c>
      <c r="J3599" s="84">
        <f t="shared" si="114"/>
        <v>0</v>
      </c>
      <c r="K3599" s="84">
        <f t="shared" si="115"/>
        <v>0</v>
      </c>
      <c r="L3599" s="61" t="e">
        <f>VLOOKUP(K3599,[1]Mapping!$J$3:$Q$351,8,FALSE)</f>
        <v>#N/A</v>
      </c>
      <c r="M3599" t="s">
        <v>83</v>
      </c>
    </row>
    <row r="3600" spans="5:13" hidden="1" x14ac:dyDescent="0.35">
      <c r="E3600" s="81"/>
      <c r="I3600" s="83" t="e">
        <f>VLOOKUP(E3600,[1]Mapping!$A$3:$B$14,2,FALSE)</f>
        <v>#N/A</v>
      </c>
      <c r="J3600" s="84">
        <f t="shared" si="114"/>
        <v>0</v>
      </c>
      <c r="K3600" s="84">
        <f t="shared" si="115"/>
        <v>0</v>
      </c>
      <c r="L3600" s="61" t="e">
        <f>VLOOKUP(K3600,[1]Mapping!$J$3:$Q$351,8,FALSE)</f>
        <v>#N/A</v>
      </c>
      <c r="M3600" t="s">
        <v>83</v>
      </c>
    </row>
    <row r="3601" spans="5:13" hidden="1" x14ac:dyDescent="0.35">
      <c r="E3601" s="81"/>
      <c r="I3601" s="83" t="e">
        <f>VLOOKUP(E3601,[1]Mapping!$A$3:$B$14,2,FALSE)</f>
        <v>#N/A</v>
      </c>
      <c r="J3601" s="84">
        <f t="shared" si="114"/>
        <v>0</v>
      </c>
      <c r="K3601" s="84">
        <f t="shared" si="115"/>
        <v>0</v>
      </c>
      <c r="L3601" s="61" t="e">
        <f>VLOOKUP(K3601,[1]Mapping!$J$3:$Q$351,8,FALSE)</f>
        <v>#N/A</v>
      </c>
      <c r="M3601" t="s">
        <v>83</v>
      </c>
    </row>
    <row r="3602" spans="5:13" hidden="1" x14ac:dyDescent="0.35">
      <c r="E3602" s="81"/>
      <c r="I3602" s="83" t="e">
        <f>VLOOKUP(E3602,[1]Mapping!$A$3:$B$14,2,FALSE)</f>
        <v>#N/A</v>
      </c>
      <c r="J3602" s="84">
        <f t="shared" si="114"/>
        <v>0</v>
      </c>
      <c r="K3602" s="84">
        <f t="shared" si="115"/>
        <v>0</v>
      </c>
      <c r="L3602" s="61" t="e">
        <f>VLOOKUP(K3602,[1]Mapping!$J$3:$Q$351,8,FALSE)</f>
        <v>#N/A</v>
      </c>
      <c r="M3602" t="s">
        <v>83</v>
      </c>
    </row>
    <row r="3603" spans="5:13" hidden="1" x14ac:dyDescent="0.35">
      <c r="E3603" s="81"/>
      <c r="I3603" s="83" t="e">
        <f>VLOOKUP(E3603,[1]Mapping!$A$3:$B$14,2,FALSE)</f>
        <v>#N/A</v>
      </c>
      <c r="J3603" s="84">
        <f t="shared" si="114"/>
        <v>0</v>
      </c>
      <c r="K3603" s="84">
        <f t="shared" si="115"/>
        <v>0</v>
      </c>
      <c r="L3603" s="61" t="e">
        <f>VLOOKUP(K3603,[1]Mapping!$J$3:$Q$351,8,FALSE)</f>
        <v>#N/A</v>
      </c>
      <c r="M3603" t="s">
        <v>83</v>
      </c>
    </row>
    <row r="3604" spans="5:13" hidden="1" x14ac:dyDescent="0.35">
      <c r="E3604" s="81"/>
      <c r="I3604" s="83" t="e">
        <f>VLOOKUP(E3604,[1]Mapping!$A$3:$B$14,2,FALSE)</f>
        <v>#N/A</v>
      </c>
      <c r="J3604" s="84">
        <f t="shared" si="114"/>
        <v>0</v>
      </c>
      <c r="K3604" s="84">
        <f t="shared" si="115"/>
        <v>0</v>
      </c>
      <c r="L3604" s="61" t="e">
        <f>VLOOKUP(K3604,[1]Mapping!$J$3:$Q$351,8,FALSE)</f>
        <v>#N/A</v>
      </c>
      <c r="M3604" t="s">
        <v>83</v>
      </c>
    </row>
    <row r="3605" spans="5:13" hidden="1" x14ac:dyDescent="0.35">
      <c r="E3605" s="81"/>
      <c r="I3605" s="83" t="e">
        <f>VLOOKUP(E3605,[1]Mapping!$A$3:$B$14,2,FALSE)</f>
        <v>#N/A</v>
      </c>
      <c r="J3605" s="84">
        <f t="shared" si="114"/>
        <v>0</v>
      </c>
      <c r="K3605" s="84">
        <f t="shared" si="115"/>
        <v>0</v>
      </c>
      <c r="L3605" s="61" t="e">
        <f>VLOOKUP(K3605,[1]Mapping!$J$3:$Q$351,8,FALSE)</f>
        <v>#N/A</v>
      </c>
      <c r="M3605" t="s">
        <v>83</v>
      </c>
    </row>
    <row r="3606" spans="5:13" hidden="1" x14ac:dyDescent="0.35">
      <c r="E3606" s="81"/>
      <c r="I3606" s="83" t="e">
        <f>VLOOKUP(E3606,[1]Mapping!$A$3:$B$14,2,FALSE)</f>
        <v>#N/A</v>
      </c>
      <c r="J3606" s="84">
        <f t="shared" si="114"/>
        <v>0</v>
      </c>
      <c r="K3606" s="84">
        <f t="shared" si="115"/>
        <v>0</v>
      </c>
      <c r="L3606" s="61" t="e">
        <f>VLOOKUP(K3606,[1]Mapping!$J$3:$Q$351,8,FALSE)</f>
        <v>#N/A</v>
      </c>
      <c r="M3606" t="s">
        <v>83</v>
      </c>
    </row>
    <row r="3607" spans="5:13" hidden="1" x14ac:dyDescent="0.35">
      <c r="E3607" s="81"/>
      <c r="I3607" s="83" t="e">
        <f>VLOOKUP(E3607,[1]Mapping!$A$3:$B$14,2,FALSE)</f>
        <v>#N/A</v>
      </c>
      <c r="J3607" s="84">
        <f t="shared" si="114"/>
        <v>0</v>
      </c>
      <c r="K3607" s="84">
        <f t="shared" si="115"/>
        <v>0</v>
      </c>
      <c r="L3607" s="61" t="e">
        <f>VLOOKUP(K3607,[1]Mapping!$J$3:$Q$351,8,FALSE)</f>
        <v>#N/A</v>
      </c>
      <c r="M3607" t="s">
        <v>83</v>
      </c>
    </row>
    <row r="3608" spans="5:13" hidden="1" x14ac:dyDescent="0.35">
      <c r="E3608" s="81"/>
      <c r="I3608" s="83" t="e">
        <f>VLOOKUP(E3608,[1]Mapping!$A$3:$B$14,2,FALSE)</f>
        <v>#N/A</v>
      </c>
      <c r="J3608" s="84">
        <f t="shared" si="114"/>
        <v>0</v>
      </c>
      <c r="K3608" s="84">
        <f t="shared" si="115"/>
        <v>0</v>
      </c>
      <c r="L3608" s="61" t="e">
        <f>VLOOKUP(K3608,[1]Mapping!$J$3:$Q$351,8,FALSE)</f>
        <v>#N/A</v>
      </c>
      <c r="M3608" t="s">
        <v>83</v>
      </c>
    </row>
    <row r="3609" spans="5:13" hidden="1" x14ac:dyDescent="0.35">
      <c r="E3609" s="81"/>
      <c r="I3609" s="83" t="e">
        <f>VLOOKUP(E3609,[1]Mapping!$A$3:$B$14,2,FALSE)</f>
        <v>#N/A</v>
      </c>
      <c r="J3609" s="84">
        <f t="shared" si="114"/>
        <v>0</v>
      </c>
      <c r="K3609" s="84">
        <f t="shared" si="115"/>
        <v>0</v>
      </c>
      <c r="L3609" s="61" t="e">
        <f>VLOOKUP(K3609,[1]Mapping!$J$3:$Q$351,8,FALSE)</f>
        <v>#N/A</v>
      </c>
      <c r="M3609" t="s">
        <v>83</v>
      </c>
    </row>
    <row r="3610" spans="5:13" hidden="1" x14ac:dyDescent="0.35">
      <c r="E3610" s="81"/>
      <c r="I3610" s="83" t="e">
        <f>VLOOKUP(E3610,[1]Mapping!$A$3:$B$14,2,FALSE)</f>
        <v>#N/A</v>
      </c>
      <c r="J3610" s="84">
        <f t="shared" si="114"/>
        <v>0</v>
      </c>
      <c r="K3610" s="84">
        <f t="shared" si="115"/>
        <v>0</v>
      </c>
      <c r="L3610" s="61" t="e">
        <f>VLOOKUP(K3610,[1]Mapping!$J$3:$Q$351,8,FALSE)</f>
        <v>#N/A</v>
      </c>
      <c r="M3610" t="s">
        <v>83</v>
      </c>
    </row>
    <row r="3611" spans="5:13" hidden="1" x14ac:dyDescent="0.35">
      <c r="E3611" s="81"/>
      <c r="I3611" s="83" t="e">
        <f>VLOOKUP(E3611,[1]Mapping!$A$3:$B$14,2,FALSE)</f>
        <v>#N/A</v>
      </c>
      <c r="J3611" s="84">
        <f t="shared" si="114"/>
        <v>0</v>
      </c>
      <c r="K3611" s="84">
        <f t="shared" si="115"/>
        <v>0</v>
      </c>
      <c r="L3611" s="61" t="e">
        <f>VLOOKUP(K3611,[1]Mapping!$J$3:$Q$351,8,FALSE)</f>
        <v>#N/A</v>
      </c>
      <c r="M3611" t="s">
        <v>83</v>
      </c>
    </row>
    <row r="3612" spans="5:13" hidden="1" x14ac:dyDescent="0.35">
      <c r="E3612" s="81"/>
      <c r="I3612" s="83" t="e">
        <f>VLOOKUP(E3612,[1]Mapping!$A$3:$B$14,2,FALSE)</f>
        <v>#N/A</v>
      </c>
      <c r="J3612" s="84">
        <f t="shared" si="114"/>
        <v>0</v>
      </c>
      <c r="K3612" s="84">
        <f t="shared" si="115"/>
        <v>0</v>
      </c>
      <c r="L3612" s="61" t="e">
        <f>VLOOKUP(K3612,[1]Mapping!$J$3:$Q$351,8,FALSE)</f>
        <v>#N/A</v>
      </c>
      <c r="M3612" t="s">
        <v>83</v>
      </c>
    </row>
    <row r="3613" spans="5:13" hidden="1" x14ac:dyDescent="0.35">
      <c r="E3613" s="81"/>
      <c r="I3613" s="83" t="e">
        <f>VLOOKUP(E3613,[1]Mapping!$A$3:$B$14,2,FALSE)</f>
        <v>#N/A</v>
      </c>
      <c r="J3613" s="84">
        <f t="shared" si="114"/>
        <v>0</v>
      </c>
      <c r="K3613" s="84">
        <f t="shared" si="115"/>
        <v>0</v>
      </c>
      <c r="L3613" s="61" t="e">
        <f>VLOOKUP(K3613,[1]Mapping!$J$3:$Q$351,8,FALSE)</f>
        <v>#N/A</v>
      </c>
      <c r="M3613" t="s">
        <v>83</v>
      </c>
    </row>
    <row r="3614" spans="5:13" hidden="1" x14ac:dyDescent="0.35">
      <c r="E3614" s="81"/>
      <c r="I3614" s="83" t="e">
        <f>VLOOKUP(E3614,[1]Mapping!$A$3:$B$14,2,FALSE)</f>
        <v>#N/A</v>
      </c>
      <c r="J3614" s="84">
        <f t="shared" si="114"/>
        <v>0</v>
      </c>
      <c r="K3614" s="84">
        <f t="shared" si="115"/>
        <v>0</v>
      </c>
      <c r="L3614" s="61" t="e">
        <f>VLOOKUP(K3614,[1]Mapping!$J$3:$Q$351,8,FALSE)</f>
        <v>#N/A</v>
      </c>
      <c r="M3614" t="s">
        <v>83</v>
      </c>
    </row>
    <row r="3615" spans="5:13" hidden="1" x14ac:dyDescent="0.35">
      <c r="E3615" s="81"/>
      <c r="I3615" s="83" t="e">
        <f>VLOOKUP(E3615,[1]Mapping!$A$3:$B$14,2,FALSE)</f>
        <v>#N/A</v>
      </c>
      <c r="J3615" s="84">
        <f t="shared" si="114"/>
        <v>0</v>
      </c>
      <c r="K3615" s="84">
        <f t="shared" si="115"/>
        <v>0</v>
      </c>
      <c r="L3615" s="61" t="e">
        <f>VLOOKUP(K3615,[1]Mapping!$J$3:$Q$351,8,FALSE)</f>
        <v>#N/A</v>
      </c>
      <c r="M3615" t="s">
        <v>83</v>
      </c>
    </row>
    <row r="3616" spans="5:13" hidden="1" x14ac:dyDescent="0.35">
      <c r="E3616" s="81"/>
      <c r="I3616" s="83" t="e">
        <f>VLOOKUP(E3616,[1]Mapping!$A$3:$B$14,2,FALSE)</f>
        <v>#N/A</v>
      </c>
      <c r="J3616" s="84">
        <f t="shared" si="114"/>
        <v>0</v>
      </c>
      <c r="K3616" s="84">
        <f t="shared" si="115"/>
        <v>0</v>
      </c>
      <c r="L3616" s="61" t="e">
        <f>VLOOKUP(K3616,[1]Mapping!$J$3:$Q$351,8,FALSE)</f>
        <v>#N/A</v>
      </c>
      <c r="M3616" t="s">
        <v>83</v>
      </c>
    </row>
    <row r="3617" spans="5:13" hidden="1" x14ac:dyDescent="0.35">
      <c r="E3617" s="81"/>
      <c r="I3617" s="83" t="e">
        <f>VLOOKUP(E3617,[1]Mapping!$A$3:$B$14,2,FALSE)</f>
        <v>#N/A</v>
      </c>
      <c r="J3617" s="84">
        <f t="shared" si="114"/>
        <v>0</v>
      </c>
      <c r="K3617" s="84">
        <f t="shared" si="115"/>
        <v>0</v>
      </c>
      <c r="L3617" s="61" t="e">
        <f>VLOOKUP(K3617,[1]Mapping!$J$3:$Q$351,8,FALSE)</f>
        <v>#N/A</v>
      </c>
      <c r="M3617" t="s">
        <v>83</v>
      </c>
    </row>
    <row r="3618" spans="5:13" hidden="1" x14ac:dyDescent="0.35">
      <c r="E3618" s="81"/>
      <c r="I3618" s="83" t="e">
        <f>VLOOKUP(E3618,[1]Mapping!$A$3:$B$14,2,FALSE)</f>
        <v>#N/A</v>
      </c>
      <c r="J3618" s="84">
        <f t="shared" si="114"/>
        <v>0</v>
      </c>
      <c r="K3618" s="84">
        <f t="shared" si="115"/>
        <v>0</v>
      </c>
      <c r="L3618" s="61" t="e">
        <f>VLOOKUP(K3618,[1]Mapping!$J$3:$Q$351,8,FALSE)</f>
        <v>#N/A</v>
      </c>
      <c r="M3618" t="s">
        <v>83</v>
      </c>
    </row>
    <row r="3619" spans="5:13" hidden="1" x14ac:dyDescent="0.35">
      <c r="E3619" s="81"/>
      <c r="I3619" s="83" t="e">
        <f>VLOOKUP(E3619,[1]Mapping!$A$3:$B$14,2,FALSE)</f>
        <v>#N/A</v>
      </c>
      <c r="J3619" s="84">
        <f t="shared" si="114"/>
        <v>0</v>
      </c>
      <c r="K3619" s="84">
        <f t="shared" si="115"/>
        <v>0</v>
      </c>
      <c r="L3619" s="61" t="e">
        <f>VLOOKUP(K3619,[1]Mapping!$J$3:$Q$351,8,FALSE)</f>
        <v>#N/A</v>
      </c>
      <c r="M3619" t="s">
        <v>83</v>
      </c>
    </row>
    <row r="3620" spans="5:13" hidden="1" x14ac:dyDescent="0.35">
      <c r="E3620" s="81"/>
      <c r="I3620" s="83" t="e">
        <f>VLOOKUP(E3620,[1]Mapping!$A$3:$B$14,2,FALSE)</f>
        <v>#N/A</v>
      </c>
      <c r="J3620" s="84">
        <f t="shared" si="114"/>
        <v>0</v>
      </c>
      <c r="K3620" s="84">
        <f t="shared" si="115"/>
        <v>0</v>
      </c>
      <c r="L3620" s="61" t="e">
        <f>VLOOKUP(K3620,[1]Mapping!$J$3:$Q$351,8,FALSE)</f>
        <v>#N/A</v>
      </c>
      <c r="M3620" t="s">
        <v>83</v>
      </c>
    </row>
    <row r="3621" spans="5:13" hidden="1" x14ac:dyDescent="0.35">
      <c r="E3621" s="81"/>
      <c r="I3621" s="83" t="e">
        <f>VLOOKUP(E3621,[1]Mapping!$A$3:$B$14,2,FALSE)</f>
        <v>#N/A</v>
      </c>
      <c r="J3621" s="84">
        <f t="shared" si="114"/>
        <v>0</v>
      </c>
      <c r="K3621" s="84">
        <f t="shared" si="115"/>
        <v>0</v>
      </c>
      <c r="L3621" s="61" t="e">
        <f>VLOOKUP(K3621,[1]Mapping!$J$3:$Q$351,8,FALSE)</f>
        <v>#N/A</v>
      </c>
      <c r="M3621" t="s">
        <v>83</v>
      </c>
    </row>
    <row r="3622" spans="5:13" hidden="1" x14ac:dyDescent="0.35">
      <c r="E3622" s="81"/>
      <c r="I3622" s="83" t="e">
        <f>VLOOKUP(E3622,[1]Mapping!$A$3:$B$14,2,FALSE)</f>
        <v>#N/A</v>
      </c>
      <c r="J3622" s="84">
        <f t="shared" si="114"/>
        <v>0</v>
      </c>
      <c r="K3622" s="84">
        <f t="shared" si="115"/>
        <v>0</v>
      </c>
      <c r="L3622" s="61" t="e">
        <f>VLOOKUP(K3622,[1]Mapping!$J$3:$Q$351,8,FALSE)</f>
        <v>#N/A</v>
      </c>
      <c r="M3622" t="s">
        <v>83</v>
      </c>
    </row>
    <row r="3623" spans="5:13" hidden="1" x14ac:dyDescent="0.35">
      <c r="E3623" s="81"/>
      <c r="I3623" s="83" t="e">
        <f>VLOOKUP(E3623,[1]Mapping!$A$3:$B$14,2,FALSE)</f>
        <v>#N/A</v>
      </c>
      <c r="J3623" s="84">
        <f t="shared" si="114"/>
        <v>0</v>
      </c>
      <c r="K3623" s="84">
        <f t="shared" si="115"/>
        <v>0</v>
      </c>
      <c r="L3623" s="61" t="e">
        <f>VLOOKUP(K3623,[1]Mapping!$J$3:$Q$351,8,FALSE)</f>
        <v>#N/A</v>
      </c>
      <c r="M3623" t="s">
        <v>83</v>
      </c>
    </row>
    <row r="3624" spans="5:13" hidden="1" x14ac:dyDescent="0.35">
      <c r="E3624" s="81"/>
      <c r="I3624" s="83" t="e">
        <f>VLOOKUP(E3624,[1]Mapping!$A$3:$B$14,2,FALSE)</f>
        <v>#N/A</v>
      </c>
      <c r="J3624" s="84">
        <f t="shared" si="114"/>
        <v>0</v>
      </c>
      <c r="K3624" s="84">
        <f t="shared" si="115"/>
        <v>0</v>
      </c>
      <c r="L3624" s="61" t="e">
        <f>VLOOKUP(K3624,[1]Mapping!$J$3:$Q$351,8,FALSE)</f>
        <v>#N/A</v>
      </c>
      <c r="M3624" t="s">
        <v>83</v>
      </c>
    </row>
    <row r="3625" spans="5:13" hidden="1" x14ac:dyDescent="0.35">
      <c r="E3625" s="81"/>
      <c r="I3625" s="83" t="e">
        <f>VLOOKUP(E3625,[1]Mapping!$A$3:$B$14,2,FALSE)</f>
        <v>#N/A</v>
      </c>
      <c r="J3625" s="84">
        <f t="shared" si="114"/>
        <v>0</v>
      </c>
      <c r="K3625" s="84">
        <f t="shared" si="115"/>
        <v>0</v>
      </c>
      <c r="L3625" s="61" t="e">
        <f>VLOOKUP(K3625,[1]Mapping!$J$3:$Q$351,8,FALSE)</f>
        <v>#N/A</v>
      </c>
      <c r="M3625" t="s">
        <v>83</v>
      </c>
    </row>
    <row r="3626" spans="5:13" hidden="1" x14ac:dyDescent="0.35">
      <c r="E3626" s="81"/>
      <c r="I3626" s="83" t="e">
        <f>VLOOKUP(E3626,[1]Mapping!$A$3:$B$14,2,FALSE)</f>
        <v>#N/A</v>
      </c>
      <c r="J3626" s="84">
        <f t="shared" si="114"/>
        <v>0</v>
      </c>
      <c r="K3626" s="84">
        <f t="shared" si="115"/>
        <v>0</v>
      </c>
      <c r="L3626" s="61" t="e">
        <f>VLOOKUP(K3626,[1]Mapping!$J$3:$Q$351,8,FALSE)</f>
        <v>#N/A</v>
      </c>
      <c r="M3626" t="s">
        <v>83</v>
      </c>
    </row>
    <row r="3627" spans="5:13" hidden="1" x14ac:dyDescent="0.35">
      <c r="E3627" s="81"/>
      <c r="I3627" s="83" t="e">
        <f>VLOOKUP(E3627,[1]Mapping!$A$3:$B$14,2,FALSE)</f>
        <v>#N/A</v>
      </c>
      <c r="J3627" s="84">
        <f t="shared" si="114"/>
        <v>0</v>
      </c>
      <c r="K3627" s="84">
        <f t="shared" si="115"/>
        <v>0</v>
      </c>
      <c r="L3627" s="61" t="e">
        <f>VLOOKUP(K3627,[1]Mapping!$J$3:$Q$351,8,FALSE)</f>
        <v>#N/A</v>
      </c>
      <c r="M3627" t="s">
        <v>83</v>
      </c>
    </row>
    <row r="3628" spans="5:13" hidden="1" x14ac:dyDescent="0.35">
      <c r="E3628" s="81"/>
      <c r="I3628" s="83" t="e">
        <f>VLOOKUP(E3628,[1]Mapping!$A$3:$B$14,2,FALSE)</f>
        <v>#N/A</v>
      </c>
      <c r="J3628" s="84">
        <f t="shared" si="114"/>
        <v>0</v>
      </c>
      <c r="K3628" s="84">
        <f t="shared" si="115"/>
        <v>0</v>
      </c>
      <c r="L3628" s="61" t="e">
        <f>VLOOKUP(K3628,[1]Mapping!$J$3:$Q$351,8,FALSE)</f>
        <v>#N/A</v>
      </c>
      <c r="M3628" t="s">
        <v>83</v>
      </c>
    </row>
    <row r="3629" spans="5:13" hidden="1" x14ac:dyDescent="0.35">
      <c r="E3629" s="81"/>
      <c r="I3629" s="83" t="e">
        <f>VLOOKUP(E3629,[1]Mapping!$A$3:$B$14,2,FALSE)</f>
        <v>#N/A</v>
      </c>
      <c r="J3629" s="84">
        <f t="shared" si="114"/>
        <v>0</v>
      </c>
      <c r="K3629" s="84">
        <f t="shared" si="115"/>
        <v>0</v>
      </c>
      <c r="L3629" s="61" t="e">
        <f>VLOOKUP(K3629,[1]Mapping!$J$3:$Q$351,8,FALSE)</f>
        <v>#N/A</v>
      </c>
      <c r="M3629" t="s">
        <v>83</v>
      </c>
    </row>
    <row r="3630" spans="5:13" hidden="1" x14ac:dyDescent="0.35">
      <c r="E3630" s="81"/>
      <c r="I3630" s="83" t="e">
        <f>VLOOKUP(E3630,[1]Mapping!$A$3:$B$14,2,FALSE)</f>
        <v>#N/A</v>
      </c>
      <c r="J3630" s="84">
        <f t="shared" si="114"/>
        <v>0</v>
      </c>
      <c r="K3630" s="84">
        <f t="shared" si="115"/>
        <v>0</v>
      </c>
      <c r="L3630" s="61" t="e">
        <f>VLOOKUP(K3630,[1]Mapping!$J$3:$Q$351,8,FALSE)</f>
        <v>#N/A</v>
      </c>
      <c r="M3630" t="s">
        <v>83</v>
      </c>
    </row>
    <row r="3631" spans="5:13" hidden="1" x14ac:dyDescent="0.35">
      <c r="E3631" s="81"/>
      <c r="I3631" s="83" t="e">
        <f>VLOOKUP(E3631,[1]Mapping!$A$3:$B$14,2,FALSE)</f>
        <v>#N/A</v>
      </c>
      <c r="J3631" s="84">
        <f t="shared" si="114"/>
        <v>0</v>
      </c>
      <c r="K3631" s="84">
        <f t="shared" si="115"/>
        <v>0</v>
      </c>
      <c r="L3631" s="61" t="e">
        <f>VLOOKUP(K3631,[1]Mapping!$J$3:$Q$351,8,FALSE)</f>
        <v>#N/A</v>
      </c>
      <c r="M3631" t="s">
        <v>83</v>
      </c>
    </row>
    <row r="3632" spans="5:13" hidden="1" x14ac:dyDescent="0.35">
      <c r="E3632" s="81"/>
      <c r="I3632" s="83" t="e">
        <f>VLOOKUP(E3632,[1]Mapping!$A$3:$B$14,2,FALSE)</f>
        <v>#N/A</v>
      </c>
      <c r="J3632" s="84">
        <f t="shared" si="114"/>
        <v>0</v>
      </c>
      <c r="K3632" s="84">
        <f t="shared" si="115"/>
        <v>0</v>
      </c>
      <c r="L3632" s="61" t="e">
        <f>VLOOKUP(K3632,[1]Mapping!$J$3:$Q$351,8,FALSE)</f>
        <v>#N/A</v>
      </c>
      <c r="M3632" t="s">
        <v>83</v>
      </c>
    </row>
    <row r="3633" spans="5:13" hidden="1" x14ac:dyDescent="0.35">
      <c r="E3633" s="81"/>
      <c r="I3633" s="83" t="e">
        <f>VLOOKUP(E3633,[1]Mapping!$A$3:$B$14,2,FALSE)</f>
        <v>#N/A</v>
      </c>
      <c r="J3633" s="84">
        <f t="shared" si="114"/>
        <v>0</v>
      </c>
      <c r="K3633" s="84">
        <f t="shared" si="115"/>
        <v>0</v>
      </c>
      <c r="L3633" s="61" t="e">
        <f>VLOOKUP(K3633,[1]Mapping!$J$3:$Q$351,8,FALSE)</f>
        <v>#N/A</v>
      </c>
      <c r="M3633" t="s">
        <v>83</v>
      </c>
    </row>
    <row r="3634" spans="5:13" hidden="1" x14ac:dyDescent="0.35">
      <c r="E3634" s="81"/>
      <c r="I3634" s="83" t="e">
        <f>VLOOKUP(E3634,[1]Mapping!$A$3:$B$14,2,FALSE)</f>
        <v>#N/A</v>
      </c>
      <c r="J3634" s="84">
        <f t="shared" si="114"/>
        <v>0</v>
      </c>
      <c r="K3634" s="84">
        <f t="shared" si="115"/>
        <v>0</v>
      </c>
      <c r="L3634" s="61" t="e">
        <f>VLOOKUP(K3634,[1]Mapping!$J$3:$Q$351,8,FALSE)</f>
        <v>#N/A</v>
      </c>
      <c r="M3634" t="s">
        <v>83</v>
      </c>
    </row>
    <row r="3635" spans="5:13" hidden="1" x14ac:dyDescent="0.35">
      <c r="E3635" s="81"/>
      <c r="I3635" s="83" t="e">
        <f>VLOOKUP(E3635,[1]Mapping!$A$3:$B$14,2,FALSE)</f>
        <v>#N/A</v>
      </c>
      <c r="J3635" s="84">
        <f t="shared" si="114"/>
        <v>0</v>
      </c>
      <c r="K3635" s="84">
        <f t="shared" si="115"/>
        <v>0</v>
      </c>
      <c r="L3635" s="61" t="e">
        <f>VLOOKUP(K3635,[1]Mapping!$J$3:$Q$351,8,FALSE)</f>
        <v>#N/A</v>
      </c>
      <c r="M3635" t="s">
        <v>83</v>
      </c>
    </row>
    <row r="3636" spans="5:13" hidden="1" x14ac:dyDescent="0.35">
      <c r="E3636" s="81"/>
      <c r="I3636" s="83" t="e">
        <f>VLOOKUP(E3636,[1]Mapping!$A$3:$B$14,2,FALSE)</f>
        <v>#N/A</v>
      </c>
      <c r="J3636" s="84">
        <f t="shared" si="114"/>
        <v>0</v>
      </c>
      <c r="K3636" s="84">
        <f t="shared" si="115"/>
        <v>0</v>
      </c>
      <c r="L3636" s="61" t="e">
        <f>VLOOKUP(K3636,[1]Mapping!$J$3:$Q$351,8,FALSE)</f>
        <v>#N/A</v>
      </c>
      <c r="M3636" t="s">
        <v>83</v>
      </c>
    </row>
    <row r="3637" spans="5:13" hidden="1" x14ac:dyDescent="0.35">
      <c r="E3637" s="81"/>
      <c r="I3637" s="83" t="e">
        <f>VLOOKUP(E3637,[1]Mapping!$A$3:$B$14,2,FALSE)</f>
        <v>#N/A</v>
      </c>
      <c r="J3637" s="84">
        <f t="shared" si="114"/>
        <v>0</v>
      </c>
      <c r="K3637" s="84">
        <f t="shared" si="115"/>
        <v>0</v>
      </c>
      <c r="L3637" s="61" t="e">
        <f>VLOOKUP(K3637,[1]Mapping!$J$3:$Q$351,8,FALSE)</f>
        <v>#N/A</v>
      </c>
      <c r="M3637" t="s">
        <v>83</v>
      </c>
    </row>
    <row r="3638" spans="5:13" hidden="1" x14ac:dyDescent="0.35">
      <c r="E3638" s="81"/>
      <c r="I3638" s="83" t="e">
        <f>VLOOKUP(E3638,[1]Mapping!$A$3:$B$14,2,FALSE)</f>
        <v>#N/A</v>
      </c>
      <c r="J3638" s="84">
        <f t="shared" si="114"/>
        <v>0</v>
      </c>
      <c r="K3638" s="84">
        <f t="shared" si="115"/>
        <v>0</v>
      </c>
      <c r="L3638" s="61" t="e">
        <f>VLOOKUP(K3638,[1]Mapping!$J$3:$Q$351,8,FALSE)</f>
        <v>#N/A</v>
      </c>
      <c r="M3638" t="s">
        <v>83</v>
      </c>
    </row>
    <row r="3639" spans="5:13" hidden="1" x14ac:dyDescent="0.35">
      <c r="E3639" s="81"/>
      <c r="I3639" s="83" t="e">
        <f>VLOOKUP(E3639,[1]Mapping!$A$3:$B$14,2,FALSE)</f>
        <v>#N/A</v>
      </c>
      <c r="J3639" s="84">
        <f t="shared" si="114"/>
        <v>0</v>
      </c>
      <c r="K3639" s="84">
        <f t="shared" si="115"/>
        <v>0</v>
      </c>
      <c r="L3639" s="61" t="e">
        <f>VLOOKUP(K3639,[1]Mapping!$J$3:$Q$351,8,FALSE)</f>
        <v>#N/A</v>
      </c>
      <c r="M3639" t="s">
        <v>83</v>
      </c>
    </row>
    <row r="3640" spans="5:13" hidden="1" x14ac:dyDescent="0.35">
      <c r="E3640" s="81"/>
      <c r="I3640" s="83" t="e">
        <f>VLOOKUP(E3640,[1]Mapping!$A$3:$B$14,2,FALSE)</f>
        <v>#N/A</v>
      </c>
      <c r="J3640" s="84">
        <f t="shared" si="114"/>
        <v>0</v>
      </c>
      <c r="K3640" s="84">
        <f t="shared" si="115"/>
        <v>0</v>
      </c>
      <c r="L3640" s="61" t="e">
        <f>VLOOKUP(K3640,[1]Mapping!$J$3:$Q$351,8,FALSE)</f>
        <v>#N/A</v>
      </c>
      <c r="M3640" t="s">
        <v>83</v>
      </c>
    </row>
    <row r="3641" spans="5:13" hidden="1" x14ac:dyDescent="0.35">
      <c r="E3641" s="81"/>
      <c r="I3641" s="83" t="e">
        <f>VLOOKUP(E3641,[1]Mapping!$A$3:$B$14,2,FALSE)</f>
        <v>#N/A</v>
      </c>
      <c r="J3641" s="84">
        <f t="shared" si="114"/>
        <v>0</v>
      </c>
      <c r="K3641" s="84">
        <f t="shared" si="115"/>
        <v>0</v>
      </c>
      <c r="L3641" s="61" t="e">
        <f>VLOOKUP(K3641,[1]Mapping!$J$3:$Q$351,8,FALSE)</f>
        <v>#N/A</v>
      </c>
      <c r="M3641" t="s">
        <v>83</v>
      </c>
    </row>
    <row r="3642" spans="5:13" hidden="1" x14ac:dyDescent="0.35">
      <c r="E3642" s="81"/>
      <c r="I3642" s="83" t="e">
        <f>VLOOKUP(E3642,[1]Mapping!$A$3:$B$14,2,FALSE)</f>
        <v>#N/A</v>
      </c>
      <c r="J3642" s="84">
        <f t="shared" si="114"/>
        <v>0</v>
      </c>
      <c r="K3642" s="84">
        <f t="shared" si="115"/>
        <v>0</v>
      </c>
      <c r="L3642" s="61" t="e">
        <f>VLOOKUP(K3642,[1]Mapping!$J$3:$Q$351,8,FALSE)</f>
        <v>#N/A</v>
      </c>
      <c r="M3642" t="s">
        <v>83</v>
      </c>
    </row>
    <row r="3643" spans="5:13" hidden="1" x14ac:dyDescent="0.35">
      <c r="E3643" s="81"/>
      <c r="I3643" s="83" t="e">
        <f>VLOOKUP(E3643,[1]Mapping!$A$3:$B$14,2,FALSE)</f>
        <v>#N/A</v>
      </c>
      <c r="J3643" s="84">
        <f t="shared" si="114"/>
        <v>0</v>
      </c>
      <c r="K3643" s="84">
        <f t="shared" si="115"/>
        <v>0</v>
      </c>
      <c r="L3643" s="61" t="e">
        <f>VLOOKUP(K3643,[1]Mapping!$J$3:$Q$351,8,FALSE)</f>
        <v>#N/A</v>
      </c>
      <c r="M3643" t="s">
        <v>83</v>
      </c>
    </row>
    <row r="3644" spans="5:13" hidden="1" x14ac:dyDescent="0.35">
      <c r="E3644" s="81"/>
      <c r="I3644" s="83" t="e">
        <f>VLOOKUP(E3644,[1]Mapping!$A$3:$B$14,2,FALSE)</f>
        <v>#N/A</v>
      </c>
      <c r="J3644" s="84">
        <f t="shared" si="114"/>
        <v>0</v>
      </c>
      <c r="K3644" s="84">
        <f t="shared" si="115"/>
        <v>0</v>
      </c>
      <c r="L3644" s="61" t="e">
        <f>VLOOKUP(K3644,[1]Mapping!$J$3:$Q$351,8,FALSE)</f>
        <v>#N/A</v>
      </c>
      <c r="M3644" t="s">
        <v>83</v>
      </c>
    </row>
    <row r="3645" spans="5:13" hidden="1" x14ac:dyDescent="0.35">
      <c r="E3645" s="81"/>
      <c r="I3645" s="83" t="e">
        <f>VLOOKUP(E3645,[1]Mapping!$A$3:$B$14,2,FALSE)</f>
        <v>#N/A</v>
      </c>
      <c r="J3645" s="84">
        <f t="shared" si="114"/>
        <v>0</v>
      </c>
      <c r="K3645" s="84">
        <f t="shared" si="115"/>
        <v>0</v>
      </c>
      <c r="L3645" s="61" t="e">
        <f>VLOOKUP(K3645,[1]Mapping!$J$3:$Q$351,8,FALSE)</f>
        <v>#N/A</v>
      </c>
      <c r="M3645" t="s">
        <v>83</v>
      </c>
    </row>
    <row r="3646" spans="5:13" hidden="1" x14ac:dyDescent="0.35">
      <c r="E3646" s="81"/>
      <c r="I3646" s="83" t="e">
        <f>VLOOKUP(E3646,[1]Mapping!$A$3:$B$14,2,FALSE)</f>
        <v>#N/A</v>
      </c>
      <c r="J3646" s="84">
        <f t="shared" si="114"/>
        <v>0</v>
      </c>
      <c r="K3646" s="84">
        <f t="shared" si="115"/>
        <v>0</v>
      </c>
      <c r="L3646" s="61" t="e">
        <f>VLOOKUP(K3646,[1]Mapping!$J$3:$Q$351,8,FALSE)</f>
        <v>#N/A</v>
      </c>
      <c r="M3646" t="s">
        <v>83</v>
      </c>
    </row>
    <row r="3647" spans="5:13" hidden="1" x14ac:dyDescent="0.35">
      <c r="E3647" s="81"/>
      <c r="I3647" s="83" t="e">
        <f>VLOOKUP(E3647,[1]Mapping!$A$3:$B$14,2,FALSE)</f>
        <v>#N/A</v>
      </c>
      <c r="J3647" s="84">
        <f t="shared" si="114"/>
        <v>0</v>
      </c>
      <c r="K3647" s="84">
        <f t="shared" si="115"/>
        <v>0</v>
      </c>
      <c r="L3647" s="61" t="e">
        <f>VLOOKUP(K3647,[1]Mapping!$J$3:$Q$351,8,FALSE)</f>
        <v>#N/A</v>
      </c>
      <c r="M3647" t="s">
        <v>83</v>
      </c>
    </row>
    <row r="3648" spans="5:13" hidden="1" x14ac:dyDescent="0.35">
      <c r="E3648" s="81"/>
      <c r="I3648" s="83" t="e">
        <f>VLOOKUP(E3648,[1]Mapping!$A$3:$B$14,2,FALSE)</f>
        <v>#N/A</v>
      </c>
      <c r="J3648" s="84">
        <f t="shared" si="114"/>
        <v>0</v>
      </c>
      <c r="K3648" s="84">
        <f t="shared" si="115"/>
        <v>0</v>
      </c>
      <c r="L3648" s="61" t="e">
        <f>VLOOKUP(K3648,[1]Mapping!$J$3:$Q$351,8,FALSE)</f>
        <v>#N/A</v>
      </c>
      <c r="M3648" t="s">
        <v>83</v>
      </c>
    </row>
    <row r="3649" spans="5:13" hidden="1" x14ac:dyDescent="0.35">
      <c r="E3649" s="81"/>
      <c r="I3649" s="83" t="e">
        <f>VLOOKUP(E3649,[1]Mapping!$A$3:$B$14,2,FALSE)</f>
        <v>#N/A</v>
      </c>
      <c r="J3649" s="84">
        <f t="shared" si="114"/>
        <v>0</v>
      </c>
      <c r="K3649" s="84">
        <f t="shared" si="115"/>
        <v>0</v>
      </c>
      <c r="L3649" s="61" t="e">
        <f>VLOOKUP(K3649,[1]Mapping!$J$3:$Q$351,8,FALSE)</f>
        <v>#N/A</v>
      </c>
      <c r="M3649" t="s">
        <v>83</v>
      </c>
    </row>
    <row r="3650" spans="5:13" hidden="1" x14ac:dyDescent="0.35">
      <c r="E3650" s="81"/>
      <c r="I3650" s="83" t="e">
        <f>VLOOKUP(E3650,[1]Mapping!$A$3:$B$14,2,FALSE)</f>
        <v>#N/A</v>
      </c>
      <c r="J3650" s="84">
        <f t="shared" si="114"/>
        <v>0</v>
      </c>
      <c r="K3650" s="84">
        <f t="shared" si="115"/>
        <v>0</v>
      </c>
      <c r="L3650" s="61" t="e">
        <f>VLOOKUP(K3650,[1]Mapping!$J$3:$Q$351,8,FALSE)</f>
        <v>#N/A</v>
      </c>
      <c r="M3650" t="s">
        <v>83</v>
      </c>
    </row>
    <row r="3651" spans="5:13" hidden="1" x14ac:dyDescent="0.35">
      <c r="E3651" s="81"/>
      <c r="I3651" s="83" t="e">
        <f>VLOOKUP(E3651,[1]Mapping!$A$3:$B$14,2,FALSE)</f>
        <v>#N/A</v>
      </c>
      <c r="J3651" s="84">
        <f t="shared" si="114"/>
        <v>0</v>
      </c>
      <c r="K3651" s="84">
        <f t="shared" si="115"/>
        <v>0</v>
      </c>
      <c r="L3651" s="61" t="e">
        <f>VLOOKUP(K3651,[1]Mapping!$J$3:$Q$351,8,FALSE)</f>
        <v>#N/A</v>
      </c>
      <c r="M3651" t="s">
        <v>83</v>
      </c>
    </row>
    <row r="3652" spans="5:13" hidden="1" x14ac:dyDescent="0.35">
      <c r="E3652" s="81"/>
      <c r="I3652" s="83" t="e">
        <f>VLOOKUP(E3652,[1]Mapping!$A$3:$B$14,2,FALSE)</f>
        <v>#N/A</v>
      </c>
      <c r="J3652" s="84">
        <f t="shared" ref="J3652:J3715" si="116">VALUE(A3652)</f>
        <v>0</v>
      </c>
      <c r="K3652" s="84">
        <f t="shared" ref="K3652:K3715" si="117">VALUE(C3652)</f>
        <v>0</v>
      </c>
      <c r="L3652" s="61" t="e">
        <f>VLOOKUP(K3652,[1]Mapping!$J$3:$Q$351,8,FALSE)</f>
        <v>#N/A</v>
      </c>
      <c r="M3652" t="s">
        <v>83</v>
      </c>
    </row>
    <row r="3653" spans="5:13" hidden="1" x14ac:dyDescent="0.35">
      <c r="E3653" s="81"/>
      <c r="I3653" s="83" t="e">
        <f>VLOOKUP(E3653,[1]Mapping!$A$3:$B$14,2,FALSE)</f>
        <v>#N/A</v>
      </c>
      <c r="J3653" s="84">
        <f t="shared" si="116"/>
        <v>0</v>
      </c>
      <c r="K3653" s="84">
        <f t="shared" si="117"/>
        <v>0</v>
      </c>
      <c r="L3653" s="61" t="e">
        <f>VLOOKUP(K3653,[1]Mapping!$J$3:$Q$351,8,FALSE)</f>
        <v>#N/A</v>
      </c>
      <c r="M3653" t="s">
        <v>83</v>
      </c>
    </row>
    <row r="3654" spans="5:13" hidden="1" x14ac:dyDescent="0.35">
      <c r="E3654" s="81"/>
      <c r="I3654" s="83" t="e">
        <f>VLOOKUP(E3654,[1]Mapping!$A$3:$B$14,2,FALSE)</f>
        <v>#N/A</v>
      </c>
      <c r="J3654" s="84">
        <f t="shared" si="116"/>
        <v>0</v>
      </c>
      <c r="K3654" s="84">
        <f t="shared" si="117"/>
        <v>0</v>
      </c>
      <c r="L3654" s="61" t="e">
        <f>VLOOKUP(K3654,[1]Mapping!$J$3:$Q$351,8,FALSE)</f>
        <v>#N/A</v>
      </c>
      <c r="M3654" t="s">
        <v>83</v>
      </c>
    </row>
    <row r="3655" spans="5:13" hidden="1" x14ac:dyDescent="0.35">
      <c r="E3655" s="81"/>
      <c r="I3655" s="83" t="e">
        <f>VLOOKUP(E3655,[1]Mapping!$A$3:$B$14,2,FALSE)</f>
        <v>#N/A</v>
      </c>
      <c r="J3655" s="84">
        <f t="shared" si="116"/>
        <v>0</v>
      </c>
      <c r="K3655" s="84">
        <f t="shared" si="117"/>
        <v>0</v>
      </c>
      <c r="L3655" s="61" t="e">
        <f>VLOOKUP(K3655,[1]Mapping!$J$3:$Q$351,8,FALSE)</f>
        <v>#N/A</v>
      </c>
      <c r="M3655" t="s">
        <v>83</v>
      </c>
    </row>
    <row r="3656" spans="5:13" hidden="1" x14ac:dyDescent="0.35">
      <c r="E3656" s="81"/>
      <c r="I3656" s="83" t="e">
        <f>VLOOKUP(E3656,[1]Mapping!$A$3:$B$14,2,FALSE)</f>
        <v>#N/A</v>
      </c>
      <c r="J3656" s="84">
        <f t="shared" si="116"/>
        <v>0</v>
      </c>
      <c r="K3656" s="84">
        <f t="shared" si="117"/>
        <v>0</v>
      </c>
      <c r="L3656" s="61" t="e">
        <f>VLOOKUP(K3656,[1]Mapping!$J$3:$Q$351,8,FALSE)</f>
        <v>#N/A</v>
      </c>
      <c r="M3656" t="s">
        <v>83</v>
      </c>
    </row>
    <row r="3657" spans="5:13" hidden="1" x14ac:dyDescent="0.35">
      <c r="E3657" s="81"/>
      <c r="I3657" s="83" t="e">
        <f>VLOOKUP(E3657,[1]Mapping!$A$3:$B$14,2,FALSE)</f>
        <v>#N/A</v>
      </c>
      <c r="J3657" s="84">
        <f t="shared" si="116"/>
        <v>0</v>
      </c>
      <c r="K3657" s="84">
        <f t="shared" si="117"/>
        <v>0</v>
      </c>
      <c r="L3657" s="61" t="e">
        <f>VLOOKUP(K3657,[1]Mapping!$J$3:$Q$351,8,FALSE)</f>
        <v>#N/A</v>
      </c>
      <c r="M3657" t="s">
        <v>83</v>
      </c>
    </row>
    <row r="3658" spans="5:13" hidden="1" x14ac:dyDescent="0.35">
      <c r="E3658" s="81"/>
      <c r="I3658" s="83" t="e">
        <f>VLOOKUP(E3658,[1]Mapping!$A$3:$B$14,2,FALSE)</f>
        <v>#N/A</v>
      </c>
      <c r="J3658" s="84">
        <f t="shared" si="116"/>
        <v>0</v>
      </c>
      <c r="K3658" s="84">
        <f t="shared" si="117"/>
        <v>0</v>
      </c>
      <c r="L3658" s="61" t="e">
        <f>VLOOKUP(K3658,[1]Mapping!$J$3:$Q$351,8,FALSE)</f>
        <v>#N/A</v>
      </c>
      <c r="M3658" t="s">
        <v>83</v>
      </c>
    </row>
    <row r="3659" spans="5:13" hidden="1" x14ac:dyDescent="0.35">
      <c r="E3659" s="81"/>
      <c r="I3659" s="83" t="e">
        <f>VLOOKUP(E3659,[1]Mapping!$A$3:$B$14,2,FALSE)</f>
        <v>#N/A</v>
      </c>
      <c r="J3659" s="84">
        <f t="shared" si="116"/>
        <v>0</v>
      </c>
      <c r="K3659" s="84">
        <f t="shared" si="117"/>
        <v>0</v>
      </c>
      <c r="L3659" s="61" t="e">
        <f>VLOOKUP(K3659,[1]Mapping!$J$3:$Q$351,8,FALSE)</f>
        <v>#N/A</v>
      </c>
      <c r="M3659" t="s">
        <v>83</v>
      </c>
    </row>
    <row r="3660" spans="5:13" hidden="1" x14ac:dyDescent="0.35">
      <c r="E3660" s="81"/>
      <c r="I3660" s="83" t="e">
        <f>VLOOKUP(E3660,[1]Mapping!$A$3:$B$14,2,FALSE)</f>
        <v>#N/A</v>
      </c>
      <c r="J3660" s="84">
        <f t="shared" si="116"/>
        <v>0</v>
      </c>
      <c r="K3660" s="84">
        <f t="shared" si="117"/>
        <v>0</v>
      </c>
      <c r="L3660" s="61" t="e">
        <f>VLOOKUP(K3660,[1]Mapping!$J$3:$Q$351,8,FALSE)</f>
        <v>#N/A</v>
      </c>
      <c r="M3660" t="s">
        <v>83</v>
      </c>
    </row>
    <row r="3661" spans="5:13" hidden="1" x14ac:dyDescent="0.35">
      <c r="E3661" s="81"/>
      <c r="I3661" s="83" t="e">
        <f>VLOOKUP(E3661,[1]Mapping!$A$3:$B$14,2,FALSE)</f>
        <v>#N/A</v>
      </c>
      <c r="J3661" s="84">
        <f t="shared" si="116"/>
        <v>0</v>
      </c>
      <c r="K3661" s="84">
        <f t="shared" si="117"/>
        <v>0</v>
      </c>
      <c r="L3661" s="61" t="e">
        <f>VLOOKUP(K3661,[1]Mapping!$J$3:$Q$351,8,FALSE)</f>
        <v>#N/A</v>
      </c>
      <c r="M3661" t="s">
        <v>83</v>
      </c>
    </row>
    <row r="3662" spans="5:13" hidden="1" x14ac:dyDescent="0.35">
      <c r="E3662" s="81"/>
      <c r="I3662" s="83" t="e">
        <f>VLOOKUP(E3662,[1]Mapping!$A$3:$B$14,2,FALSE)</f>
        <v>#N/A</v>
      </c>
      <c r="J3662" s="84">
        <f t="shared" si="116"/>
        <v>0</v>
      </c>
      <c r="K3662" s="84">
        <f t="shared" si="117"/>
        <v>0</v>
      </c>
      <c r="L3662" s="61" t="e">
        <f>VLOOKUP(K3662,[1]Mapping!$J$3:$Q$351,8,FALSE)</f>
        <v>#N/A</v>
      </c>
      <c r="M3662" t="s">
        <v>83</v>
      </c>
    </row>
    <row r="3663" spans="5:13" hidden="1" x14ac:dyDescent="0.35">
      <c r="E3663" s="81"/>
      <c r="I3663" s="83" t="e">
        <f>VLOOKUP(E3663,[1]Mapping!$A$3:$B$14,2,FALSE)</f>
        <v>#N/A</v>
      </c>
      <c r="J3663" s="84">
        <f t="shared" si="116"/>
        <v>0</v>
      </c>
      <c r="K3663" s="84">
        <f t="shared" si="117"/>
        <v>0</v>
      </c>
      <c r="L3663" s="61" t="e">
        <f>VLOOKUP(K3663,[1]Mapping!$J$3:$Q$351,8,FALSE)</f>
        <v>#N/A</v>
      </c>
      <c r="M3663" t="s">
        <v>83</v>
      </c>
    </row>
    <row r="3664" spans="5:13" hidden="1" x14ac:dyDescent="0.35">
      <c r="E3664" s="81"/>
      <c r="I3664" s="83" t="e">
        <f>VLOOKUP(E3664,[1]Mapping!$A$3:$B$14,2,FALSE)</f>
        <v>#N/A</v>
      </c>
      <c r="J3664" s="84">
        <f t="shared" si="116"/>
        <v>0</v>
      </c>
      <c r="K3664" s="84">
        <f t="shared" si="117"/>
        <v>0</v>
      </c>
      <c r="L3664" s="61" t="e">
        <f>VLOOKUP(K3664,[1]Mapping!$J$3:$Q$351,8,FALSE)</f>
        <v>#N/A</v>
      </c>
      <c r="M3664" t="s">
        <v>83</v>
      </c>
    </row>
    <row r="3665" spans="5:13" hidden="1" x14ac:dyDescent="0.35">
      <c r="E3665" s="81"/>
      <c r="I3665" s="83" t="e">
        <f>VLOOKUP(E3665,[1]Mapping!$A$3:$B$14,2,FALSE)</f>
        <v>#N/A</v>
      </c>
      <c r="J3665" s="84">
        <f t="shared" si="116"/>
        <v>0</v>
      </c>
      <c r="K3665" s="84">
        <f t="shared" si="117"/>
        <v>0</v>
      </c>
      <c r="L3665" s="61" t="e">
        <f>VLOOKUP(K3665,[1]Mapping!$J$3:$Q$351,8,FALSE)</f>
        <v>#N/A</v>
      </c>
      <c r="M3665" t="s">
        <v>83</v>
      </c>
    </row>
    <row r="3666" spans="5:13" hidden="1" x14ac:dyDescent="0.35">
      <c r="E3666" s="81"/>
      <c r="I3666" s="83" t="e">
        <f>VLOOKUP(E3666,[1]Mapping!$A$3:$B$14,2,FALSE)</f>
        <v>#N/A</v>
      </c>
      <c r="J3666" s="84">
        <f t="shared" si="116"/>
        <v>0</v>
      </c>
      <c r="K3666" s="84">
        <f t="shared" si="117"/>
        <v>0</v>
      </c>
      <c r="L3666" s="61" t="e">
        <f>VLOOKUP(K3666,[1]Mapping!$J$3:$Q$351,8,FALSE)</f>
        <v>#N/A</v>
      </c>
      <c r="M3666" t="s">
        <v>83</v>
      </c>
    </row>
    <row r="3667" spans="5:13" hidden="1" x14ac:dyDescent="0.35">
      <c r="E3667" s="81"/>
      <c r="I3667" s="83" t="e">
        <f>VLOOKUP(E3667,[1]Mapping!$A$3:$B$14,2,FALSE)</f>
        <v>#N/A</v>
      </c>
      <c r="J3667" s="84">
        <f t="shared" si="116"/>
        <v>0</v>
      </c>
      <c r="K3667" s="84">
        <f t="shared" si="117"/>
        <v>0</v>
      </c>
      <c r="L3667" s="61" t="e">
        <f>VLOOKUP(K3667,[1]Mapping!$J$3:$Q$351,8,FALSE)</f>
        <v>#N/A</v>
      </c>
      <c r="M3667" t="s">
        <v>83</v>
      </c>
    </row>
    <row r="3668" spans="5:13" hidden="1" x14ac:dyDescent="0.35">
      <c r="E3668" s="81"/>
      <c r="I3668" s="83" t="e">
        <f>VLOOKUP(E3668,[1]Mapping!$A$3:$B$14,2,FALSE)</f>
        <v>#N/A</v>
      </c>
      <c r="J3668" s="84">
        <f t="shared" si="116"/>
        <v>0</v>
      </c>
      <c r="K3668" s="84">
        <f t="shared" si="117"/>
        <v>0</v>
      </c>
      <c r="L3668" s="61" t="e">
        <f>VLOOKUP(K3668,[1]Mapping!$J$3:$Q$351,8,FALSE)</f>
        <v>#N/A</v>
      </c>
      <c r="M3668" t="s">
        <v>83</v>
      </c>
    </row>
    <row r="3669" spans="5:13" hidden="1" x14ac:dyDescent="0.35">
      <c r="E3669" s="81"/>
      <c r="I3669" s="83" t="e">
        <f>VLOOKUP(E3669,[1]Mapping!$A$3:$B$14,2,FALSE)</f>
        <v>#N/A</v>
      </c>
      <c r="J3669" s="84">
        <f t="shared" si="116"/>
        <v>0</v>
      </c>
      <c r="K3669" s="84">
        <f t="shared" si="117"/>
        <v>0</v>
      </c>
      <c r="L3669" s="61" t="e">
        <f>VLOOKUP(K3669,[1]Mapping!$J$3:$Q$351,8,FALSE)</f>
        <v>#N/A</v>
      </c>
      <c r="M3669" t="s">
        <v>83</v>
      </c>
    </row>
    <row r="3670" spans="5:13" hidden="1" x14ac:dyDescent="0.35">
      <c r="E3670" s="81"/>
      <c r="I3670" s="83" t="e">
        <f>VLOOKUP(E3670,[1]Mapping!$A$3:$B$14,2,FALSE)</f>
        <v>#N/A</v>
      </c>
      <c r="J3670" s="84">
        <f t="shared" si="116"/>
        <v>0</v>
      </c>
      <c r="K3670" s="84">
        <f t="shared" si="117"/>
        <v>0</v>
      </c>
      <c r="L3670" s="61" t="e">
        <f>VLOOKUP(K3670,[1]Mapping!$J$3:$Q$351,8,FALSE)</f>
        <v>#N/A</v>
      </c>
      <c r="M3670" t="s">
        <v>83</v>
      </c>
    </row>
    <row r="3671" spans="5:13" hidden="1" x14ac:dyDescent="0.35">
      <c r="E3671" s="81"/>
      <c r="I3671" s="83" t="e">
        <f>VLOOKUP(E3671,[1]Mapping!$A$3:$B$14,2,FALSE)</f>
        <v>#N/A</v>
      </c>
      <c r="J3671" s="84">
        <f t="shared" si="116"/>
        <v>0</v>
      </c>
      <c r="K3671" s="84">
        <f t="shared" si="117"/>
        <v>0</v>
      </c>
      <c r="L3671" s="61" t="e">
        <f>VLOOKUP(K3671,[1]Mapping!$J$3:$Q$351,8,FALSE)</f>
        <v>#N/A</v>
      </c>
      <c r="M3671" t="s">
        <v>83</v>
      </c>
    </row>
    <row r="3672" spans="5:13" hidden="1" x14ac:dyDescent="0.35">
      <c r="E3672" s="81"/>
      <c r="I3672" s="83" t="e">
        <f>VLOOKUP(E3672,[1]Mapping!$A$3:$B$14,2,FALSE)</f>
        <v>#N/A</v>
      </c>
      <c r="J3672" s="84">
        <f t="shared" si="116"/>
        <v>0</v>
      </c>
      <c r="K3672" s="84">
        <f t="shared" si="117"/>
        <v>0</v>
      </c>
      <c r="L3672" s="61" t="e">
        <f>VLOOKUP(K3672,[1]Mapping!$J$3:$Q$351,8,FALSE)</f>
        <v>#N/A</v>
      </c>
      <c r="M3672" t="s">
        <v>83</v>
      </c>
    </row>
    <row r="3673" spans="5:13" hidden="1" x14ac:dyDescent="0.35">
      <c r="E3673" s="81"/>
      <c r="I3673" s="83" t="e">
        <f>VLOOKUP(E3673,[1]Mapping!$A$3:$B$14,2,FALSE)</f>
        <v>#N/A</v>
      </c>
      <c r="J3673" s="84">
        <f t="shared" si="116"/>
        <v>0</v>
      </c>
      <c r="K3673" s="84">
        <f t="shared" si="117"/>
        <v>0</v>
      </c>
      <c r="L3673" s="61" t="e">
        <f>VLOOKUP(K3673,[1]Mapping!$J$3:$Q$351,8,FALSE)</f>
        <v>#N/A</v>
      </c>
      <c r="M3673" t="s">
        <v>83</v>
      </c>
    </row>
    <row r="3674" spans="5:13" hidden="1" x14ac:dyDescent="0.35">
      <c r="E3674" s="81"/>
      <c r="I3674" s="83" t="e">
        <f>VLOOKUP(E3674,[1]Mapping!$A$3:$B$14,2,FALSE)</f>
        <v>#N/A</v>
      </c>
      <c r="J3674" s="84">
        <f t="shared" si="116"/>
        <v>0</v>
      </c>
      <c r="K3674" s="84">
        <f t="shared" si="117"/>
        <v>0</v>
      </c>
      <c r="L3674" s="61" t="e">
        <f>VLOOKUP(K3674,[1]Mapping!$J$3:$Q$351,8,FALSE)</f>
        <v>#N/A</v>
      </c>
      <c r="M3674" t="s">
        <v>83</v>
      </c>
    </row>
    <row r="3675" spans="5:13" hidden="1" x14ac:dyDescent="0.35">
      <c r="E3675" s="81"/>
      <c r="I3675" s="83" t="e">
        <f>VLOOKUP(E3675,[1]Mapping!$A$3:$B$14,2,FALSE)</f>
        <v>#N/A</v>
      </c>
      <c r="J3675" s="84">
        <f t="shared" si="116"/>
        <v>0</v>
      </c>
      <c r="K3675" s="84">
        <f t="shared" si="117"/>
        <v>0</v>
      </c>
      <c r="L3675" s="61" t="e">
        <f>VLOOKUP(K3675,[1]Mapping!$J$3:$Q$351,8,FALSE)</f>
        <v>#N/A</v>
      </c>
      <c r="M3675" t="s">
        <v>83</v>
      </c>
    </row>
    <row r="3676" spans="5:13" hidden="1" x14ac:dyDescent="0.35">
      <c r="E3676" s="81"/>
      <c r="I3676" s="83" t="e">
        <f>VLOOKUP(E3676,[1]Mapping!$A$3:$B$14,2,FALSE)</f>
        <v>#N/A</v>
      </c>
      <c r="J3676" s="84">
        <f t="shared" si="116"/>
        <v>0</v>
      </c>
      <c r="K3676" s="84">
        <f t="shared" si="117"/>
        <v>0</v>
      </c>
      <c r="L3676" s="61" t="e">
        <f>VLOOKUP(K3676,[1]Mapping!$J$3:$Q$351,8,FALSE)</f>
        <v>#N/A</v>
      </c>
      <c r="M3676" t="s">
        <v>83</v>
      </c>
    </row>
    <row r="3677" spans="5:13" hidden="1" x14ac:dyDescent="0.35">
      <c r="E3677" s="81"/>
      <c r="I3677" s="83" t="e">
        <f>VLOOKUP(E3677,[1]Mapping!$A$3:$B$14,2,FALSE)</f>
        <v>#N/A</v>
      </c>
      <c r="J3677" s="84">
        <f t="shared" si="116"/>
        <v>0</v>
      </c>
      <c r="K3677" s="84">
        <f t="shared" si="117"/>
        <v>0</v>
      </c>
      <c r="L3677" s="61" t="e">
        <f>VLOOKUP(K3677,[1]Mapping!$J$3:$Q$351,8,FALSE)</f>
        <v>#N/A</v>
      </c>
      <c r="M3677" t="s">
        <v>83</v>
      </c>
    </row>
    <row r="3678" spans="5:13" hidden="1" x14ac:dyDescent="0.35">
      <c r="E3678" s="81"/>
      <c r="I3678" s="83" t="e">
        <f>VLOOKUP(E3678,[1]Mapping!$A$3:$B$14,2,FALSE)</f>
        <v>#N/A</v>
      </c>
      <c r="J3678" s="84">
        <f t="shared" si="116"/>
        <v>0</v>
      </c>
      <c r="K3678" s="84">
        <f t="shared" si="117"/>
        <v>0</v>
      </c>
      <c r="L3678" s="61" t="e">
        <f>VLOOKUP(K3678,[1]Mapping!$J$3:$Q$351,8,FALSE)</f>
        <v>#N/A</v>
      </c>
      <c r="M3678" t="s">
        <v>83</v>
      </c>
    </row>
    <row r="3679" spans="5:13" hidden="1" x14ac:dyDescent="0.35">
      <c r="E3679" s="81"/>
      <c r="I3679" s="83" t="e">
        <f>VLOOKUP(E3679,[1]Mapping!$A$3:$B$14,2,FALSE)</f>
        <v>#N/A</v>
      </c>
      <c r="J3679" s="84">
        <f t="shared" si="116"/>
        <v>0</v>
      </c>
      <c r="K3679" s="84">
        <f t="shared" si="117"/>
        <v>0</v>
      </c>
      <c r="L3679" s="61" t="e">
        <f>VLOOKUP(K3679,[1]Mapping!$J$3:$Q$351,8,FALSE)</f>
        <v>#N/A</v>
      </c>
      <c r="M3679" t="s">
        <v>83</v>
      </c>
    </row>
    <row r="3680" spans="5:13" hidden="1" x14ac:dyDescent="0.35">
      <c r="E3680" s="81"/>
      <c r="I3680" s="83" t="e">
        <f>VLOOKUP(E3680,[1]Mapping!$A$3:$B$14,2,FALSE)</f>
        <v>#N/A</v>
      </c>
      <c r="J3680" s="84">
        <f t="shared" si="116"/>
        <v>0</v>
      </c>
      <c r="K3680" s="84">
        <f t="shared" si="117"/>
        <v>0</v>
      </c>
      <c r="L3680" s="61" t="e">
        <f>VLOOKUP(K3680,[1]Mapping!$J$3:$Q$351,8,FALSE)</f>
        <v>#N/A</v>
      </c>
      <c r="M3680" t="s">
        <v>83</v>
      </c>
    </row>
    <row r="3681" spans="5:15" hidden="1" x14ac:dyDescent="0.35">
      <c r="E3681" s="81"/>
      <c r="I3681" s="83" t="e">
        <f>VLOOKUP(E3681,[1]Mapping!$A$3:$B$14,2,FALSE)</f>
        <v>#N/A</v>
      </c>
      <c r="J3681" s="84">
        <f t="shared" si="116"/>
        <v>0</v>
      </c>
      <c r="K3681" s="84">
        <f t="shared" si="117"/>
        <v>0</v>
      </c>
      <c r="L3681" s="61" t="e">
        <f>VLOOKUP(K3681,[1]Mapping!$J$3:$Q$351,8,FALSE)</f>
        <v>#N/A</v>
      </c>
      <c r="M3681" t="s">
        <v>83</v>
      </c>
    </row>
    <row r="3682" spans="5:15" hidden="1" x14ac:dyDescent="0.35">
      <c r="E3682" s="81"/>
      <c r="I3682" s="83" t="e">
        <f>VLOOKUP(E3682,[1]Mapping!$A$3:$B$14,2,FALSE)</f>
        <v>#N/A</v>
      </c>
      <c r="J3682" s="84">
        <f t="shared" si="116"/>
        <v>0</v>
      </c>
      <c r="K3682" s="84">
        <f t="shared" si="117"/>
        <v>0</v>
      </c>
      <c r="L3682" s="61" t="e">
        <f>VLOOKUP(K3682,[1]Mapping!$J$3:$Q$351,8,FALSE)</f>
        <v>#N/A</v>
      </c>
      <c r="M3682" t="s">
        <v>83</v>
      </c>
    </row>
    <row r="3683" spans="5:15" hidden="1" x14ac:dyDescent="0.35">
      <c r="E3683" s="81"/>
      <c r="H3683" s="82"/>
      <c r="I3683" s="83" t="e">
        <f>VLOOKUP(E3683,[1]Mapping!$A$3:$B$14,2,FALSE)</f>
        <v>#N/A</v>
      </c>
      <c r="J3683" s="84">
        <f t="shared" si="116"/>
        <v>0</v>
      </c>
      <c r="K3683" s="84">
        <f t="shared" si="117"/>
        <v>0</v>
      </c>
      <c r="L3683" s="61" t="e">
        <f>VLOOKUP(K3683,[1]Mapping!$J$3:$Q$351,8,FALSE)</f>
        <v>#N/A</v>
      </c>
      <c r="M3683" t="s">
        <v>83</v>
      </c>
      <c r="N3683" t="s">
        <v>180</v>
      </c>
      <c r="O3683" t="s">
        <v>178</v>
      </c>
    </row>
    <row r="3684" spans="5:15" hidden="1" x14ac:dyDescent="0.35">
      <c r="E3684" s="81"/>
      <c r="I3684" s="83" t="e">
        <f>VLOOKUP(E3684,[1]Mapping!$A$3:$B$14,2,FALSE)</f>
        <v>#N/A</v>
      </c>
      <c r="J3684" s="84">
        <f t="shared" si="116"/>
        <v>0</v>
      </c>
      <c r="K3684" s="84">
        <f t="shared" si="117"/>
        <v>0</v>
      </c>
      <c r="L3684" s="61" t="e">
        <f>VLOOKUP(K3684,[1]Mapping!$J$3:$Q$351,8,FALSE)</f>
        <v>#N/A</v>
      </c>
      <c r="M3684" t="s">
        <v>83</v>
      </c>
    </row>
    <row r="3685" spans="5:15" hidden="1" x14ac:dyDescent="0.35">
      <c r="E3685" s="81"/>
      <c r="I3685" s="83" t="e">
        <f>VLOOKUP(E3685,[1]Mapping!$A$3:$B$14,2,FALSE)</f>
        <v>#N/A</v>
      </c>
      <c r="J3685" s="84">
        <f t="shared" si="116"/>
        <v>0</v>
      </c>
      <c r="K3685" s="84">
        <f t="shared" si="117"/>
        <v>0</v>
      </c>
      <c r="L3685" s="61" t="e">
        <f>VLOOKUP(K3685,[1]Mapping!$J$3:$Q$351,8,FALSE)</f>
        <v>#N/A</v>
      </c>
      <c r="M3685" t="s">
        <v>83</v>
      </c>
    </row>
    <row r="3686" spans="5:15" hidden="1" x14ac:dyDescent="0.35">
      <c r="E3686" s="81"/>
      <c r="I3686" s="83" t="e">
        <f>VLOOKUP(E3686,[1]Mapping!$A$3:$B$14,2,FALSE)</f>
        <v>#N/A</v>
      </c>
      <c r="J3686" s="84">
        <f t="shared" si="116"/>
        <v>0</v>
      </c>
      <c r="K3686" s="84">
        <f t="shared" si="117"/>
        <v>0</v>
      </c>
      <c r="L3686" s="61" t="e">
        <f>VLOOKUP(K3686,[1]Mapping!$J$3:$Q$351,8,FALSE)</f>
        <v>#N/A</v>
      </c>
      <c r="M3686" t="s">
        <v>83</v>
      </c>
    </row>
    <row r="3687" spans="5:15" hidden="1" x14ac:dyDescent="0.35">
      <c r="E3687" s="81"/>
      <c r="I3687" s="83" t="e">
        <f>VLOOKUP(E3687,[1]Mapping!$A$3:$B$14,2,FALSE)</f>
        <v>#N/A</v>
      </c>
      <c r="J3687" s="84">
        <f t="shared" si="116"/>
        <v>0</v>
      </c>
      <c r="K3687" s="84">
        <f t="shared" si="117"/>
        <v>0</v>
      </c>
      <c r="L3687" s="61" t="e">
        <f>VLOOKUP(K3687,[1]Mapping!$J$3:$Q$351,8,FALSE)</f>
        <v>#N/A</v>
      </c>
      <c r="M3687" t="s">
        <v>83</v>
      </c>
    </row>
    <row r="3688" spans="5:15" hidden="1" x14ac:dyDescent="0.35">
      <c r="E3688" s="81"/>
      <c r="I3688" s="83" t="e">
        <f>VLOOKUP(E3688,[1]Mapping!$A$3:$B$14,2,FALSE)</f>
        <v>#N/A</v>
      </c>
      <c r="J3688" s="84">
        <f t="shared" si="116"/>
        <v>0</v>
      </c>
      <c r="K3688" s="84">
        <f t="shared" si="117"/>
        <v>0</v>
      </c>
      <c r="L3688" s="61" t="e">
        <f>VLOOKUP(K3688,[1]Mapping!$J$3:$Q$351,8,FALSE)</f>
        <v>#N/A</v>
      </c>
      <c r="M3688" t="s">
        <v>83</v>
      </c>
    </row>
    <row r="3689" spans="5:15" hidden="1" x14ac:dyDescent="0.35">
      <c r="E3689" s="81"/>
      <c r="I3689" s="83" t="e">
        <f>VLOOKUP(E3689,[1]Mapping!$A$3:$B$14,2,FALSE)</f>
        <v>#N/A</v>
      </c>
      <c r="J3689" s="84">
        <f t="shared" si="116"/>
        <v>0</v>
      </c>
      <c r="K3689" s="84">
        <f t="shared" si="117"/>
        <v>0</v>
      </c>
      <c r="L3689" s="61" t="e">
        <f>VLOOKUP(K3689,[1]Mapping!$J$3:$Q$351,8,FALSE)</f>
        <v>#N/A</v>
      </c>
      <c r="M3689" t="s">
        <v>83</v>
      </c>
    </row>
    <row r="3690" spans="5:15" hidden="1" x14ac:dyDescent="0.35">
      <c r="E3690" s="81"/>
      <c r="I3690" s="83" t="e">
        <f>VLOOKUP(E3690,[1]Mapping!$A$3:$B$14,2,FALSE)</f>
        <v>#N/A</v>
      </c>
      <c r="J3690" s="84">
        <f t="shared" si="116"/>
        <v>0</v>
      </c>
      <c r="K3690" s="84">
        <f t="shared" si="117"/>
        <v>0</v>
      </c>
      <c r="L3690" s="61" t="e">
        <f>VLOOKUP(K3690,[1]Mapping!$J$3:$Q$351,8,FALSE)</f>
        <v>#N/A</v>
      </c>
      <c r="M3690" t="s">
        <v>83</v>
      </c>
    </row>
    <row r="3691" spans="5:15" hidden="1" x14ac:dyDescent="0.35">
      <c r="E3691" s="81"/>
      <c r="I3691" s="83" t="e">
        <f>VLOOKUP(E3691,[1]Mapping!$A$3:$B$14,2,FALSE)</f>
        <v>#N/A</v>
      </c>
      <c r="J3691" s="84">
        <f t="shared" si="116"/>
        <v>0</v>
      </c>
      <c r="K3691" s="84">
        <f t="shared" si="117"/>
        <v>0</v>
      </c>
      <c r="L3691" s="61" t="e">
        <f>VLOOKUP(K3691,[1]Mapping!$J$3:$Q$351,8,FALSE)</f>
        <v>#N/A</v>
      </c>
      <c r="M3691" t="s">
        <v>83</v>
      </c>
    </row>
    <row r="3692" spans="5:15" hidden="1" x14ac:dyDescent="0.35">
      <c r="E3692" s="81"/>
      <c r="I3692" s="83" t="e">
        <f>VLOOKUP(E3692,[1]Mapping!$A$3:$B$14,2,FALSE)</f>
        <v>#N/A</v>
      </c>
      <c r="J3692" s="84">
        <f t="shared" si="116"/>
        <v>0</v>
      </c>
      <c r="K3692" s="84">
        <f t="shared" si="117"/>
        <v>0</v>
      </c>
      <c r="L3692" s="61" t="e">
        <f>VLOOKUP(K3692,[1]Mapping!$J$3:$Q$351,8,FALSE)</f>
        <v>#N/A</v>
      </c>
      <c r="M3692" t="s">
        <v>83</v>
      </c>
    </row>
    <row r="3693" spans="5:15" hidden="1" x14ac:dyDescent="0.35">
      <c r="E3693" s="81"/>
      <c r="I3693" s="83" t="e">
        <f>VLOOKUP(E3693,[1]Mapping!$A$3:$B$14,2,FALSE)</f>
        <v>#N/A</v>
      </c>
      <c r="J3693" s="84">
        <f t="shared" si="116"/>
        <v>0</v>
      </c>
      <c r="K3693" s="84">
        <f t="shared" si="117"/>
        <v>0</v>
      </c>
      <c r="L3693" s="61" t="e">
        <f>VLOOKUP(K3693,[1]Mapping!$J$3:$Q$351,8,FALSE)</f>
        <v>#N/A</v>
      </c>
      <c r="M3693" t="s">
        <v>83</v>
      </c>
    </row>
    <row r="3694" spans="5:15" hidden="1" x14ac:dyDescent="0.35">
      <c r="E3694" s="81"/>
      <c r="I3694" s="83" t="e">
        <f>VLOOKUP(E3694,[1]Mapping!$A$3:$B$14,2,FALSE)</f>
        <v>#N/A</v>
      </c>
      <c r="J3694" s="84">
        <f t="shared" si="116"/>
        <v>0</v>
      </c>
      <c r="K3694" s="84">
        <f t="shared" si="117"/>
        <v>0</v>
      </c>
      <c r="L3694" s="61" t="e">
        <f>VLOOKUP(K3694,[1]Mapping!$J$3:$Q$351,8,FALSE)</f>
        <v>#N/A</v>
      </c>
      <c r="M3694" t="s">
        <v>83</v>
      </c>
    </row>
    <row r="3695" spans="5:15" hidden="1" x14ac:dyDescent="0.35">
      <c r="E3695" s="81"/>
      <c r="I3695" s="83" t="e">
        <f>VLOOKUP(E3695,[1]Mapping!$A$3:$B$14,2,FALSE)</f>
        <v>#N/A</v>
      </c>
      <c r="J3695" s="84">
        <f t="shared" si="116"/>
        <v>0</v>
      </c>
      <c r="K3695" s="84">
        <f t="shared" si="117"/>
        <v>0</v>
      </c>
      <c r="L3695" s="61" t="e">
        <f>VLOOKUP(K3695,[1]Mapping!$J$3:$Q$351,8,FALSE)</f>
        <v>#N/A</v>
      </c>
      <c r="M3695" t="s">
        <v>83</v>
      </c>
    </row>
    <row r="3696" spans="5:15" hidden="1" x14ac:dyDescent="0.35">
      <c r="E3696" s="81"/>
      <c r="I3696" s="83" t="e">
        <f>VLOOKUP(E3696,[1]Mapping!$A$3:$B$14,2,FALSE)</f>
        <v>#N/A</v>
      </c>
      <c r="J3696" s="84">
        <f t="shared" si="116"/>
        <v>0</v>
      </c>
      <c r="K3696" s="84">
        <f t="shared" si="117"/>
        <v>0</v>
      </c>
      <c r="L3696" s="61" t="e">
        <f>VLOOKUP(K3696,[1]Mapping!$J$3:$Q$351,8,FALSE)</f>
        <v>#N/A</v>
      </c>
      <c r="M3696" t="s">
        <v>83</v>
      </c>
    </row>
    <row r="3697" spans="5:13" hidden="1" x14ac:dyDescent="0.35">
      <c r="E3697" s="81"/>
      <c r="I3697" s="83" t="e">
        <f>VLOOKUP(E3697,[1]Mapping!$A$3:$B$14,2,FALSE)</f>
        <v>#N/A</v>
      </c>
      <c r="J3697" s="84">
        <f t="shared" si="116"/>
        <v>0</v>
      </c>
      <c r="K3697" s="84">
        <f t="shared" si="117"/>
        <v>0</v>
      </c>
      <c r="L3697" s="61" t="e">
        <f>VLOOKUP(K3697,[1]Mapping!$J$3:$Q$351,8,FALSE)</f>
        <v>#N/A</v>
      </c>
      <c r="M3697" t="s">
        <v>83</v>
      </c>
    </row>
    <row r="3698" spans="5:13" hidden="1" x14ac:dyDescent="0.35">
      <c r="E3698" s="81"/>
      <c r="I3698" s="83" t="e">
        <f>VLOOKUP(E3698,[1]Mapping!$A$3:$B$14,2,FALSE)</f>
        <v>#N/A</v>
      </c>
      <c r="J3698" s="84">
        <f t="shared" si="116"/>
        <v>0</v>
      </c>
      <c r="K3698" s="84">
        <f t="shared" si="117"/>
        <v>0</v>
      </c>
      <c r="L3698" s="61" t="e">
        <f>VLOOKUP(K3698,[1]Mapping!$J$3:$Q$351,8,FALSE)</f>
        <v>#N/A</v>
      </c>
      <c r="M3698" t="s">
        <v>83</v>
      </c>
    </row>
    <row r="3699" spans="5:13" hidden="1" x14ac:dyDescent="0.35">
      <c r="E3699" s="81"/>
      <c r="I3699" s="83" t="e">
        <f>VLOOKUP(E3699,[1]Mapping!$A$3:$B$14,2,FALSE)</f>
        <v>#N/A</v>
      </c>
      <c r="J3699" s="84">
        <f t="shared" si="116"/>
        <v>0</v>
      </c>
      <c r="K3699" s="84">
        <f t="shared" si="117"/>
        <v>0</v>
      </c>
      <c r="L3699" s="61" t="e">
        <f>VLOOKUP(K3699,[1]Mapping!$J$3:$Q$351,8,FALSE)</f>
        <v>#N/A</v>
      </c>
      <c r="M3699" t="s">
        <v>83</v>
      </c>
    </row>
    <row r="3700" spans="5:13" hidden="1" x14ac:dyDescent="0.35">
      <c r="E3700" s="81"/>
      <c r="I3700" s="83" t="e">
        <f>VLOOKUP(E3700,[1]Mapping!$A$3:$B$14,2,FALSE)</f>
        <v>#N/A</v>
      </c>
      <c r="J3700" s="84">
        <f t="shared" si="116"/>
        <v>0</v>
      </c>
      <c r="K3700" s="84">
        <f t="shared" si="117"/>
        <v>0</v>
      </c>
      <c r="L3700" s="61" t="e">
        <f>VLOOKUP(K3700,[1]Mapping!$J$3:$Q$351,8,FALSE)</f>
        <v>#N/A</v>
      </c>
      <c r="M3700" t="s">
        <v>83</v>
      </c>
    </row>
    <row r="3701" spans="5:13" hidden="1" x14ac:dyDescent="0.35">
      <c r="E3701" s="81"/>
      <c r="I3701" s="83" t="e">
        <f>VLOOKUP(E3701,[1]Mapping!$A$3:$B$14,2,FALSE)</f>
        <v>#N/A</v>
      </c>
      <c r="J3701" s="84">
        <f t="shared" si="116"/>
        <v>0</v>
      </c>
      <c r="K3701" s="84">
        <f t="shared" si="117"/>
        <v>0</v>
      </c>
      <c r="L3701" s="61" t="e">
        <f>VLOOKUP(K3701,[1]Mapping!$J$3:$Q$351,8,FALSE)</f>
        <v>#N/A</v>
      </c>
      <c r="M3701" t="s">
        <v>83</v>
      </c>
    </row>
    <row r="3702" spans="5:13" hidden="1" x14ac:dyDescent="0.35">
      <c r="E3702" s="81"/>
      <c r="I3702" s="83" t="e">
        <f>VLOOKUP(E3702,[1]Mapping!$A$3:$B$14,2,FALSE)</f>
        <v>#N/A</v>
      </c>
      <c r="J3702" s="84">
        <f t="shared" si="116"/>
        <v>0</v>
      </c>
      <c r="K3702" s="84">
        <f t="shared" si="117"/>
        <v>0</v>
      </c>
      <c r="L3702" s="61" t="e">
        <f>VLOOKUP(K3702,[1]Mapping!$J$3:$Q$351,8,FALSE)</f>
        <v>#N/A</v>
      </c>
      <c r="M3702" t="s">
        <v>83</v>
      </c>
    </row>
    <row r="3703" spans="5:13" hidden="1" x14ac:dyDescent="0.35">
      <c r="E3703" s="81"/>
      <c r="I3703" s="83" t="e">
        <f>VLOOKUP(E3703,[1]Mapping!$A$3:$B$14,2,FALSE)</f>
        <v>#N/A</v>
      </c>
      <c r="J3703" s="84">
        <f t="shared" si="116"/>
        <v>0</v>
      </c>
      <c r="K3703" s="84">
        <f t="shared" si="117"/>
        <v>0</v>
      </c>
      <c r="L3703" s="61" t="e">
        <f>VLOOKUP(K3703,[1]Mapping!$J$3:$Q$351,8,FALSE)</f>
        <v>#N/A</v>
      </c>
      <c r="M3703" t="s">
        <v>83</v>
      </c>
    </row>
    <row r="3704" spans="5:13" hidden="1" x14ac:dyDescent="0.35">
      <c r="E3704" s="81"/>
      <c r="I3704" s="83" t="e">
        <f>VLOOKUP(E3704,[1]Mapping!$A$3:$B$14,2,FALSE)</f>
        <v>#N/A</v>
      </c>
      <c r="J3704" s="84">
        <f t="shared" si="116"/>
        <v>0</v>
      </c>
      <c r="K3704" s="84">
        <f t="shared" si="117"/>
        <v>0</v>
      </c>
      <c r="L3704" s="61" t="e">
        <f>VLOOKUP(K3704,[1]Mapping!$J$3:$Q$351,8,FALSE)</f>
        <v>#N/A</v>
      </c>
      <c r="M3704" t="s">
        <v>83</v>
      </c>
    </row>
    <row r="3705" spans="5:13" hidden="1" x14ac:dyDescent="0.35">
      <c r="E3705" s="81"/>
      <c r="I3705" s="83" t="e">
        <f>VLOOKUP(E3705,[1]Mapping!$A$3:$B$14,2,FALSE)</f>
        <v>#N/A</v>
      </c>
      <c r="J3705" s="84">
        <f t="shared" si="116"/>
        <v>0</v>
      </c>
      <c r="K3705" s="84">
        <f t="shared" si="117"/>
        <v>0</v>
      </c>
      <c r="L3705" s="61" t="e">
        <f>VLOOKUP(K3705,[1]Mapping!$J$3:$Q$351,8,FALSE)</f>
        <v>#N/A</v>
      </c>
      <c r="M3705" t="s">
        <v>83</v>
      </c>
    </row>
    <row r="3706" spans="5:13" hidden="1" x14ac:dyDescent="0.35">
      <c r="E3706" s="81"/>
      <c r="I3706" s="83" t="e">
        <f>VLOOKUP(E3706,[1]Mapping!$A$3:$B$14,2,FALSE)</f>
        <v>#N/A</v>
      </c>
      <c r="J3706" s="84">
        <f t="shared" si="116"/>
        <v>0</v>
      </c>
      <c r="K3706" s="84">
        <f t="shared" si="117"/>
        <v>0</v>
      </c>
      <c r="L3706" s="61" t="e">
        <f>VLOOKUP(K3706,[1]Mapping!$J$3:$Q$351,8,FALSE)</f>
        <v>#N/A</v>
      </c>
      <c r="M3706" t="s">
        <v>83</v>
      </c>
    </row>
    <row r="3707" spans="5:13" hidden="1" x14ac:dyDescent="0.35">
      <c r="E3707" s="81"/>
      <c r="I3707" s="83" t="e">
        <f>VLOOKUP(E3707,[1]Mapping!$A$3:$B$14,2,FALSE)</f>
        <v>#N/A</v>
      </c>
      <c r="J3707" s="84">
        <f t="shared" si="116"/>
        <v>0</v>
      </c>
      <c r="K3707" s="84">
        <f t="shared" si="117"/>
        <v>0</v>
      </c>
      <c r="L3707" s="61" t="e">
        <f>VLOOKUP(K3707,[1]Mapping!$J$3:$Q$351,8,FALSE)</f>
        <v>#N/A</v>
      </c>
      <c r="M3707" t="s">
        <v>83</v>
      </c>
    </row>
    <row r="3708" spans="5:13" hidden="1" x14ac:dyDescent="0.35">
      <c r="E3708" s="81"/>
      <c r="I3708" s="83" t="e">
        <f>VLOOKUP(E3708,[1]Mapping!$A$3:$B$14,2,FALSE)</f>
        <v>#N/A</v>
      </c>
      <c r="J3708" s="84">
        <f t="shared" si="116"/>
        <v>0</v>
      </c>
      <c r="K3708" s="84">
        <f t="shared" si="117"/>
        <v>0</v>
      </c>
      <c r="L3708" s="61" t="e">
        <f>VLOOKUP(K3708,[1]Mapping!$J$3:$Q$351,8,FALSE)</f>
        <v>#N/A</v>
      </c>
      <c r="M3708" t="s">
        <v>83</v>
      </c>
    </row>
    <row r="3709" spans="5:13" hidden="1" x14ac:dyDescent="0.35">
      <c r="E3709" s="81"/>
      <c r="I3709" s="83" t="e">
        <f>VLOOKUP(E3709,[1]Mapping!$A$3:$B$14,2,FALSE)</f>
        <v>#N/A</v>
      </c>
      <c r="J3709" s="84">
        <f t="shared" si="116"/>
        <v>0</v>
      </c>
      <c r="K3709" s="84">
        <f t="shared" si="117"/>
        <v>0</v>
      </c>
      <c r="L3709" s="61" t="e">
        <f>VLOOKUP(K3709,[1]Mapping!$J$3:$Q$351,8,FALSE)</f>
        <v>#N/A</v>
      </c>
      <c r="M3709" t="s">
        <v>83</v>
      </c>
    </row>
    <row r="3710" spans="5:13" hidden="1" x14ac:dyDescent="0.35">
      <c r="E3710" s="81"/>
      <c r="I3710" s="83" t="e">
        <f>VLOOKUP(E3710,[1]Mapping!$A$3:$B$14,2,FALSE)</f>
        <v>#N/A</v>
      </c>
      <c r="J3710" s="84">
        <f t="shared" si="116"/>
        <v>0</v>
      </c>
      <c r="K3710" s="84">
        <f t="shared" si="117"/>
        <v>0</v>
      </c>
      <c r="L3710" s="61" t="e">
        <f>VLOOKUP(K3710,[1]Mapping!$J$3:$Q$351,8,FALSE)</f>
        <v>#N/A</v>
      </c>
      <c r="M3710" t="s">
        <v>83</v>
      </c>
    </row>
    <row r="3711" spans="5:13" hidden="1" x14ac:dyDescent="0.35">
      <c r="E3711" s="81"/>
      <c r="I3711" s="83" t="e">
        <f>VLOOKUP(E3711,[1]Mapping!$A$3:$B$14,2,FALSE)</f>
        <v>#N/A</v>
      </c>
      <c r="J3711" s="84">
        <f t="shared" si="116"/>
        <v>0</v>
      </c>
      <c r="K3711" s="84">
        <f t="shared" si="117"/>
        <v>0</v>
      </c>
      <c r="L3711" s="61" t="e">
        <f>VLOOKUP(K3711,[1]Mapping!$J$3:$Q$351,8,FALSE)</f>
        <v>#N/A</v>
      </c>
      <c r="M3711" t="s">
        <v>83</v>
      </c>
    </row>
    <row r="3712" spans="5:13" hidden="1" x14ac:dyDescent="0.35">
      <c r="E3712" s="81"/>
      <c r="I3712" s="83" t="e">
        <f>VLOOKUP(E3712,[1]Mapping!$A$3:$B$14,2,FALSE)</f>
        <v>#N/A</v>
      </c>
      <c r="J3712" s="84">
        <f t="shared" si="116"/>
        <v>0</v>
      </c>
      <c r="K3712" s="84">
        <f t="shared" si="117"/>
        <v>0</v>
      </c>
      <c r="L3712" s="61" t="e">
        <f>VLOOKUP(K3712,[1]Mapping!$J$3:$Q$351,8,FALSE)</f>
        <v>#N/A</v>
      </c>
      <c r="M3712" t="s">
        <v>83</v>
      </c>
    </row>
    <row r="3713" spans="5:13" hidden="1" x14ac:dyDescent="0.35">
      <c r="E3713" s="81"/>
      <c r="I3713" s="83" t="e">
        <f>VLOOKUP(E3713,[1]Mapping!$A$3:$B$14,2,FALSE)</f>
        <v>#N/A</v>
      </c>
      <c r="J3713" s="84">
        <f t="shared" si="116"/>
        <v>0</v>
      </c>
      <c r="K3713" s="84">
        <f t="shared" si="117"/>
        <v>0</v>
      </c>
      <c r="L3713" s="61" t="e">
        <f>VLOOKUP(K3713,[1]Mapping!$J$3:$Q$351,8,FALSE)</f>
        <v>#N/A</v>
      </c>
      <c r="M3713" t="s">
        <v>83</v>
      </c>
    </row>
    <row r="3714" spans="5:13" hidden="1" x14ac:dyDescent="0.35">
      <c r="E3714" s="81"/>
      <c r="I3714" s="83" t="e">
        <f>VLOOKUP(E3714,[1]Mapping!$A$3:$B$14,2,FALSE)</f>
        <v>#N/A</v>
      </c>
      <c r="J3714" s="84">
        <f t="shared" si="116"/>
        <v>0</v>
      </c>
      <c r="K3714" s="84">
        <f t="shared" si="117"/>
        <v>0</v>
      </c>
      <c r="L3714" s="61" t="e">
        <f>VLOOKUP(K3714,[1]Mapping!$J$3:$Q$351,8,FALSE)</f>
        <v>#N/A</v>
      </c>
      <c r="M3714" t="s">
        <v>83</v>
      </c>
    </row>
    <row r="3715" spans="5:13" hidden="1" x14ac:dyDescent="0.35">
      <c r="E3715" s="81"/>
      <c r="I3715" s="83" t="e">
        <f>VLOOKUP(E3715,[1]Mapping!$A$3:$B$14,2,FALSE)</f>
        <v>#N/A</v>
      </c>
      <c r="J3715" s="84">
        <f t="shared" si="116"/>
        <v>0</v>
      </c>
      <c r="K3715" s="84">
        <f t="shared" si="117"/>
        <v>0</v>
      </c>
      <c r="L3715" s="61" t="e">
        <f>VLOOKUP(K3715,[1]Mapping!$J$3:$Q$351,8,FALSE)</f>
        <v>#N/A</v>
      </c>
      <c r="M3715" t="s">
        <v>83</v>
      </c>
    </row>
    <row r="3716" spans="5:13" hidden="1" x14ac:dyDescent="0.35">
      <c r="E3716" s="81"/>
      <c r="I3716" s="83" t="e">
        <f>VLOOKUP(E3716,[1]Mapping!$A$3:$B$14,2,FALSE)</f>
        <v>#N/A</v>
      </c>
      <c r="J3716" s="84">
        <f t="shared" ref="J3716:J3779" si="118">VALUE(A3716)</f>
        <v>0</v>
      </c>
      <c r="K3716" s="84">
        <f t="shared" ref="K3716:K3779" si="119">VALUE(C3716)</f>
        <v>0</v>
      </c>
      <c r="L3716" s="61" t="e">
        <f>VLOOKUP(K3716,[1]Mapping!$J$3:$Q$351,8,FALSE)</f>
        <v>#N/A</v>
      </c>
      <c r="M3716" t="s">
        <v>83</v>
      </c>
    </row>
    <row r="3717" spans="5:13" hidden="1" x14ac:dyDescent="0.35">
      <c r="E3717" s="81"/>
      <c r="I3717" s="83" t="e">
        <f>VLOOKUP(E3717,[1]Mapping!$A$3:$B$14,2,FALSE)</f>
        <v>#N/A</v>
      </c>
      <c r="J3717" s="84">
        <f t="shared" si="118"/>
        <v>0</v>
      </c>
      <c r="K3717" s="84">
        <f t="shared" si="119"/>
        <v>0</v>
      </c>
      <c r="L3717" s="61" t="e">
        <f>VLOOKUP(K3717,[1]Mapping!$J$3:$Q$351,8,FALSE)</f>
        <v>#N/A</v>
      </c>
      <c r="M3717" t="s">
        <v>83</v>
      </c>
    </row>
    <row r="3718" spans="5:13" hidden="1" x14ac:dyDescent="0.35">
      <c r="E3718" s="81"/>
      <c r="I3718" s="83" t="e">
        <f>VLOOKUP(E3718,[1]Mapping!$A$3:$B$14,2,FALSE)</f>
        <v>#N/A</v>
      </c>
      <c r="J3718" s="84">
        <f t="shared" si="118"/>
        <v>0</v>
      </c>
      <c r="K3718" s="84">
        <f t="shared" si="119"/>
        <v>0</v>
      </c>
      <c r="L3718" s="61" t="e">
        <f>VLOOKUP(K3718,[1]Mapping!$J$3:$Q$351,8,FALSE)</f>
        <v>#N/A</v>
      </c>
      <c r="M3718" t="s">
        <v>83</v>
      </c>
    </row>
    <row r="3719" spans="5:13" hidden="1" x14ac:dyDescent="0.35">
      <c r="E3719" s="81"/>
      <c r="I3719" s="83" t="e">
        <f>VLOOKUP(E3719,[1]Mapping!$A$3:$B$14,2,FALSE)</f>
        <v>#N/A</v>
      </c>
      <c r="J3719" s="84">
        <f t="shared" si="118"/>
        <v>0</v>
      </c>
      <c r="K3719" s="84">
        <f t="shared" si="119"/>
        <v>0</v>
      </c>
      <c r="L3719" s="61" t="e">
        <f>VLOOKUP(K3719,[1]Mapping!$J$3:$Q$351,8,FALSE)</f>
        <v>#N/A</v>
      </c>
      <c r="M3719" t="s">
        <v>83</v>
      </c>
    </row>
    <row r="3720" spans="5:13" hidden="1" x14ac:dyDescent="0.35">
      <c r="E3720" s="81"/>
      <c r="I3720" s="83" t="e">
        <f>VLOOKUP(E3720,[1]Mapping!$A$3:$B$14,2,FALSE)</f>
        <v>#N/A</v>
      </c>
      <c r="J3720" s="84">
        <f t="shared" si="118"/>
        <v>0</v>
      </c>
      <c r="K3720" s="84">
        <f t="shared" si="119"/>
        <v>0</v>
      </c>
      <c r="L3720" s="61" t="e">
        <f>VLOOKUP(K3720,[1]Mapping!$J$3:$Q$351,8,FALSE)</f>
        <v>#N/A</v>
      </c>
      <c r="M3720" t="s">
        <v>83</v>
      </c>
    </row>
    <row r="3721" spans="5:13" hidden="1" x14ac:dyDescent="0.35">
      <c r="E3721" s="81"/>
      <c r="I3721" s="83" t="e">
        <f>VLOOKUP(E3721,[1]Mapping!$A$3:$B$14,2,FALSE)</f>
        <v>#N/A</v>
      </c>
      <c r="J3721" s="84">
        <f t="shared" si="118"/>
        <v>0</v>
      </c>
      <c r="K3721" s="84">
        <f t="shared" si="119"/>
        <v>0</v>
      </c>
      <c r="L3721" s="61" t="e">
        <f>VLOOKUP(K3721,[1]Mapping!$J$3:$Q$351,8,FALSE)</f>
        <v>#N/A</v>
      </c>
      <c r="M3721" t="s">
        <v>83</v>
      </c>
    </row>
    <row r="3722" spans="5:13" hidden="1" x14ac:dyDescent="0.35">
      <c r="E3722" s="81"/>
      <c r="I3722" s="83" t="e">
        <f>VLOOKUP(E3722,[1]Mapping!$A$3:$B$14,2,FALSE)</f>
        <v>#N/A</v>
      </c>
      <c r="J3722" s="84">
        <f t="shared" si="118"/>
        <v>0</v>
      </c>
      <c r="K3722" s="84">
        <f t="shared" si="119"/>
        <v>0</v>
      </c>
      <c r="L3722" s="61" t="e">
        <f>VLOOKUP(K3722,[1]Mapping!$J$3:$Q$351,8,FALSE)</f>
        <v>#N/A</v>
      </c>
      <c r="M3722" t="s">
        <v>83</v>
      </c>
    </row>
    <row r="3723" spans="5:13" hidden="1" x14ac:dyDescent="0.35">
      <c r="E3723" s="81"/>
      <c r="I3723" s="83" t="e">
        <f>VLOOKUP(E3723,[1]Mapping!$A$3:$B$14,2,FALSE)</f>
        <v>#N/A</v>
      </c>
      <c r="J3723" s="84">
        <f t="shared" si="118"/>
        <v>0</v>
      </c>
      <c r="K3723" s="84">
        <f t="shared" si="119"/>
        <v>0</v>
      </c>
      <c r="L3723" s="61" t="e">
        <f>VLOOKUP(K3723,[1]Mapping!$J$3:$Q$351,8,FALSE)</f>
        <v>#N/A</v>
      </c>
      <c r="M3723" t="s">
        <v>83</v>
      </c>
    </row>
    <row r="3724" spans="5:13" hidden="1" x14ac:dyDescent="0.35">
      <c r="E3724" s="81"/>
      <c r="I3724" s="83" t="e">
        <f>VLOOKUP(E3724,[1]Mapping!$A$3:$B$14,2,FALSE)</f>
        <v>#N/A</v>
      </c>
      <c r="J3724" s="84">
        <f t="shared" si="118"/>
        <v>0</v>
      </c>
      <c r="K3724" s="84">
        <f t="shared" si="119"/>
        <v>0</v>
      </c>
      <c r="L3724" s="61" t="e">
        <f>VLOOKUP(K3724,[1]Mapping!$J$3:$Q$351,8,FALSE)</f>
        <v>#N/A</v>
      </c>
      <c r="M3724" t="s">
        <v>83</v>
      </c>
    </row>
    <row r="3725" spans="5:13" hidden="1" x14ac:dyDescent="0.35">
      <c r="E3725" s="81"/>
      <c r="I3725" s="83" t="e">
        <f>VLOOKUP(E3725,[1]Mapping!$A$3:$B$14,2,FALSE)</f>
        <v>#N/A</v>
      </c>
      <c r="J3725" s="84">
        <f t="shared" si="118"/>
        <v>0</v>
      </c>
      <c r="K3725" s="84">
        <f t="shared" si="119"/>
        <v>0</v>
      </c>
      <c r="L3725" s="61" t="e">
        <f>VLOOKUP(K3725,[1]Mapping!$J$3:$Q$351,8,FALSE)</f>
        <v>#N/A</v>
      </c>
      <c r="M3725" t="s">
        <v>83</v>
      </c>
    </row>
    <row r="3726" spans="5:13" hidden="1" x14ac:dyDescent="0.35">
      <c r="E3726" s="81"/>
      <c r="I3726" s="83" t="e">
        <f>VLOOKUP(E3726,[1]Mapping!$A$3:$B$14,2,FALSE)</f>
        <v>#N/A</v>
      </c>
      <c r="J3726" s="84">
        <f t="shared" si="118"/>
        <v>0</v>
      </c>
      <c r="K3726" s="84">
        <f t="shared" si="119"/>
        <v>0</v>
      </c>
      <c r="L3726" s="61" t="e">
        <f>VLOOKUP(K3726,[1]Mapping!$J$3:$Q$351,8,FALSE)</f>
        <v>#N/A</v>
      </c>
      <c r="M3726" t="s">
        <v>83</v>
      </c>
    </row>
    <row r="3727" spans="5:13" hidden="1" x14ac:dyDescent="0.35">
      <c r="E3727" s="81"/>
      <c r="I3727" s="83" t="e">
        <f>VLOOKUP(E3727,[1]Mapping!$A$3:$B$14,2,FALSE)</f>
        <v>#N/A</v>
      </c>
      <c r="J3727" s="84">
        <f t="shared" si="118"/>
        <v>0</v>
      </c>
      <c r="K3727" s="84">
        <f t="shared" si="119"/>
        <v>0</v>
      </c>
      <c r="L3727" s="61" t="e">
        <f>VLOOKUP(K3727,[1]Mapping!$J$3:$Q$351,8,FALSE)</f>
        <v>#N/A</v>
      </c>
      <c r="M3727" t="s">
        <v>83</v>
      </c>
    </row>
    <row r="3728" spans="5:13" hidden="1" x14ac:dyDescent="0.35">
      <c r="E3728" s="81"/>
      <c r="I3728" s="83" t="e">
        <f>VLOOKUP(E3728,[1]Mapping!$A$3:$B$14,2,FALSE)</f>
        <v>#N/A</v>
      </c>
      <c r="J3728" s="84">
        <f t="shared" si="118"/>
        <v>0</v>
      </c>
      <c r="K3728" s="84">
        <f t="shared" si="119"/>
        <v>0</v>
      </c>
      <c r="L3728" s="61" t="e">
        <f>VLOOKUP(K3728,[1]Mapping!$J$3:$Q$351,8,FALSE)</f>
        <v>#N/A</v>
      </c>
      <c r="M3728" t="s">
        <v>83</v>
      </c>
    </row>
    <row r="3729" spans="5:13" hidden="1" x14ac:dyDescent="0.35">
      <c r="E3729" s="81"/>
      <c r="I3729" s="83" t="e">
        <f>VLOOKUP(E3729,[1]Mapping!$A$3:$B$14,2,FALSE)</f>
        <v>#N/A</v>
      </c>
      <c r="J3729" s="84">
        <f t="shared" si="118"/>
        <v>0</v>
      </c>
      <c r="K3729" s="84">
        <f t="shared" si="119"/>
        <v>0</v>
      </c>
      <c r="L3729" s="61" t="e">
        <f>VLOOKUP(K3729,[1]Mapping!$J$3:$Q$351,8,FALSE)</f>
        <v>#N/A</v>
      </c>
      <c r="M3729" t="s">
        <v>83</v>
      </c>
    </row>
    <row r="3730" spans="5:13" hidden="1" x14ac:dyDescent="0.35">
      <c r="E3730" s="81"/>
      <c r="I3730" s="83" t="e">
        <f>VLOOKUP(E3730,[1]Mapping!$A$3:$B$14,2,FALSE)</f>
        <v>#N/A</v>
      </c>
      <c r="J3730" s="84">
        <f t="shared" si="118"/>
        <v>0</v>
      </c>
      <c r="K3730" s="84">
        <f t="shared" si="119"/>
        <v>0</v>
      </c>
      <c r="L3730" s="61" t="e">
        <f>VLOOKUP(K3730,[1]Mapping!$J$3:$Q$351,8,FALSE)</f>
        <v>#N/A</v>
      </c>
      <c r="M3730" t="s">
        <v>83</v>
      </c>
    </row>
    <row r="3731" spans="5:13" hidden="1" x14ac:dyDescent="0.35">
      <c r="E3731" s="81"/>
      <c r="I3731" s="83" t="e">
        <f>VLOOKUP(E3731,[1]Mapping!$A$3:$B$14,2,FALSE)</f>
        <v>#N/A</v>
      </c>
      <c r="J3731" s="84">
        <f t="shared" si="118"/>
        <v>0</v>
      </c>
      <c r="K3731" s="84">
        <f t="shared" si="119"/>
        <v>0</v>
      </c>
      <c r="L3731" s="61" t="e">
        <f>VLOOKUP(K3731,[1]Mapping!$J$3:$Q$351,8,FALSE)</f>
        <v>#N/A</v>
      </c>
      <c r="M3731" t="s">
        <v>83</v>
      </c>
    </row>
    <row r="3732" spans="5:13" hidden="1" x14ac:dyDescent="0.35">
      <c r="E3732" s="81"/>
      <c r="I3732" s="83" t="e">
        <f>VLOOKUP(E3732,[1]Mapping!$A$3:$B$14,2,FALSE)</f>
        <v>#N/A</v>
      </c>
      <c r="J3732" s="84">
        <f t="shared" si="118"/>
        <v>0</v>
      </c>
      <c r="K3732" s="84">
        <f t="shared" si="119"/>
        <v>0</v>
      </c>
      <c r="L3732" s="61" t="e">
        <f>VLOOKUP(K3732,[1]Mapping!$J$3:$Q$351,8,FALSE)</f>
        <v>#N/A</v>
      </c>
      <c r="M3732" t="s">
        <v>83</v>
      </c>
    </row>
    <row r="3733" spans="5:13" hidden="1" x14ac:dyDescent="0.35">
      <c r="E3733" s="81"/>
      <c r="I3733" s="83" t="e">
        <f>VLOOKUP(E3733,[1]Mapping!$A$3:$B$14,2,FALSE)</f>
        <v>#N/A</v>
      </c>
      <c r="J3733" s="84">
        <f t="shared" si="118"/>
        <v>0</v>
      </c>
      <c r="K3733" s="84">
        <f t="shared" si="119"/>
        <v>0</v>
      </c>
      <c r="L3733" s="61" t="e">
        <f>VLOOKUP(K3733,[1]Mapping!$J$3:$Q$351,8,FALSE)</f>
        <v>#N/A</v>
      </c>
      <c r="M3733" t="s">
        <v>83</v>
      </c>
    </row>
    <row r="3734" spans="5:13" hidden="1" x14ac:dyDescent="0.35">
      <c r="E3734" s="81"/>
      <c r="I3734" s="83" t="e">
        <f>VLOOKUP(E3734,[1]Mapping!$A$3:$B$14,2,FALSE)</f>
        <v>#N/A</v>
      </c>
      <c r="J3734" s="84">
        <f t="shared" si="118"/>
        <v>0</v>
      </c>
      <c r="K3734" s="84">
        <f t="shared" si="119"/>
        <v>0</v>
      </c>
      <c r="L3734" s="61" t="e">
        <f>VLOOKUP(K3734,[1]Mapping!$J$3:$Q$351,8,FALSE)</f>
        <v>#N/A</v>
      </c>
      <c r="M3734" t="s">
        <v>83</v>
      </c>
    </row>
    <row r="3735" spans="5:13" hidden="1" x14ac:dyDescent="0.35">
      <c r="E3735" s="81"/>
      <c r="I3735" s="83" t="e">
        <f>VLOOKUP(E3735,[1]Mapping!$A$3:$B$14,2,FALSE)</f>
        <v>#N/A</v>
      </c>
      <c r="J3735" s="84">
        <f t="shared" si="118"/>
        <v>0</v>
      </c>
      <c r="K3735" s="84">
        <f t="shared" si="119"/>
        <v>0</v>
      </c>
      <c r="L3735" s="61" t="e">
        <f>VLOOKUP(K3735,[1]Mapping!$J$3:$Q$351,8,FALSE)</f>
        <v>#N/A</v>
      </c>
      <c r="M3735" t="s">
        <v>83</v>
      </c>
    </row>
    <row r="3736" spans="5:13" hidden="1" x14ac:dyDescent="0.35">
      <c r="E3736" s="81"/>
      <c r="I3736" s="83" t="e">
        <f>VLOOKUP(E3736,[1]Mapping!$A$3:$B$14,2,FALSE)</f>
        <v>#N/A</v>
      </c>
      <c r="J3736" s="84">
        <f t="shared" si="118"/>
        <v>0</v>
      </c>
      <c r="K3736" s="84">
        <f t="shared" si="119"/>
        <v>0</v>
      </c>
      <c r="L3736" s="61" t="e">
        <f>VLOOKUP(K3736,[1]Mapping!$J$3:$Q$351,8,FALSE)</f>
        <v>#N/A</v>
      </c>
      <c r="M3736" t="s">
        <v>83</v>
      </c>
    </row>
    <row r="3737" spans="5:13" hidden="1" x14ac:dyDescent="0.35">
      <c r="E3737" s="81"/>
      <c r="I3737" s="83" t="e">
        <f>VLOOKUP(E3737,[1]Mapping!$A$3:$B$14,2,FALSE)</f>
        <v>#N/A</v>
      </c>
      <c r="J3737" s="84">
        <f t="shared" si="118"/>
        <v>0</v>
      </c>
      <c r="K3737" s="84">
        <f t="shared" si="119"/>
        <v>0</v>
      </c>
      <c r="L3737" s="61" t="e">
        <f>VLOOKUP(K3737,[1]Mapping!$J$3:$Q$351,8,FALSE)</f>
        <v>#N/A</v>
      </c>
      <c r="M3737" t="s">
        <v>83</v>
      </c>
    </row>
    <row r="3738" spans="5:13" hidden="1" x14ac:dyDescent="0.35">
      <c r="E3738" s="81"/>
      <c r="I3738" s="83" t="e">
        <f>VLOOKUP(E3738,[1]Mapping!$A$3:$B$14,2,FALSE)</f>
        <v>#N/A</v>
      </c>
      <c r="J3738" s="84">
        <f t="shared" si="118"/>
        <v>0</v>
      </c>
      <c r="K3738" s="84">
        <f t="shared" si="119"/>
        <v>0</v>
      </c>
      <c r="L3738" s="61" t="e">
        <f>VLOOKUP(K3738,[1]Mapping!$J$3:$Q$351,8,FALSE)</f>
        <v>#N/A</v>
      </c>
      <c r="M3738" t="s">
        <v>83</v>
      </c>
    </row>
    <row r="3739" spans="5:13" hidden="1" x14ac:dyDescent="0.35">
      <c r="E3739" s="81"/>
      <c r="I3739" s="83" t="e">
        <f>VLOOKUP(E3739,[1]Mapping!$A$3:$B$14,2,FALSE)</f>
        <v>#N/A</v>
      </c>
      <c r="J3739" s="84">
        <f t="shared" si="118"/>
        <v>0</v>
      </c>
      <c r="K3739" s="84">
        <f t="shared" si="119"/>
        <v>0</v>
      </c>
      <c r="L3739" s="61" t="e">
        <f>VLOOKUP(K3739,[1]Mapping!$J$3:$Q$351,8,FALSE)</f>
        <v>#N/A</v>
      </c>
      <c r="M3739" t="s">
        <v>83</v>
      </c>
    </row>
    <row r="3740" spans="5:13" hidden="1" x14ac:dyDescent="0.35">
      <c r="E3740" s="81"/>
      <c r="I3740" s="83" t="e">
        <f>VLOOKUP(E3740,[1]Mapping!$A$3:$B$14,2,FALSE)</f>
        <v>#N/A</v>
      </c>
      <c r="J3740" s="84">
        <f t="shared" si="118"/>
        <v>0</v>
      </c>
      <c r="K3740" s="84">
        <f t="shared" si="119"/>
        <v>0</v>
      </c>
      <c r="L3740" s="61" t="e">
        <f>VLOOKUP(K3740,[1]Mapping!$J$3:$Q$351,8,FALSE)</f>
        <v>#N/A</v>
      </c>
      <c r="M3740" t="s">
        <v>83</v>
      </c>
    </row>
    <row r="3741" spans="5:13" hidden="1" x14ac:dyDescent="0.35">
      <c r="E3741" s="81"/>
      <c r="I3741" s="83" t="e">
        <f>VLOOKUP(E3741,[1]Mapping!$A$3:$B$14,2,FALSE)</f>
        <v>#N/A</v>
      </c>
      <c r="J3741" s="84">
        <f t="shared" si="118"/>
        <v>0</v>
      </c>
      <c r="K3741" s="84">
        <f t="shared" si="119"/>
        <v>0</v>
      </c>
      <c r="L3741" s="61" t="e">
        <f>VLOOKUP(K3741,[1]Mapping!$J$3:$Q$351,8,FALSE)</f>
        <v>#N/A</v>
      </c>
      <c r="M3741" t="s">
        <v>83</v>
      </c>
    </row>
    <row r="3742" spans="5:13" hidden="1" x14ac:dyDescent="0.35">
      <c r="E3742" s="81"/>
      <c r="I3742" s="83" t="e">
        <f>VLOOKUP(E3742,[1]Mapping!$A$3:$B$14,2,FALSE)</f>
        <v>#N/A</v>
      </c>
      <c r="J3742" s="84">
        <f t="shared" si="118"/>
        <v>0</v>
      </c>
      <c r="K3742" s="84">
        <f t="shared" si="119"/>
        <v>0</v>
      </c>
      <c r="L3742" s="61" t="e">
        <f>VLOOKUP(K3742,[1]Mapping!$J$3:$Q$351,8,FALSE)</f>
        <v>#N/A</v>
      </c>
      <c r="M3742" t="s">
        <v>83</v>
      </c>
    </row>
    <row r="3743" spans="5:13" hidden="1" x14ac:dyDescent="0.35">
      <c r="E3743" s="81"/>
      <c r="I3743" s="83" t="e">
        <f>VLOOKUP(E3743,[1]Mapping!$A$3:$B$14,2,FALSE)</f>
        <v>#N/A</v>
      </c>
      <c r="J3743" s="84">
        <f t="shared" si="118"/>
        <v>0</v>
      </c>
      <c r="K3743" s="84">
        <f t="shared" si="119"/>
        <v>0</v>
      </c>
      <c r="L3743" s="61" t="e">
        <f>VLOOKUP(K3743,[1]Mapping!$J$3:$Q$351,8,FALSE)</f>
        <v>#N/A</v>
      </c>
      <c r="M3743" t="s">
        <v>83</v>
      </c>
    </row>
    <row r="3744" spans="5:13" hidden="1" x14ac:dyDescent="0.35">
      <c r="E3744" s="81"/>
      <c r="I3744" s="83" t="e">
        <f>VLOOKUP(E3744,[1]Mapping!$A$3:$B$14,2,FALSE)</f>
        <v>#N/A</v>
      </c>
      <c r="J3744" s="84">
        <f t="shared" si="118"/>
        <v>0</v>
      </c>
      <c r="K3744" s="84">
        <f t="shared" si="119"/>
        <v>0</v>
      </c>
      <c r="L3744" s="61" t="e">
        <f>VLOOKUP(K3744,[1]Mapping!$J$3:$Q$351,8,FALSE)</f>
        <v>#N/A</v>
      </c>
      <c r="M3744" t="s">
        <v>83</v>
      </c>
    </row>
    <row r="3745" spans="5:13" hidden="1" x14ac:dyDescent="0.35">
      <c r="E3745" s="81"/>
      <c r="I3745" s="83" t="e">
        <f>VLOOKUP(E3745,[1]Mapping!$A$3:$B$14,2,FALSE)</f>
        <v>#N/A</v>
      </c>
      <c r="J3745" s="84">
        <f t="shared" si="118"/>
        <v>0</v>
      </c>
      <c r="K3745" s="84">
        <f t="shared" si="119"/>
        <v>0</v>
      </c>
      <c r="L3745" s="61" t="e">
        <f>VLOOKUP(K3745,[1]Mapping!$J$3:$Q$351,8,FALSE)</f>
        <v>#N/A</v>
      </c>
      <c r="M3745" t="s">
        <v>83</v>
      </c>
    </row>
    <row r="3746" spans="5:13" hidden="1" x14ac:dyDescent="0.35">
      <c r="E3746" s="81"/>
      <c r="I3746" s="83" t="e">
        <f>VLOOKUP(E3746,[1]Mapping!$A$3:$B$14,2,FALSE)</f>
        <v>#N/A</v>
      </c>
      <c r="J3746" s="84">
        <f t="shared" si="118"/>
        <v>0</v>
      </c>
      <c r="K3746" s="84">
        <f t="shared" si="119"/>
        <v>0</v>
      </c>
      <c r="L3746" s="61" t="e">
        <f>VLOOKUP(K3746,[1]Mapping!$J$3:$Q$351,8,FALSE)</f>
        <v>#N/A</v>
      </c>
      <c r="M3746" t="s">
        <v>83</v>
      </c>
    </row>
    <row r="3747" spans="5:13" hidden="1" x14ac:dyDescent="0.35">
      <c r="E3747" s="81"/>
      <c r="I3747" s="83" t="e">
        <f>VLOOKUP(E3747,[1]Mapping!$A$3:$B$14,2,FALSE)</f>
        <v>#N/A</v>
      </c>
      <c r="J3747" s="84">
        <f t="shared" si="118"/>
        <v>0</v>
      </c>
      <c r="K3747" s="84">
        <f t="shared" si="119"/>
        <v>0</v>
      </c>
      <c r="L3747" s="61" t="e">
        <f>VLOOKUP(K3747,[1]Mapping!$J$3:$Q$351,8,FALSE)</f>
        <v>#N/A</v>
      </c>
      <c r="M3747" t="s">
        <v>83</v>
      </c>
    </row>
    <row r="3748" spans="5:13" hidden="1" x14ac:dyDescent="0.35">
      <c r="E3748" s="81"/>
      <c r="I3748" s="83" t="e">
        <f>VLOOKUP(E3748,[1]Mapping!$A$3:$B$14,2,FALSE)</f>
        <v>#N/A</v>
      </c>
      <c r="J3748" s="84">
        <f t="shared" si="118"/>
        <v>0</v>
      </c>
      <c r="K3748" s="84">
        <f t="shared" si="119"/>
        <v>0</v>
      </c>
      <c r="L3748" s="61" t="e">
        <f>VLOOKUP(K3748,[1]Mapping!$J$3:$Q$351,8,FALSE)</f>
        <v>#N/A</v>
      </c>
      <c r="M3748" t="s">
        <v>83</v>
      </c>
    </row>
    <row r="3749" spans="5:13" hidden="1" x14ac:dyDescent="0.35">
      <c r="E3749" s="81"/>
      <c r="I3749" s="83" t="e">
        <f>VLOOKUP(E3749,[1]Mapping!$A$3:$B$14,2,FALSE)</f>
        <v>#N/A</v>
      </c>
      <c r="J3749" s="84">
        <f t="shared" si="118"/>
        <v>0</v>
      </c>
      <c r="K3749" s="84">
        <f t="shared" si="119"/>
        <v>0</v>
      </c>
      <c r="L3749" s="61" t="e">
        <f>VLOOKUP(K3749,[1]Mapping!$J$3:$Q$351,8,FALSE)</f>
        <v>#N/A</v>
      </c>
      <c r="M3749" t="s">
        <v>83</v>
      </c>
    </row>
    <row r="3750" spans="5:13" hidden="1" x14ac:dyDescent="0.35">
      <c r="E3750" s="81"/>
      <c r="I3750" s="83" t="e">
        <f>VLOOKUP(E3750,[1]Mapping!$A$3:$B$14,2,FALSE)</f>
        <v>#N/A</v>
      </c>
      <c r="J3750" s="84">
        <f t="shared" si="118"/>
        <v>0</v>
      </c>
      <c r="K3750" s="84">
        <f t="shared" si="119"/>
        <v>0</v>
      </c>
      <c r="L3750" s="61" t="e">
        <f>VLOOKUP(K3750,[1]Mapping!$J$3:$Q$351,8,FALSE)</f>
        <v>#N/A</v>
      </c>
      <c r="M3750" t="s">
        <v>83</v>
      </c>
    </row>
    <row r="3751" spans="5:13" hidden="1" x14ac:dyDescent="0.35">
      <c r="E3751" s="81"/>
      <c r="I3751" s="83" t="e">
        <f>VLOOKUP(E3751,[1]Mapping!$A$3:$B$14,2,FALSE)</f>
        <v>#N/A</v>
      </c>
      <c r="J3751" s="84">
        <f t="shared" si="118"/>
        <v>0</v>
      </c>
      <c r="K3751" s="84">
        <f t="shared" si="119"/>
        <v>0</v>
      </c>
      <c r="L3751" s="61" t="e">
        <f>VLOOKUP(K3751,[1]Mapping!$J$3:$Q$351,8,FALSE)</f>
        <v>#N/A</v>
      </c>
      <c r="M3751" t="s">
        <v>83</v>
      </c>
    </row>
    <row r="3752" spans="5:13" hidden="1" x14ac:dyDescent="0.35">
      <c r="E3752" s="81"/>
      <c r="I3752" s="83" t="e">
        <f>VLOOKUP(E3752,[1]Mapping!$A$3:$B$14,2,FALSE)</f>
        <v>#N/A</v>
      </c>
      <c r="J3752" s="84">
        <f t="shared" si="118"/>
        <v>0</v>
      </c>
      <c r="K3752" s="84">
        <f t="shared" si="119"/>
        <v>0</v>
      </c>
      <c r="L3752" s="61" t="e">
        <f>VLOOKUP(K3752,[1]Mapping!$J$3:$Q$351,8,FALSE)</f>
        <v>#N/A</v>
      </c>
      <c r="M3752" t="s">
        <v>83</v>
      </c>
    </row>
    <row r="3753" spans="5:13" hidden="1" x14ac:dyDescent="0.35">
      <c r="E3753" s="81"/>
      <c r="I3753" s="83" t="e">
        <f>VLOOKUP(E3753,[1]Mapping!$A$3:$B$14,2,FALSE)</f>
        <v>#N/A</v>
      </c>
      <c r="J3753" s="84">
        <f t="shared" si="118"/>
        <v>0</v>
      </c>
      <c r="K3753" s="84">
        <f t="shared" si="119"/>
        <v>0</v>
      </c>
      <c r="L3753" s="61" t="e">
        <f>VLOOKUP(K3753,[1]Mapping!$J$3:$Q$351,8,FALSE)</f>
        <v>#N/A</v>
      </c>
      <c r="M3753" t="s">
        <v>83</v>
      </c>
    </row>
    <row r="3754" spans="5:13" hidden="1" x14ac:dyDescent="0.35">
      <c r="E3754" s="81"/>
      <c r="I3754" s="83" t="e">
        <f>VLOOKUP(E3754,[1]Mapping!$A$3:$B$14,2,FALSE)</f>
        <v>#N/A</v>
      </c>
      <c r="J3754" s="84">
        <f t="shared" si="118"/>
        <v>0</v>
      </c>
      <c r="K3754" s="84">
        <f t="shared" si="119"/>
        <v>0</v>
      </c>
      <c r="L3754" s="61" t="e">
        <f>VLOOKUP(K3754,[1]Mapping!$J$3:$Q$351,8,FALSE)</f>
        <v>#N/A</v>
      </c>
      <c r="M3754" t="s">
        <v>83</v>
      </c>
    </row>
    <row r="3755" spans="5:13" hidden="1" x14ac:dyDescent="0.35">
      <c r="E3755" s="81"/>
      <c r="I3755" s="83" t="e">
        <f>VLOOKUP(E3755,[1]Mapping!$A$3:$B$14,2,FALSE)</f>
        <v>#N/A</v>
      </c>
      <c r="J3755" s="84">
        <f t="shared" si="118"/>
        <v>0</v>
      </c>
      <c r="K3755" s="84">
        <f t="shared" si="119"/>
        <v>0</v>
      </c>
      <c r="L3755" s="61" t="e">
        <f>VLOOKUP(K3755,[1]Mapping!$J$3:$Q$351,8,FALSE)</f>
        <v>#N/A</v>
      </c>
      <c r="M3755" t="s">
        <v>83</v>
      </c>
    </row>
    <row r="3756" spans="5:13" hidden="1" x14ac:dyDescent="0.35">
      <c r="E3756" s="81"/>
      <c r="I3756" s="83" t="e">
        <f>VLOOKUP(E3756,[1]Mapping!$A$3:$B$14,2,FALSE)</f>
        <v>#N/A</v>
      </c>
      <c r="J3756" s="84">
        <f t="shared" si="118"/>
        <v>0</v>
      </c>
      <c r="K3756" s="84">
        <f t="shared" si="119"/>
        <v>0</v>
      </c>
      <c r="L3756" s="61" t="e">
        <f>VLOOKUP(K3756,[1]Mapping!$J$3:$Q$351,8,FALSE)</f>
        <v>#N/A</v>
      </c>
      <c r="M3756" t="s">
        <v>83</v>
      </c>
    </row>
    <row r="3757" spans="5:13" hidden="1" x14ac:dyDescent="0.35">
      <c r="E3757" s="81"/>
      <c r="I3757" s="83" t="e">
        <f>VLOOKUP(E3757,[1]Mapping!$A$3:$B$14,2,FALSE)</f>
        <v>#N/A</v>
      </c>
      <c r="J3757" s="84">
        <f t="shared" si="118"/>
        <v>0</v>
      </c>
      <c r="K3757" s="84">
        <f t="shared" si="119"/>
        <v>0</v>
      </c>
      <c r="L3757" s="61" t="e">
        <f>VLOOKUP(K3757,[1]Mapping!$J$3:$Q$351,8,FALSE)</f>
        <v>#N/A</v>
      </c>
      <c r="M3757" t="s">
        <v>83</v>
      </c>
    </row>
    <row r="3758" spans="5:13" hidden="1" x14ac:dyDescent="0.35">
      <c r="E3758" s="81"/>
      <c r="I3758" s="83" t="e">
        <f>VLOOKUP(E3758,[1]Mapping!$A$3:$B$14,2,FALSE)</f>
        <v>#N/A</v>
      </c>
      <c r="J3758" s="84">
        <f t="shared" si="118"/>
        <v>0</v>
      </c>
      <c r="K3758" s="84">
        <f t="shared" si="119"/>
        <v>0</v>
      </c>
      <c r="L3758" s="61" t="e">
        <f>VLOOKUP(K3758,[1]Mapping!$J$3:$Q$351,8,FALSE)</f>
        <v>#N/A</v>
      </c>
      <c r="M3758" t="s">
        <v>83</v>
      </c>
    </row>
    <row r="3759" spans="5:13" hidden="1" x14ac:dyDescent="0.35">
      <c r="E3759" s="81"/>
      <c r="I3759" s="83" t="e">
        <f>VLOOKUP(E3759,[1]Mapping!$A$3:$B$14,2,FALSE)</f>
        <v>#N/A</v>
      </c>
      <c r="J3759" s="84">
        <f t="shared" si="118"/>
        <v>0</v>
      </c>
      <c r="K3759" s="84">
        <f t="shared" si="119"/>
        <v>0</v>
      </c>
      <c r="L3759" s="61" t="e">
        <f>VLOOKUP(K3759,[1]Mapping!$J$3:$Q$351,8,FALSE)</f>
        <v>#N/A</v>
      </c>
      <c r="M3759" t="s">
        <v>83</v>
      </c>
    </row>
    <row r="3760" spans="5:13" hidden="1" x14ac:dyDescent="0.35">
      <c r="E3760" s="81"/>
      <c r="I3760" s="83" t="e">
        <f>VLOOKUP(E3760,[1]Mapping!$A$3:$B$14,2,FALSE)</f>
        <v>#N/A</v>
      </c>
      <c r="J3760" s="84">
        <f t="shared" si="118"/>
        <v>0</v>
      </c>
      <c r="K3760" s="84">
        <f t="shared" si="119"/>
        <v>0</v>
      </c>
      <c r="L3760" s="61" t="e">
        <f>VLOOKUP(K3760,[1]Mapping!$J$3:$Q$351,8,FALSE)</f>
        <v>#N/A</v>
      </c>
      <c r="M3760" t="s">
        <v>83</v>
      </c>
    </row>
    <row r="3761" spans="5:13" hidden="1" x14ac:dyDescent="0.35">
      <c r="E3761" s="81"/>
      <c r="I3761" s="83" t="e">
        <f>VLOOKUP(E3761,[1]Mapping!$A$3:$B$14,2,FALSE)</f>
        <v>#N/A</v>
      </c>
      <c r="J3761" s="84">
        <f t="shared" si="118"/>
        <v>0</v>
      </c>
      <c r="K3761" s="84">
        <f t="shared" si="119"/>
        <v>0</v>
      </c>
      <c r="L3761" s="61" t="e">
        <f>VLOOKUP(K3761,[1]Mapping!$J$3:$Q$351,8,FALSE)</f>
        <v>#N/A</v>
      </c>
      <c r="M3761" t="s">
        <v>83</v>
      </c>
    </row>
    <row r="3762" spans="5:13" hidden="1" x14ac:dyDescent="0.35">
      <c r="E3762" s="81"/>
      <c r="I3762" s="83" t="e">
        <f>VLOOKUP(E3762,[1]Mapping!$A$3:$B$14,2,FALSE)</f>
        <v>#N/A</v>
      </c>
      <c r="J3762" s="84">
        <f t="shared" si="118"/>
        <v>0</v>
      </c>
      <c r="K3762" s="84">
        <f t="shared" si="119"/>
        <v>0</v>
      </c>
      <c r="L3762" s="61" t="e">
        <f>VLOOKUP(K3762,[1]Mapping!$J$3:$Q$351,8,FALSE)</f>
        <v>#N/A</v>
      </c>
      <c r="M3762" t="s">
        <v>83</v>
      </c>
    </row>
    <row r="3763" spans="5:13" hidden="1" x14ac:dyDescent="0.35">
      <c r="E3763" s="81"/>
      <c r="I3763" s="83" t="e">
        <f>VLOOKUP(E3763,[1]Mapping!$A$3:$B$14,2,FALSE)</f>
        <v>#N/A</v>
      </c>
      <c r="J3763" s="84">
        <f t="shared" si="118"/>
        <v>0</v>
      </c>
      <c r="K3763" s="84">
        <f t="shared" si="119"/>
        <v>0</v>
      </c>
      <c r="L3763" s="61" t="e">
        <f>VLOOKUP(K3763,[1]Mapping!$J$3:$Q$351,8,FALSE)</f>
        <v>#N/A</v>
      </c>
      <c r="M3763" t="s">
        <v>83</v>
      </c>
    </row>
    <row r="3764" spans="5:13" hidden="1" x14ac:dyDescent="0.35">
      <c r="E3764" s="81"/>
      <c r="I3764" s="83" t="e">
        <f>VLOOKUP(E3764,[1]Mapping!$A$3:$B$14,2,FALSE)</f>
        <v>#N/A</v>
      </c>
      <c r="J3764" s="84">
        <f t="shared" si="118"/>
        <v>0</v>
      </c>
      <c r="K3764" s="84">
        <f t="shared" si="119"/>
        <v>0</v>
      </c>
      <c r="L3764" s="61" t="e">
        <f>VLOOKUP(K3764,[1]Mapping!$J$3:$Q$351,8,FALSE)</f>
        <v>#N/A</v>
      </c>
      <c r="M3764" t="s">
        <v>83</v>
      </c>
    </row>
    <row r="3765" spans="5:13" hidden="1" x14ac:dyDescent="0.35">
      <c r="E3765" s="81"/>
      <c r="I3765" s="83" t="e">
        <f>VLOOKUP(E3765,[1]Mapping!$A$3:$B$14,2,FALSE)</f>
        <v>#N/A</v>
      </c>
      <c r="J3765" s="84">
        <f t="shared" si="118"/>
        <v>0</v>
      </c>
      <c r="K3765" s="84">
        <f t="shared" si="119"/>
        <v>0</v>
      </c>
      <c r="L3765" s="61" t="e">
        <f>VLOOKUP(K3765,[1]Mapping!$J$3:$Q$351,8,FALSE)</f>
        <v>#N/A</v>
      </c>
      <c r="M3765" t="s">
        <v>83</v>
      </c>
    </row>
    <row r="3766" spans="5:13" hidden="1" x14ac:dyDescent="0.35">
      <c r="E3766" s="81"/>
      <c r="I3766" s="83" t="e">
        <f>VLOOKUP(E3766,[1]Mapping!$A$3:$B$14,2,FALSE)</f>
        <v>#N/A</v>
      </c>
      <c r="J3766" s="84">
        <f t="shared" si="118"/>
        <v>0</v>
      </c>
      <c r="K3766" s="84">
        <f t="shared" si="119"/>
        <v>0</v>
      </c>
      <c r="L3766" s="61" t="e">
        <f>VLOOKUP(K3766,[1]Mapping!$J$3:$Q$351,8,FALSE)</f>
        <v>#N/A</v>
      </c>
      <c r="M3766" t="s">
        <v>83</v>
      </c>
    </row>
    <row r="3767" spans="5:13" hidden="1" x14ac:dyDescent="0.35">
      <c r="E3767" s="81"/>
      <c r="I3767" s="83" t="e">
        <f>VLOOKUP(E3767,[1]Mapping!$A$3:$B$14,2,FALSE)</f>
        <v>#N/A</v>
      </c>
      <c r="J3767" s="84">
        <f t="shared" si="118"/>
        <v>0</v>
      </c>
      <c r="K3767" s="84">
        <f t="shared" si="119"/>
        <v>0</v>
      </c>
      <c r="L3767" s="61" t="e">
        <f>VLOOKUP(K3767,[1]Mapping!$J$3:$Q$351,8,FALSE)</f>
        <v>#N/A</v>
      </c>
      <c r="M3767" t="s">
        <v>83</v>
      </c>
    </row>
    <row r="3768" spans="5:13" hidden="1" x14ac:dyDescent="0.35">
      <c r="E3768" s="81"/>
      <c r="I3768" s="83" t="e">
        <f>VLOOKUP(E3768,[1]Mapping!$A$3:$B$14,2,FALSE)</f>
        <v>#N/A</v>
      </c>
      <c r="J3768" s="84">
        <f t="shared" si="118"/>
        <v>0</v>
      </c>
      <c r="K3768" s="84">
        <f t="shared" si="119"/>
        <v>0</v>
      </c>
      <c r="L3768" s="61" t="e">
        <f>VLOOKUP(K3768,[1]Mapping!$J$3:$Q$351,8,FALSE)</f>
        <v>#N/A</v>
      </c>
      <c r="M3768" t="s">
        <v>83</v>
      </c>
    </row>
    <row r="3769" spans="5:13" hidden="1" x14ac:dyDescent="0.35">
      <c r="E3769" s="81"/>
      <c r="I3769" s="83" t="e">
        <f>VLOOKUP(E3769,[1]Mapping!$A$3:$B$14,2,FALSE)</f>
        <v>#N/A</v>
      </c>
      <c r="J3769" s="84">
        <f t="shared" si="118"/>
        <v>0</v>
      </c>
      <c r="K3769" s="84">
        <f t="shared" si="119"/>
        <v>0</v>
      </c>
      <c r="L3769" s="61" t="e">
        <f>VLOOKUP(K3769,[1]Mapping!$J$3:$Q$351,8,FALSE)</f>
        <v>#N/A</v>
      </c>
      <c r="M3769" t="s">
        <v>83</v>
      </c>
    </row>
    <row r="3770" spans="5:13" hidden="1" x14ac:dyDescent="0.35">
      <c r="E3770" s="81"/>
      <c r="I3770" s="83" t="e">
        <f>VLOOKUP(E3770,[1]Mapping!$A$3:$B$14,2,FALSE)</f>
        <v>#N/A</v>
      </c>
      <c r="J3770" s="84">
        <f t="shared" si="118"/>
        <v>0</v>
      </c>
      <c r="K3770" s="84">
        <f t="shared" si="119"/>
        <v>0</v>
      </c>
      <c r="L3770" s="61" t="e">
        <f>VLOOKUP(K3770,[1]Mapping!$J$3:$Q$351,8,FALSE)</f>
        <v>#N/A</v>
      </c>
      <c r="M3770" t="s">
        <v>83</v>
      </c>
    </row>
    <row r="3771" spans="5:13" hidden="1" x14ac:dyDescent="0.35">
      <c r="E3771" s="81"/>
      <c r="I3771" s="83" t="e">
        <f>VLOOKUP(E3771,[1]Mapping!$A$3:$B$14,2,FALSE)</f>
        <v>#N/A</v>
      </c>
      <c r="J3771" s="84">
        <f t="shared" si="118"/>
        <v>0</v>
      </c>
      <c r="K3771" s="84">
        <f t="shared" si="119"/>
        <v>0</v>
      </c>
      <c r="L3771" s="61" t="e">
        <f>VLOOKUP(K3771,[1]Mapping!$J$3:$Q$351,8,FALSE)</f>
        <v>#N/A</v>
      </c>
      <c r="M3771" t="s">
        <v>83</v>
      </c>
    </row>
    <row r="3772" spans="5:13" hidden="1" x14ac:dyDescent="0.35">
      <c r="E3772" s="81"/>
      <c r="I3772" s="83" t="e">
        <f>VLOOKUP(E3772,[1]Mapping!$A$3:$B$14,2,FALSE)</f>
        <v>#N/A</v>
      </c>
      <c r="J3772" s="84">
        <f t="shared" si="118"/>
        <v>0</v>
      </c>
      <c r="K3772" s="84">
        <f t="shared" si="119"/>
        <v>0</v>
      </c>
      <c r="L3772" s="61" t="e">
        <f>VLOOKUP(K3772,[1]Mapping!$J$3:$Q$351,8,FALSE)</f>
        <v>#N/A</v>
      </c>
      <c r="M3772" t="s">
        <v>83</v>
      </c>
    </row>
    <row r="3773" spans="5:13" hidden="1" x14ac:dyDescent="0.35">
      <c r="E3773" s="81"/>
      <c r="I3773" s="83" t="e">
        <f>VLOOKUP(E3773,[1]Mapping!$A$3:$B$14,2,FALSE)</f>
        <v>#N/A</v>
      </c>
      <c r="J3773" s="84">
        <f t="shared" si="118"/>
        <v>0</v>
      </c>
      <c r="K3773" s="84">
        <f t="shared" si="119"/>
        <v>0</v>
      </c>
      <c r="L3773" s="61" t="e">
        <f>VLOOKUP(K3773,[1]Mapping!$J$3:$Q$351,8,FALSE)</f>
        <v>#N/A</v>
      </c>
      <c r="M3773" t="s">
        <v>83</v>
      </c>
    </row>
    <row r="3774" spans="5:13" hidden="1" x14ac:dyDescent="0.35">
      <c r="E3774" s="81"/>
      <c r="I3774" s="83" t="e">
        <f>VLOOKUP(E3774,[1]Mapping!$A$3:$B$14,2,FALSE)</f>
        <v>#N/A</v>
      </c>
      <c r="J3774" s="84">
        <f t="shared" si="118"/>
        <v>0</v>
      </c>
      <c r="K3774" s="84">
        <f t="shared" si="119"/>
        <v>0</v>
      </c>
      <c r="L3774" s="61" t="e">
        <f>VLOOKUP(K3774,[1]Mapping!$J$3:$Q$351,8,FALSE)</f>
        <v>#N/A</v>
      </c>
      <c r="M3774" t="s">
        <v>83</v>
      </c>
    </row>
    <row r="3775" spans="5:13" hidden="1" x14ac:dyDescent="0.35">
      <c r="E3775" s="81"/>
      <c r="I3775" s="83" t="e">
        <f>VLOOKUP(E3775,[1]Mapping!$A$3:$B$14,2,FALSE)</f>
        <v>#N/A</v>
      </c>
      <c r="J3775" s="84">
        <f t="shared" si="118"/>
        <v>0</v>
      </c>
      <c r="K3775" s="84">
        <f t="shared" si="119"/>
        <v>0</v>
      </c>
      <c r="L3775" s="61" t="e">
        <f>VLOOKUP(K3775,[1]Mapping!$J$3:$Q$351,8,FALSE)</f>
        <v>#N/A</v>
      </c>
      <c r="M3775" t="s">
        <v>83</v>
      </c>
    </row>
    <row r="3776" spans="5:13" hidden="1" x14ac:dyDescent="0.35">
      <c r="E3776" s="81"/>
      <c r="I3776" s="83" t="e">
        <f>VLOOKUP(E3776,[1]Mapping!$A$3:$B$14,2,FALSE)</f>
        <v>#N/A</v>
      </c>
      <c r="J3776" s="84">
        <f t="shared" si="118"/>
        <v>0</v>
      </c>
      <c r="K3776" s="84">
        <f t="shared" si="119"/>
        <v>0</v>
      </c>
      <c r="L3776" s="61" t="e">
        <f>VLOOKUP(K3776,[1]Mapping!$J$3:$Q$351,8,FALSE)</f>
        <v>#N/A</v>
      </c>
      <c r="M3776" t="s">
        <v>83</v>
      </c>
    </row>
    <row r="3777" spans="5:13" hidden="1" x14ac:dyDescent="0.35">
      <c r="E3777" s="81"/>
      <c r="I3777" s="83" t="e">
        <f>VLOOKUP(E3777,[1]Mapping!$A$3:$B$14,2,FALSE)</f>
        <v>#N/A</v>
      </c>
      <c r="J3777" s="84">
        <f t="shared" si="118"/>
        <v>0</v>
      </c>
      <c r="K3777" s="84">
        <f t="shared" si="119"/>
        <v>0</v>
      </c>
      <c r="L3777" s="61" t="e">
        <f>VLOOKUP(K3777,[1]Mapping!$J$3:$Q$351,8,FALSE)</f>
        <v>#N/A</v>
      </c>
      <c r="M3777" t="s">
        <v>83</v>
      </c>
    </row>
    <row r="3778" spans="5:13" hidden="1" x14ac:dyDescent="0.35">
      <c r="E3778" s="81"/>
      <c r="I3778" s="83" t="e">
        <f>VLOOKUP(E3778,[1]Mapping!$A$3:$B$14,2,FALSE)</f>
        <v>#N/A</v>
      </c>
      <c r="J3778" s="84">
        <f t="shared" si="118"/>
        <v>0</v>
      </c>
      <c r="K3778" s="84">
        <f t="shared" si="119"/>
        <v>0</v>
      </c>
      <c r="L3778" s="61" t="e">
        <f>VLOOKUP(K3778,[1]Mapping!$J$3:$Q$351,8,FALSE)</f>
        <v>#N/A</v>
      </c>
      <c r="M3778" t="s">
        <v>83</v>
      </c>
    </row>
    <row r="3779" spans="5:13" hidden="1" x14ac:dyDescent="0.35">
      <c r="E3779" s="81"/>
      <c r="I3779" s="83" t="e">
        <f>VLOOKUP(E3779,[1]Mapping!$A$3:$B$14,2,FALSE)</f>
        <v>#N/A</v>
      </c>
      <c r="J3779" s="84">
        <f t="shared" si="118"/>
        <v>0</v>
      </c>
      <c r="K3779" s="84">
        <f t="shared" si="119"/>
        <v>0</v>
      </c>
      <c r="L3779" s="61" t="e">
        <f>VLOOKUP(K3779,[1]Mapping!$J$3:$Q$351,8,FALSE)</f>
        <v>#N/A</v>
      </c>
      <c r="M3779" t="s">
        <v>83</v>
      </c>
    </row>
    <row r="3780" spans="5:13" hidden="1" x14ac:dyDescent="0.35">
      <c r="E3780" s="81"/>
      <c r="I3780" s="83" t="e">
        <f>VLOOKUP(E3780,[1]Mapping!$A$3:$B$14,2,FALSE)</f>
        <v>#N/A</v>
      </c>
      <c r="J3780" s="84">
        <f t="shared" ref="J3780:J3843" si="120">VALUE(A3780)</f>
        <v>0</v>
      </c>
      <c r="K3780" s="84">
        <f t="shared" ref="K3780:K3843" si="121">VALUE(C3780)</f>
        <v>0</v>
      </c>
      <c r="L3780" s="61" t="e">
        <f>VLOOKUP(K3780,[1]Mapping!$J$3:$Q$351,8,FALSE)</f>
        <v>#N/A</v>
      </c>
      <c r="M3780" t="s">
        <v>83</v>
      </c>
    </row>
    <row r="3781" spans="5:13" hidden="1" x14ac:dyDescent="0.35">
      <c r="E3781" s="81"/>
      <c r="I3781" s="83" t="e">
        <f>VLOOKUP(E3781,[1]Mapping!$A$3:$B$14,2,FALSE)</f>
        <v>#N/A</v>
      </c>
      <c r="J3781" s="84">
        <f t="shared" si="120"/>
        <v>0</v>
      </c>
      <c r="K3781" s="84">
        <f t="shared" si="121"/>
        <v>0</v>
      </c>
      <c r="L3781" s="61" t="e">
        <f>VLOOKUP(K3781,[1]Mapping!$J$3:$Q$351,8,FALSE)</f>
        <v>#N/A</v>
      </c>
      <c r="M3781" t="s">
        <v>83</v>
      </c>
    </row>
    <row r="3782" spans="5:13" hidden="1" x14ac:dyDescent="0.35">
      <c r="E3782" s="81"/>
      <c r="I3782" s="83" t="e">
        <f>VLOOKUP(E3782,[1]Mapping!$A$3:$B$14,2,FALSE)</f>
        <v>#N/A</v>
      </c>
      <c r="J3782" s="84">
        <f t="shared" si="120"/>
        <v>0</v>
      </c>
      <c r="K3782" s="84">
        <f t="shared" si="121"/>
        <v>0</v>
      </c>
      <c r="L3782" s="61" t="e">
        <f>VLOOKUP(K3782,[1]Mapping!$J$3:$Q$351,8,FALSE)</f>
        <v>#N/A</v>
      </c>
      <c r="M3782" t="s">
        <v>83</v>
      </c>
    </row>
    <row r="3783" spans="5:13" hidden="1" x14ac:dyDescent="0.35">
      <c r="E3783" s="81"/>
      <c r="I3783" s="83" t="e">
        <f>VLOOKUP(E3783,[1]Mapping!$A$3:$B$14,2,FALSE)</f>
        <v>#N/A</v>
      </c>
      <c r="J3783" s="84">
        <f t="shared" si="120"/>
        <v>0</v>
      </c>
      <c r="K3783" s="84">
        <f t="shared" si="121"/>
        <v>0</v>
      </c>
      <c r="L3783" s="61" t="e">
        <f>VLOOKUP(K3783,[1]Mapping!$J$3:$Q$351,8,FALSE)</f>
        <v>#N/A</v>
      </c>
      <c r="M3783" t="s">
        <v>83</v>
      </c>
    </row>
    <row r="3784" spans="5:13" hidden="1" x14ac:dyDescent="0.35">
      <c r="E3784" s="81"/>
      <c r="I3784" s="83" t="e">
        <f>VLOOKUP(E3784,[1]Mapping!$A$3:$B$14,2,FALSE)</f>
        <v>#N/A</v>
      </c>
      <c r="J3784" s="84">
        <f t="shared" si="120"/>
        <v>0</v>
      </c>
      <c r="K3784" s="84">
        <f t="shared" si="121"/>
        <v>0</v>
      </c>
      <c r="L3784" s="61" t="e">
        <f>VLOOKUP(K3784,[1]Mapping!$J$3:$Q$351,8,FALSE)</f>
        <v>#N/A</v>
      </c>
      <c r="M3784" t="s">
        <v>83</v>
      </c>
    </row>
    <row r="3785" spans="5:13" hidden="1" x14ac:dyDescent="0.35">
      <c r="E3785" s="81"/>
      <c r="I3785" s="83" t="e">
        <f>VLOOKUP(E3785,[1]Mapping!$A$3:$B$14,2,FALSE)</f>
        <v>#N/A</v>
      </c>
      <c r="J3785" s="84">
        <f t="shared" si="120"/>
        <v>0</v>
      </c>
      <c r="K3785" s="84">
        <f t="shared" si="121"/>
        <v>0</v>
      </c>
      <c r="L3785" s="61" t="e">
        <f>VLOOKUP(K3785,[1]Mapping!$J$3:$Q$351,8,FALSE)</f>
        <v>#N/A</v>
      </c>
      <c r="M3785" t="s">
        <v>83</v>
      </c>
    </row>
    <row r="3786" spans="5:13" hidden="1" x14ac:dyDescent="0.35">
      <c r="E3786" s="81"/>
      <c r="I3786" s="83" t="e">
        <f>VLOOKUP(E3786,[1]Mapping!$A$3:$B$14,2,FALSE)</f>
        <v>#N/A</v>
      </c>
      <c r="J3786" s="84">
        <f t="shared" si="120"/>
        <v>0</v>
      </c>
      <c r="K3786" s="84">
        <f t="shared" si="121"/>
        <v>0</v>
      </c>
      <c r="L3786" s="61" t="e">
        <f>VLOOKUP(K3786,[1]Mapping!$J$3:$Q$351,8,FALSE)</f>
        <v>#N/A</v>
      </c>
      <c r="M3786" t="s">
        <v>83</v>
      </c>
    </row>
    <row r="3787" spans="5:13" hidden="1" x14ac:dyDescent="0.35">
      <c r="E3787" s="81"/>
      <c r="I3787" s="83" t="e">
        <f>VLOOKUP(E3787,[1]Mapping!$A$3:$B$14,2,FALSE)</f>
        <v>#N/A</v>
      </c>
      <c r="J3787" s="84">
        <f t="shared" si="120"/>
        <v>0</v>
      </c>
      <c r="K3787" s="84">
        <f t="shared" si="121"/>
        <v>0</v>
      </c>
      <c r="L3787" s="61" t="e">
        <f>VLOOKUP(K3787,[1]Mapping!$J$3:$Q$351,8,FALSE)</f>
        <v>#N/A</v>
      </c>
      <c r="M3787" t="s">
        <v>83</v>
      </c>
    </row>
    <row r="3788" spans="5:13" hidden="1" x14ac:dyDescent="0.35">
      <c r="E3788" s="81"/>
      <c r="I3788" s="83" t="e">
        <f>VLOOKUP(E3788,[1]Mapping!$A$3:$B$14,2,FALSE)</f>
        <v>#N/A</v>
      </c>
      <c r="J3788" s="84">
        <f t="shared" si="120"/>
        <v>0</v>
      </c>
      <c r="K3788" s="84">
        <f t="shared" si="121"/>
        <v>0</v>
      </c>
      <c r="L3788" s="61" t="e">
        <f>VLOOKUP(K3788,[1]Mapping!$J$3:$Q$351,8,FALSE)</f>
        <v>#N/A</v>
      </c>
      <c r="M3788" t="s">
        <v>83</v>
      </c>
    </row>
    <row r="3789" spans="5:13" hidden="1" x14ac:dyDescent="0.35">
      <c r="E3789" s="81"/>
      <c r="I3789" s="83" t="e">
        <f>VLOOKUP(E3789,[1]Mapping!$A$3:$B$14,2,FALSE)</f>
        <v>#N/A</v>
      </c>
      <c r="J3789" s="84">
        <f t="shared" si="120"/>
        <v>0</v>
      </c>
      <c r="K3789" s="84">
        <f t="shared" si="121"/>
        <v>0</v>
      </c>
      <c r="L3789" s="61" t="e">
        <f>VLOOKUP(K3789,[1]Mapping!$J$3:$Q$351,8,FALSE)</f>
        <v>#N/A</v>
      </c>
      <c r="M3789" t="s">
        <v>83</v>
      </c>
    </row>
    <row r="3790" spans="5:13" hidden="1" x14ac:dyDescent="0.35">
      <c r="E3790" s="81"/>
      <c r="I3790" s="83" t="e">
        <f>VLOOKUP(E3790,[1]Mapping!$A$3:$B$14,2,FALSE)</f>
        <v>#N/A</v>
      </c>
      <c r="J3790" s="84">
        <f t="shared" si="120"/>
        <v>0</v>
      </c>
      <c r="K3790" s="84">
        <f t="shared" si="121"/>
        <v>0</v>
      </c>
      <c r="L3790" s="61" t="e">
        <f>VLOOKUP(K3790,[1]Mapping!$J$3:$Q$351,8,FALSE)</f>
        <v>#N/A</v>
      </c>
      <c r="M3790" t="s">
        <v>83</v>
      </c>
    </row>
    <row r="3791" spans="5:13" hidden="1" x14ac:dyDescent="0.35">
      <c r="E3791" s="81"/>
      <c r="I3791" s="83" t="e">
        <f>VLOOKUP(E3791,[1]Mapping!$A$3:$B$14,2,FALSE)</f>
        <v>#N/A</v>
      </c>
      <c r="J3791" s="84">
        <f t="shared" si="120"/>
        <v>0</v>
      </c>
      <c r="K3791" s="84">
        <f t="shared" si="121"/>
        <v>0</v>
      </c>
      <c r="L3791" s="61" t="e">
        <f>VLOOKUP(K3791,[1]Mapping!$J$3:$Q$351,8,FALSE)</f>
        <v>#N/A</v>
      </c>
      <c r="M3791" t="s">
        <v>83</v>
      </c>
    </row>
    <row r="3792" spans="5:13" hidden="1" x14ac:dyDescent="0.35">
      <c r="E3792" s="81"/>
      <c r="I3792" s="83" t="e">
        <f>VLOOKUP(E3792,[1]Mapping!$A$3:$B$14,2,FALSE)</f>
        <v>#N/A</v>
      </c>
      <c r="J3792" s="84">
        <f t="shared" si="120"/>
        <v>0</v>
      </c>
      <c r="K3792" s="84">
        <f t="shared" si="121"/>
        <v>0</v>
      </c>
      <c r="L3792" s="61" t="e">
        <f>VLOOKUP(K3792,[1]Mapping!$J$3:$Q$351,8,FALSE)</f>
        <v>#N/A</v>
      </c>
      <c r="M3792" t="s">
        <v>83</v>
      </c>
    </row>
    <row r="3793" spans="5:13" hidden="1" x14ac:dyDescent="0.35">
      <c r="E3793" s="81"/>
      <c r="I3793" s="83" t="e">
        <f>VLOOKUP(E3793,[1]Mapping!$A$3:$B$14,2,FALSE)</f>
        <v>#N/A</v>
      </c>
      <c r="J3793" s="84">
        <f t="shared" si="120"/>
        <v>0</v>
      </c>
      <c r="K3793" s="84">
        <f t="shared" si="121"/>
        <v>0</v>
      </c>
      <c r="L3793" s="61" t="e">
        <f>VLOOKUP(K3793,[1]Mapping!$J$3:$Q$351,8,FALSE)</f>
        <v>#N/A</v>
      </c>
      <c r="M3793" t="s">
        <v>83</v>
      </c>
    </row>
    <row r="3794" spans="5:13" hidden="1" x14ac:dyDescent="0.35">
      <c r="E3794" s="81"/>
      <c r="I3794" s="83" t="e">
        <f>VLOOKUP(E3794,[1]Mapping!$A$3:$B$14,2,FALSE)</f>
        <v>#N/A</v>
      </c>
      <c r="J3794" s="84">
        <f t="shared" si="120"/>
        <v>0</v>
      </c>
      <c r="K3794" s="84">
        <f t="shared" si="121"/>
        <v>0</v>
      </c>
      <c r="L3794" s="61" t="e">
        <f>VLOOKUP(K3794,[1]Mapping!$J$3:$Q$351,8,FALSE)</f>
        <v>#N/A</v>
      </c>
      <c r="M3794" t="s">
        <v>83</v>
      </c>
    </row>
    <row r="3795" spans="5:13" hidden="1" x14ac:dyDescent="0.35">
      <c r="E3795" s="81"/>
      <c r="I3795" s="83" t="e">
        <f>VLOOKUP(E3795,[1]Mapping!$A$3:$B$14,2,FALSE)</f>
        <v>#N/A</v>
      </c>
      <c r="J3795" s="84">
        <f t="shared" si="120"/>
        <v>0</v>
      </c>
      <c r="K3795" s="84">
        <f t="shared" si="121"/>
        <v>0</v>
      </c>
      <c r="L3795" s="61" t="e">
        <f>VLOOKUP(K3795,[1]Mapping!$J$3:$Q$351,8,FALSE)</f>
        <v>#N/A</v>
      </c>
      <c r="M3795" t="s">
        <v>83</v>
      </c>
    </row>
    <row r="3796" spans="5:13" hidden="1" x14ac:dyDescent="0.35">
      <c r="E3796" s="81"/>
      <c r="I3796" s="83" t="e">
        <f>VLOOKUP(E3796,[1]Mapping!$A$3:$B$14,2,FALSE)</f>
        <v>#N/A</v>
      </c>
      <c r="J3796" s="84">
        <f t="shared" si="120"/>
        <v>0</v>
      </c>
      <c r="K3796" s="84">
        <f t="shared" si="121"/>
        <v>0</v>
      </c>
      <c r="L3796" s="61" t="e">
        <f>VLOOKUP(K3796,[1]Mapping!$J$3:$Q$351,8,FALSE)</f>
        <v>#N/A</v>
      </c>
      <c r="M3796" t="s">
        <v>83</v>
      </c>
    </row>
    <row r="3797" spans="5:13" hidden="1" x14ac:dyDescent="0.35">
      <c r="E3797" s="81"/>
      <c r="I3797" s="83" t="e">
        <f>VLOOKUP(E3797,[1]Mapping!$A$3:$B$14,2,FALSE)</f>
        <v>#N/A</v>
      </c>
      <c r="J3797" s="84">
        <f t="shared" si="120"/>
        <v>0</v>
      </c>
      <c r="K3797" s="84">
        <f t="shared" si="121"/>
        <v>0</v>
      </c>
      <c r="L3797" s="61" t="e">
        <f>VLOOKUP(K3797,[1]Mapping!$J$3:$Q$351,8,FALSE)</f>
        <v>#N/A</v>
      </c>
      <c r="M3797" t="s">
        <v>83</v>
      </c>
    </row>
    <row r="3798" spans="5:13" hidden="1" x14ac:dyDescent="0.35">
      <c r="E3798" s="81"/>
      <c r="I3798" s="83" t="e">
        <f>VLOOKUP(E3798,[1]Mapping!$A$3:$B$14,2,FALSE)</f>
        <v>#N/A</v>
      </c>
      <c r="J3798" s="84">
        <f t="shared" si="120"/>
        <v>0</v>
      </c>
      <c r="K3798" s="84">
        <f t="shared" si="121"/>
        <v>0</v>
      </c>
      <c r="L3798" s="61" t="e">
        <f>VLOOKUP(K3798,[1]Mapping!$J$3:$Q$351,8,FALSE)</f>
        <v>#N/A</v>
      </c>
      <c r="M3798" t="s">
        <v>83</v>
      </c>
    </row>
    <row r="3799" spans="5:13" hidden="1" x14ac:dyDescent="0.35">
      <c r="E3799" s="81"/>
      <c r="I3799" s="83" t="e">
        <f>VLOOKUP(E3799,[1]Mapping!$A$3:$B$14,2,FALSE)</f>
        <v>#N/A</v>
      </c>
      <c r="J3799" s="84">
        <f t="shared" si="120"/>
        <v>0</v>
      </c>
      <c r="K3799" s="84">
        <f t="shared" si="121"/>
        <v>0</v>
      </c>
      <c r="L3799" s="61" t="e">
        <f>VLOOKUP(K3799,[1]Mapping!$J$3:$Q$351,8,FALSE)</f>
        <v>#N/A</v>
      </c>
      <c r="M3799" t="s">
        <v>83</v>
      </c>
    </row>
    <row r="3800" spans="5:13" hidden="1" x14ac:dyDescent="0.35">
      <c r="E3800" s="81"/>
      <c r="I3800" s="83" t="e">
        <f>VLOOKUP(E3800,[1]Mapping!$A$3:$B$14,2,FALSE)</f>
        <v>#N/A</v>
      </c>
      <c r="J3800" s="84">
        <f t="shared" si="120"/>
        <v>0</v>
      </c>
      <c r="K3800" s="84">
        <f t="shared" si="121"/>
        <v>0</v>
      </c>
      <c r="L3800" s="61" t="e">
        <f>VLOOKUP(K3800,[1]Mapping!$J$3:$Q$351,8,FALSE)</f>
        <v>#N/A</v>
      </c>
      <c r="M3800" t="s">
        <v>83</v>
      </c>
    </row>
    <row r="3801" spans="5:13" hidden="1" x14ac:dyDescent="0.35">
      <c r="E3801" s="81"/>
      <c r="I3801" s="83" t="e">
        <f>VLOOKUP(E3801,[1]Mapping!$A$3:$B$14,2,FALSE)</f>
        <v>#N/A</v>
      </c>
      <c r="J3801" s="84">
        <f t="shared" si="120"/>
        <v>0</v>
      </c>
      <c r="K3801" s="84">
        <f t="shared" si="121"/>
        <v>0</v>
      </c>
      <c r="L3801" s="61" t="e">
        <f>VLOOKUP(K3801,[1]Mapping!$J$3:$Q$351,8,FALSE)</f>
        <v>#N/A</v>
      </c>
      <c r="M3801" t="s">
        <v>83</v>
      </c>
    </row>
    <row r="3802" spans="5:13" hidden="1" x14ac:dyDescent="0.35">
      <c r="E3802" s="81"/>
      <c r="I3802" s="83" t="e">
        <f>VLOOKUP(E3802,[1]Mapping!$A$3:$B$14,2,FALSE)</f>
        <v>#N/A</v>
      </c>
      <c r="J3802" s="84">
        <f t="shared" si="120"/>
        <v>0</v>
      </c>
      <c r="K3802" s="84">
        <f t="shared" si="121"/>
        <v>0</v>
      </c>
      <c r="L3802" s="61" t="e">
        <f>VLOOKUP(K3802,[1]Mapping!$J$3:$Q$351,8,FALSE)</f>
        <v>#N/A</v>
      </c>
      <c r="M3802" t="s">
        <v>83</v>
      </c>
    </row>
    <row r="3803" spans="5:13" hidden="1" x14ac:dyDescent="0.35">
      <c r="E3803" s="81"/>
      <c r="I3803" s="83" t="e">
        <f>VLOOKUP(E3803,[1]Mapping!$A$3:$B$14,2,FALSE)</f>
        <v>#N/A</v>
      </c>
      <c r="J3803" s="84">
        <f t="shared" si="120"/>
        <v>0</v>
      </c>
      <c r="K3803" s="84">
        <f t="shared" si="121"/>
        <v>0</v>
      </c>
      <c r="L3803" s="61" t="e">
        <f>VLOOKUP(K3803,[1]Mapping!$J$3:$Q$351,8,FALSE)</f>
        <v>#N/A</v>
      </c>
      <c r="M3803" t="s">
        <v>83</v>
      </c>
    </row>
    <row r="3804" spans="5:13" hidden="1" x14ac:dyDescent="0.35">
      <c r="E3804" s="81"/>
      <c r="I3804" s="83" t="e">
        <f>VLOOKUP(E3804,[1]Mapping!$A$3:$B$14,2,FALSE)</f>
        <v>#N/A</v>
      </c>
      <c r="J3804" s="84">
        <f t="shared" si="120"/>
        <v>0</v>
      </c>
      <c r="K3804" s="84">
        <f t="shared" si="121"/>
        <v>0</v>
      </c>
      <c r="L3804" s="61" t="e">
        <f>VLOOKUP(K3804,[1]Mapping!$J$3:$Q$351,8,FALSE)</f>
        <v>#N/A</v>
      </c>
      <c r="M3804" t="s">
        <v>83</v>
      </c>
    </row>
    <row r="3805" spans="5:13" hidden="1" x14ac:dyDescent="0.35">
      <c r="E3805" s="81"/>
      <c r="I3805" s="83" t="e">
        <f>VLOOKUP(E3805,[1]Mapping!$A$3:$B$14,2,FALSE)</f>
        <v>#N/A</v>
      </c>
      <c r="J3805" s="84">
        <f t="shared" si="120"/>
        <v>0</v>
      </c>
      <c r="K3805" s="84">
        <f t="shared" si="121"/>
        <v>0</v>
      </c>
      <c r="L3805" s="61" t="e">
        <f>VLOOKUP(K3805,[1]Mapping!$J$3:$Q$351,8,FALSE)</f>
        <v>#N/A</v>
      </c>
      <c r="M3805" t="s">
        <v>83</v>
      </c>
    </row>
    <row r="3806" spans="5:13" hidden="1" x14ac:dyDescent="0.35">
      <c r="E3806" s="81"/>
      <c r="I3806" s="83" t="e">
        <f>VLOOKUP(E3806,[1]Mapping!$A$3:$B$14,2,FALSE)</f>
        <v>#N/A</v>
      </c>
      <c r="J3806" s="84">
        <f t="shared" si="120"/>
        <v>0</v>
      </c>
      <c r="K3806" s="84">
        <f t="shared" si="121"/>
        <v>0</v>
      </c>
      <c r="L3806" s="61" t="e">
        <f>VLOOKUP(K3806,[1]Mapping!$J$3:$Q$351,8,FALSE)</f>
        <v>#N/A</v>
      </c>
      <c r="M3806" t="s">
        <v>83</v>
      </c>
    </row>
    <row r="3807" spans="5:13" hidden="1" x14ac:dyDescent="0.35">
      <c r="E3807" s="81"/>
      <c r="I3807" s="83" t="e">
        <f>VLOOKUP(E3807,[1]Mapping!$A$3:$B$14,2,FALSE)</f>
        <v>#N/A</v>
      </c>
      <c r="J3807" s="84">
        <f t="shared" si="120"/>
        <v>0</v>
      </c>
      <c r="K3807" s="84">
        <f t="shared" si="121"/>
        <v>0</v>
      </c>
      <c r="L3807" s="61" t="e">
        <f>VLOOKUP(K3807,[1]Mapping!$J$3:$Q$351,8,FALSE)</f>
        <v>#N/A</v>
      </c>
      <c r="M3807" t="s">
        <v>83</v>
      </c>
    </row>
    <row r="3808" spans="5:13" hidden="1" x14ac:dyDescent="0.35">
      <c r="E3808" s="81"/>
      <c r="I3808" s="83" t="e">
        <f>VLOOKUP(E3808,[1]Mapping!$A$3:$B$14,2,FALSE)</f>
        <v>#N/A</v>
      </c>
      <c r="J3808" s="84">
        <f t="shared" si="120"/>
        <v>0</v>
      </c>
      <c r="K3808" s="84">
        <f t="shared" si="121"/>
        <v>0</v>
      </c>
      <c r="L3808" s="61" t="e">
        <f>VLOOKUP(K3808,[1]Mapping!$J$3:$Q$351,8,FALSE)</f>
        <v>#N/A</v>
      </c>
      <c r="M3808" t="s">
        <v>83</v>
      </c>
    </row>
    <row r="3809" spans="5:13" hidden="1" x14ac:dyDescent="0.35">
      <c r="E3809" s="81"/>
      <c r="I3809" s="83" t="e">
        <f>VLOOKUP(E3809,[1]Mapping!$A$3:$B$14,2,FALSE)</f>
        <v>#N/A</v>
      </c>
      <c r="J3809" s="84">
        <f t="shared" si="120"/>
        <v>0</v>
      </c>
      <c r="K3809" s="84">
        <f t="shared" si="121"/>
        <v>0</v>
      </c>
      <c r="L3809" s="61" t="e">
        <f>VLOOKUP(K3809,[1]Mapping!$J$3:$Q$351,8,FALSE)</f>
        <v>#N/A</v>
      </c>
      <c r="M3809" t="s">
        <v>83</v>
      </c>
    </row>
    <row r="3810" spans="5:13" hidden="1" x14ac:dyDescent="0.35">
      <c r="E3810" s="81"/>
      <c r="I3810" s="83" t="e">
        <f>VLOOKUP(E3810,[1]Mapping!$A$3:$B$14,2,FALSE)</f>
        <v>#N/A</v>
      </c>
      <c r="J3810" s="84">
        <f t="shared" si="120"/>
        <v>0</v>
      </c>
      <c r="K3810" s="84">
        <f t="shared" si="121"/>
        <v>0</v>
      </c>
      <c r="L3810" s="61" t="e">
        <f>VLOOKUP(K3810,[1]Mapping!$J$3:$Q$351,8,FALSE)</f>
        <v>#N/A</v>
      </c>
      <c r="M3810" t="s">
        <v>83</v>
      </c>
    </row>
    <row r="3811" spans="5:13" hidden="1" x14ac:dyDescent="0.35">
      <c r="E3811" s="81"/>
      <c r="I3811" s="83" t="e">
        <f>VLOOKUP(E3811,[1]Mapping!$A$3:$B$14,2,FALSE)</f>
        <v>#N/A</v>
      </c>
      <c r="J3811" s="84">
        <f t="shared" si="120"/>
        <v>0</v>
      </c>
      <c r="K3811" s="84">
        <f t="shared" si="121"/>
        <v>0</v>
      </c>
      <c r="L3811" s="61" t="e">
        <f>VLOOKUP(K3811,[1]Mapping!$J$3:$Q$351,8,FALSE)</f>
        <v>#N/A</v>
      </c>
      <c r="M3811" t="s">
        <v>83</v>
      </c>
    </row>
    <row r="3812" spans="5:13" hidden="1" x14ac:dyDescent="0.35">
      <c r="E3812" s="81"/>
      <c r="I3812" s="83" t="e">
        <f>VLOOKUP(E3812,[1]Mapping!$A$3:$B$14,2,FALSE)</f>
        <v>#N/A</v>
      </c>
      <c r="J3812" s="84">
        <f t="shared" si="120"/>
        <v>0</v>
      </c>
      <c r="K3812" s="84">
        <f t="shared" si="121"/>
        <v>0</v>
      </c>
      <c r="L3812" s="61" t="e">
        <f>VLOOKUP(K3812,[1]Mapping!$J$3:$Q$351,8,FALSE)</f>
        <v>#N/A</v>
      </c>
      <c r="M3812" t="s">
        <v>83</v>
      </c>
    </row>
    <row r="3813" spans="5:13" hidden="1" x14ac:dyDescent="0.35">
      <c r="E3813" s="81"/>
      <c r="I3813" s="83" t="e">
        <f>VLOOKUP(E3813,[1]Mapping!$A$3:$B$14,2,FALSE)</f>
        <v>#N/A</v>
      </c>
      <c r="J3813" s="84">
        <f t="shared" si="120"/>
        <v>0</v>
      </c>
      <c r="K3813" s="84">
        <f t="shared" si="121"/>
        <v>0</v>
      </c>
      <c r="L3813" s="61" t="e">
        <f>VLOOKUP(K3813,[1]Mapping!$J$3:$Q$351,8,FALSE)</f>
        <v>#N/A</v>
      </c>
      <c r="M3813" t="s">
        <v>83</v>
      </c>
    </row>
    <row r="3814" spans="5:13" hidden="1" x14ac:dyDescent="0.35">
      <c r="E3814" s="81"/>
      <c r="I3814" s="83" t="e">
        <f>VLOOKUP(E3814,[1]Mapping!$A$3:$B$14,2,FALSE)</f>
        <v>#N/A</v>
      </c>
      <c r="J3814" s="84">
        <f t="shared" si="120"/>
        <v>0</v>
      </c>
      <c r="K3814" s="84">
        <f t="shared" si="121"/>
        <v>0</v>
      </c>
      <c r="L3814" s="61" t="e">
        <f>VLOOKUP(K3814,[1]Mapping!$J$3:$Q$351,8,FALSE)</f>
        <v>#N/A</v>
      </c>
      <c r="M3814" t="s">
        <v>83</v>
      </c>
    </row>
    <row r="3815" spans="5:13" hidden="1" x14ac:dyDescent="0.35">
      <c r="E3815" s="81"/>
      <c r="I3815" s="83" t="e">
        <f>VLOOKUP(E3815,[1]Mapping!$A$3:$B$14,2,FALSE)</f>
        <v>#N/A</v>
      </c>
      <c r="J3815" s="84">
        <f t="shared" si="120"/>
        <v>0</v>
      </c>
      <c r="K3815" s="84">
        <f t="shared" si="121"/>
        <v>0</v>
      </c>
      <c r="L3815" s="61" t="e">
        <f>VLOOKUP(K3815,[1]Mapping!$J$3:$Q$351,8,FALSE)</f>
        <v>#N/A</v>
      </c>
      <c r="M3815" t="s">
        <v>83</v>
      </c>
    </row>
    <row r="3816" spans="5:13" hidden="1" x14ac:dyDescent="0.35">
      <c r="E3816" s="81"/>
      <c r="I3816" s="83" t="e">
        <f>VLOOKUP(E3816,[1]Mapping!$A$3:$B$14,2,FALSE)</f>
        <v>#N/A</v>
      </c>
      <c r="J3816" s="84">
        <f t="shared" si="120"/>
        <v>0</v>
      </c>
      <c r="K3816" s="84">
        <f t="shared" si="121"/>
        <v>0</v>
      </c>
      <c r="L3816" s="61" t="e">
        <f>VLOOKUP(K3816,[1]Mapping!$J$3:$Q$351,8,FALSE)</f>
        <v>#N/A</v>
      </c>
      <c r="M3816" t="s">
        <v>83</v>
      </c>
    </row>
    <row r="3817" spans="5:13" hidden="1" x14ac:dyDescent="0.35">
      <c r="E3817" s="81"/>
      <c r="I3817" s="83" t="e">
        <f>VLOOKUP(E3817,[1]Mapping!$A$3:$B$14,2,FALSE)</f>
        <v>#N/A</v>
      </c>
      <c r="J3817" s="84">
        <f t="shared" si="120"/>
        <v>0</v>
      </c>
      <c r="K3817" s="84">
        <f t="shared" si="121"/>
        <v>0</v>
      </c>
      <c r="L3817" s="61" t="e">
        <f>VLOOKUP(K3817,[1]Mapping!$J$3:$Q$351,8,FALSE)</f>
        <v>#N/A</v>
      </c>
      <c r="M3817" t="s">
        <v>83</v>
      </c>
    </row>
    <row r="3818" spans="5:13" hidden="1" x14ac:dyDescent="0.35">
      <c r="E3818" s="81"/>
      <c r="I3818" s="83" t="e">
        <f>VLOOKUP(E3818,[1]Mapping!$A$3:$B$14,2,FALSE)</f>
        <v>#N/A</v>
      </c>
      <c r="J3818" s="84">
        <f t="shared" si="120"/>
        <v>0</v>
      </c>
      <c r="K3818" s="84">
        <f t="shared" si="121"/>
        <v>0</v>
      </c>
      <c r="L3818" s="61" t="e">
        <f>VLOOKUP(K3818,[1]Mapping!$J$3:$Q$351,8,FALSE)</f>
        <v>#N/A</v>
      </c>
      <c r="M3818" t="s">
        <v>83</v>
      </c>
    </row>
    <row r="3819" spans="5:13" hidden="1" x14ac:dyDescent="0.35">
      <c r="E3819" s="81"/>
      <c r="I3819" s="83" t="e">
        <f>VLOOKUP(E3819,[1]Mapping!$A$3:$B$14,2,FALSE)</f>
        <v>#N/A</v>
      </c>
      <c r="J3819" s="84">
        <f t="shared" si="120"/>
        <v>0</v>
      </c>
      <c r="K3819" s="84">
        <f t="shared" si="121"/>
        <v>0</v>
      </c>
      <c r="L3819" s="61" t="e">
        <f>VLOOKUP(K3819,[1]Mapping!$J$3:$Q$351,8,FALSE)</f>
        <v>#N/A</v>
      </c>
      <c r="M3819" t="s">
        <v>83</v>
      </c>
    </row>
    <row r="3820" spans="5:13" hidden="1" x14ac:dyDescent="0.35">
      <c r="E3820" s="81"/>
      <c r="I3820" s="83" t="e">
        <f>VLOOKUP(E3820,[1]Mapping!$A$3:$B$14,2,FALSE)</f>
        <v>#N/A</v>
      </c>
      <c r="J3820" s="84">
        <f t="shared" si="120"/>
        <v>0</v>
      </c>
      <c r="K3820" s="84">
        <f t="shared" si="121"/>
        <v>0</v>
      </c>
      <c r="L3820" s="61" t="e">
        <f>VLOOKUP(K3820,[1]Mapping!$J$3:$Q$351,8,FALSE)</f>
        <v>#N/A</v>
      </c>
      <c r="M3820" t="s">
        <v>83</v>
      </c>
    </row>
    <row r="3821" spans="5:13" hidden="1" x14ac:dyDescent="0.35">
      <c r="E3821" s="81"/>
      <c r="I3821" s="83" t="e">
        <f>VLOOKUP(E3821,[1]Mapping!$A$3:$B$14,2,FALSE)</f>
        <v>#N/A</v>
      </c>
      <c r="J3821" s="84">
        <f t="shared" si="120"/>
        <v>0</v>
      </c>
      <c r="K3821" s="84">
        <f t="shared" si="121"/>
        <v>0</v>
      </c>
      <c r="L3821" s="61" t="e">
        <f>VLOOKUP(K3821,[1]Mapping!$J$3:$Q$351,8,FALSE)</f>
        <v>#N/A</v>
      </c>
      <c r="M3821" t="s">
        <v>83</v>
      </c>
    </row>
    <row r="3822" spans="5:13" hidden="1" x14ac:dyDescent="0.35">
      <c r="E3822" s="81"/>
      <c r="I3822" s="83" t="e">
        <f>VLOOKUP(E3822,[1]Mapping!$A$3:$B$14,2,FALSE)</f>
        <v>#N/A</v>
      </c>
      <c r="J3822" s="84">
        <f t="shared" si="120"/>
        <v>0</v>
      </c>
      <c r="K3822" s="84">
        <f t="shared" si="121"/>
        <v>0</v>
      </c>
      <c r="L3822" s="61" t="e">
        <f>VLOOKUP(K3822,[1]Mapping!$J$3:$Q$351,8,FALSE)</f>
        <v>#N/A</v>
      </c>
      <c r="M3822" t="s">
        <v>83</v>
      </c>
    </row>
    <row r="3823" spans="5:13" hidden="1" x14ac:dyDescent="0.35">
      <c r="E3823" s="81"/>
      <c r="I3823" s="83" t="e">
        <f>VLOOKUP(E3823,[1]Mapping!$A$3:$B$14,2,FALSE)</f>
        <v>#N/A</v>
      </c>
      <c r="J3823" s="84">
        <f t="shared" si="120"/>
        <v>0</v>
      </c>
      <c r="K3823" s="84">
        <f t="shared" si="121"/>
        <v>0</v>
      </c>
      <c r="L3823" s="61" t="e">
        <f>VLOOKUP(K3823,[1]Mapping!$J$3:$Q$351,8,FALSE)</f>
        <v>#N/A</v>
      </c>
      <c r="M3823" t="s">
        <v>83</v>
      </c>
    </row>
    <row r="3824" spans="5:13" hidden="1" x14ac:dyDescent="0.35">
      <c r="E3824" s="81"/>
      <c r="I3824" s="83" t="e">
        <f>VLOOKUP(E3824,[1]Mapping!$A$3:$B$14,2,FALSE)</f>
        <v>#N/A</v>
      </c>
      <c r="J3824" s="84">
        <f t="shared" si="120"/>
        <v>0</v>
      </c>
      <c r="K3824" s="84">
        <f t="shared" si="121"/>
        <v>0</v>
      </c>
      <c r="L3824" s="61" t="e">
        <f>VLOOKUP(K3824,[1]Mapping!$J$3:$Q$351,8,FALSE)</f>
        <v>#N/A</v>
      </c>
      <c r="M3824" t="s">
        <v>83</v>
      </c>
    </row>
    <row r="3825" spans="5:13" hidden="1" x14ac:dyDescent="0.35">
      <c r="E3825" s="81"/>
      <c r="I3825" s="83" t="e">
        <f>VLOOKUP(E3825,[1]Mapping!$A$3:$B$14,2,FALSE)</f>
        <v>#N/A</v>
      </c>
      <c r="J3825" s="84">
        <f t="shared" si="120"/>
        <v>0</v>
      </c>
      <c r="K3825" s="84">
        <f t="shared" si="121"/>
        <v>0</v>
      </c>
      <c r="L3825" s="61" t="e">
        <f>VLOOKUP(K3825,[1]Mapping!$J$3:$Q$351,8,FALSE)</f>
        <v>#N/A</v>
      </c>
      <c r="M3825" t="s">
        <v>83</v>
      </c>
    </row>
    <row r="3826" spans="5:13" hidden="1" x14ac:dyDescent="0.35">
      <c r="E3826" s="81"/>
      <c r="I3826" s="83" t="e">
        <f>VLOOKUP(E3826,[1]Mapping!$A$3:$B$14,2,FALSE)</f>
        <v>#N/A</v>
      </c>
      <c r="J3826" s="84">
        <f t="shared" si="120"/>
        <v>0</v>
      </c>
      <c r="K3826" s="84">
        <f t="shared" si="121"/>
        <v>0</v>
      </c>
      <c r="L3826" s="61" t="e">
        <f>VLOOKUP(K3826,[1]Mapping!$J$3:$Q$351,8,FALSE)</f>
        <v>#N/A</v>
      </c>
      <c r="M3826" t="s">
        <v>83</v>
      </c>
    </row>
    <row r="3827" spans="5:13" hidden="1" x14ac:dyDescent="0.35">
      <c r="E3827" s="81"/>
      <c r="I3827" s="83" t="e">
        <f>VLOOKUP(E3827,[1]Mapping!$A$3:$B$14,2,FALSE)</f>
        <v>#N/A</v>
      </c>
      <c r="J3827" s="84">
        <f t="shared" si="120"/>
        <v>0</v>
      </c>
      <c r="K3827" s="84">
        <f t="shared" si="121"/>
        <v>0</v>
      </c>
      <c r="L3827" s="61" t="e">
        <f>VLOOKUP(K3827,[1]Mapping!$J$3:$Q$351,8,FALSE)</f>
        <v>#N/A</v>
      </c>
      <c r="M3827" t="s">
        <v>83</v>
      </c>
    </row>
    <row r="3828" spans="5:13" hidden="1" x14ac:dyDescent="0.35">
      <c r="E3828" s="81"/>
      <c r="I3828" s="83" t="e">
        <f>VLOOKUP(E3828,[1]Mapping!$A$3:$B$14,2,FALSE)</f>
        <v>#N/A</v>
      </c>
      <c r="J3828" s="84">
        <f t="shared" si="120"/>
        <v>0</v>
      </c>
      <c r="K3828" s="84">
        <f t="shared" si="121"/>
        <v>0</v>
      </c>
      <c r="L3828" s="61" t="e">
        <f>VLOOKUP(K3828,[1]Mapping!$J$3:$Q$351,8,FALSE)</f>
        <v>#N/A</v>
      </c>
      <c r="M3828" t="s">
        <v>83</v>
      </c>
    </row>
    <row r="3829" spans="5:13" hidden="1" x14ac:dyDescent="0.35">
      <c r="E3829" s="81"/>
      <c r="I3829" s="83" t="e">
        <f>VLOOKUP(E3829,[1]Mapping!$A$3:$B$14,2,FALSE)</f>
        <v>#N/A</v>
      </c>
      <c r="J3829" s="84">
        <f t="shared" si="120"/>
        <v>0</v>
      </c>
      <c r="K3829" s="84">
        <f t="shared" si="121"/>
        <v>0</v>
      </c>
      <c r="L3829" s="61" t="e">
        <f>VLOOKUP(K3829,[1]Mapping!$J$3:$Q$351,8,FALSE)</f>
        <v>#N/A</v>
      </c>
      <c r="M3829" t="s">
        <v>83</v>
      </c>
    </row>
    <row r="3830" spans="5:13" hidden="1" x14ac:dyDescent="0.35">
      <c r="E3830" s="81"/>
      <c r="I3830" s="83" t="e">
        <f>VLOOKUP(E3830,[1]Mapping!$A$3:$B$14,2,FALSE)</f>
        <v>#N/A</v>
      </c>
      <c r="J3830" s="84">
        <f t="shared" si="120"/>
        <v>0</v>
      </c>
      <c r="K3830" s="84">
        <f t="shared" si="121"/>
        <v>0</v>
      </c>
      <c r="L3830" s="61" t="e">
        <f>VLOOKUP(K3830,[1]Mapping!$J$3:$Q$351,8,FALSE)</f>
        <v>#N/A</v>
      </c>
      <c r="M3830" t="s">
        <v>83</v>
      </c>
    </row>
    <row r="3831" spans="5:13" hidden="1" x14ac:dyDescent="0.35">
      <c r="E3831" s="81"/>
      <c r="I3831" s="83" t="e">
        <f>VLOOKUP(E3831,[1]Mapping!$A$3:$B$14,2,FALSE)</f>
        <v>#N/A</v>
      </c>
      <c r="J3831" s="84">
        <f t="shared" si="120"/>
        <v>0</v>
      </c>
      <c r="K3831" s="84">
        <f t="shared" si="121"/>
        <v>0</v>
      </c>
      <c r="L3831" s="61" t="e">
        <f>VLOOKUP(K3831,[1]Mapping!$J$3:$Q$351,8,FALSE)</f>
        <v>#N/A</v>
      </c>
      <c r="M3831" t="s">
        <v>83</v>
      </c>
    </row>
    <row r="3832" spans="5:13" hidden="1" x14ac:dyDescent="0.35">
      <c r="E3832" s="81"/>
      <c r="I3832" s="83" t="e">
        <f>VLOOKUP(E3832,[1]Mapping!$A$3:$B$14,2,FALSE)</f>
        <v>#N/A</v>
      </c>
      <c r="J3832" s="84">
        <f t="shared" si="120"/>
        <v>0</v>
      </c>
      <c r="K3832" s="84">
        <f t="shared" si="121"/>
        <v>0</v>
      </c>
      <c r="L3832" s="61" t="e">
        <f>VLOOKUP(K3832,[1]Mapping!$J$3:$Q$351,8,FALSE)</f>
        <v>#N/A</v>
      </c>
      <c r="M3832" t="s">
        <v>83</v>
      </c>
    </row>
    <row r="3833" spans="5:13" hidden="1" x14ac:dyDescent="0.35">
      <c r="E3833" s="81"/>
      <c r="I3833" s="83" t="e">
        <f>VLOOKUP(E3833,[1]Mapping!$A$3:$B$14,2,FALSE)</f>
        <v>#N/A</v>
      </c>
      <c r="J3833" s="84">
        <f t="shared" si="120"/>
        <v>0</v>
      </c>
      <c r="K3833" s="84">
        <f t="shared" si="121"/>
        <v>0</v>
      </c>
      <c r="L3833" s="61" t="e">
        <f>VLOOKUP(K3833,[1]Mapping!$J$3:$Q$351,8,FALSE)</f>
        <v>#N/A</v>
      </c>
      <c r="M3833" t="s">
        <v>83</v>
      </c>
    </row>
    <row r="3834" spans="5:13" hidden="1" x14ac:dyDescent="0.35">
      <c r="E3834" s="81"/>
      <c r="I3834" s="83" t="e">
        <f>VLOOKUP(E3834,[1]Mapping!$A$3:$B$14,2,FALSE)</f>
        <v>#N/A</v>
      </c>
      <c r="J3834" s="84">
        <f t="shared" si="120"/>
        <v>0</v>
      </c>
      <c r="K3834" s="84">
        <f t="shared" si="121"/>
        <v>0</v>
      </c>
      <c r="L3834" s="61" t="e">
        <f>VLOOKUP(K3834,[1]Mapping!$J$3:$Q$351,8,FALSE)</f>
        <v>#N/A</v>
      </c>
      <c r="M3834" t="s">
        <v>83</v>
      </c>
    </row>
    <row r="3835" spans="5:13" hidden="1" x14ac:dyDescent="0.35">
      <c r="E3835" s="81"/>
      <c r="I3835" s="83" t="e">
        <f>VLOOKUP(E3835,[1]Mapping!$A$3:$B$14,2,FALSE)</f>
        <v>#N/A</v>
      </c>
      <c r="J3835" s="84">
        <f t="shared" si="120"/>
        <v>0</v>
      </c>
      <c r="K3835" s="84">
        <f t="shared" si="121"/>
        <v>0</v>
      </c>
      <c r="L3835" s="61" t="e">
        <f>VLOOKUP(K3835,[1]Mapping!$J$3:$Q$351,8,FALSE)</f>
        <v>#N/A</v>
      </c>
      <c r="M3835" t="s">
        <v>83</v>
      </c>
    </row>
    <row r="3836" spans="5:13" hidden="1" x14ac:dyDescent="0.35">
      <c r="E3836" s="81"/>
      <c r="I3836" s="83" t="e">
        <f>VLOOKUP(E3836,[1]Mapping!$A$3:$B$14,2,FALSE)</f>
        <v>#N/A</v>
      </c>
      <c r="J3836" s="84">
        <f t="shared" si="120"/>
        <v>0</v>
      </c>
      <c r="K3836" s="84">
        <f t="shared" si="121"/>
        <v>0</v>
      </c>
      <c r="L3836" s="61" t="e">
        <f>VLOOKUP(K3836,[1]Mapping!$J$3:$Q$351,8,FALSE)</f>
        <v>#N/A</v>
      </c>
      <c r="M3836" t="s">
        <v>83</v>
      </c>
    </row>
    <row r="3837" spans="5:13" hidden="1" x14ac:dyDescent="0.35">
      <c r="E3837" s="81"/>
      <c r="I3837" s="83" t="e">
        <f>VLOOKUP(E3837,[1]Mapping!$A$3:$B$14,2,FALSE)</f>
        <v>#N/A</v>
      </c>
      <c r="J3837" s="84">
        <f t="shared" si="120"/>
        <v>0</v>
      </c>
      <c r="K3837" s="84">
        <f t="shared" si="121"/>
        <v>0</v>
      </c>
      <c r="L3837" s="61" t="e">
        <f>VLOOKUP(K3837,[1]Mapping!$J$3:$Q$351,8,FALSE)</f>
        <v>#N/A</v>
      </c>
      <c r="M3837" t="s">
        <v>83</v>
      </c>
    </row>
    <row r="3838" spans="5:13" hidden="1" x14ac:dyDescent="0.35">
      <c r="E3838" s="81"/>
      <c r="I3838" s="83" t="e">
        <f>VLOOKUP(E3838,[1]Mapping!$A$3:$B$14,2,FALSE)</f>
        <v>#N/A</v>
      </c>
      <c r="J3838" s="84">
        <f t="shared" si="120"/>
        <v>0</v>
      </c>
      <c r="K3838" s="84">
        <f t="shared" si="121"/>
        <v>0</v>
      </c>
      <c r="L3838" s="61" t="e">
        <f>VLOOKUP(K3838,[1]Mapping!$J$3:$Q$351,8,FALSE)</f>
        <v>#N/A</v>
      </c>
      <c r="M3838" t="s">
        <v>83</v>
      </c>
    </row>
    <row r="3839" spans="5:13" hidden="1" x14ac:dyDescent="0.35">
      <c r="E3839" s="81"/>
      <c r="I3839" s="83" t="e">
        <f>VLOOKUP(E3839,[1]Mapping!$A$3:$B$14,2,FALSE)</f>
        <v>#N/A</v>
      </c>
      <c r="J3839" s="84">
        <f t="shared" si="120"/>
        <v>0</v>
      </c>
      <c r="K3839" s="84">
        <f t="shared" si="121"/>
        <v>0</v>
      </c>
      <c r="L3839" s="61" t="e">
        <f>VLOOKUP(K3839,[1]Mapping!$J$3:$Q$351,8,FALSE)</f>
        <v>#N/A</v>
      </c>
      <c r="M3839" t="s">
        <v>83</v>
      </c>
    </row>
    <row r="3840" spans="5:13" hidden="1" x14ac:dyDescent="0.35">
      <c r="E3840" s="81"/>
      <c r="I3840" s="83" t="e">
        <f>VLOOKUP(E3840,[1]Mapping!$A$3:$B$14,2,FALSE)</f>
        <v>#N/A</v>
      </c>
      <c r="J3840" s="84">
        <f t="shared" si="120"/>
        <v>0</v>
      </c>
      <c r="K3840" s="84">
        <f t="shared" si="121"/>
        <v>0</v>
      </c>
      <c r="L3840" s="61" t="e">
        <f>VLOOKUP(K3840,[1]Mapping!$J$3:$Q$351,8,FALSE)</f>
        <v>#N/A</v>
      </c>
      <c r="M3840" t="s">
        <v>83</v>
      </c>
    </row>
    <row r="3841" spans="5:13" hidden="1" x14ac:dyDescent="0.35">
      <c r="E3841" s="81"/>
      <c r="I3841" s="83" t="e">
        <f>VLOOKUP(E3841,[1]Mapping!$A$3:$B$14,2,FALSE)</f>
        <v>#N/A</v>
      </c>
      <c r="J3841" s="84">
        <f t="shared" si="120"/>
        <v>0</v>
      </c>
      <c r="K3841" s="84">
        <f t="shared" si="121"/>
        <v>0</v>
      </c>
      <c r="L3841" s="61" t="e">
        <f>VLOOKUP(K3841,[1]Mapping!$J$3:$Q$351,8,FALSE)</f>
        <v>#N/A</v>
      </c>
      <c r="M3841" t="s">
        <v>83</v>
      </c>
    </row>
    <row r="3842" spans="5:13" hidden="1" x14ac:dyDescent="0.35">
      <c r="E3842" s="81"/>
      <c r="I3842" s="83" t="e">
        <f>VLOOKUP(E3842,[1]Mapping!$A$3:$B$14,2,FALSE)</f>
        <v>#N/A</v>
      </c>
      <c r="J3842" s="84">
        <f t="shared" si="120"/>
        <v>0</v>
      </c>
      <c r="K3842" s="84">
        <f t="shared" si="121"/>
        <v>0</v>
      </c>
      <c r="L3842" s="61" t="e">
        <f>VLOOKUP(K3842,[1]Mapping!$J$3:$Q$351,8,FALSE)</f>
        <v>#N/A</v>
      </c>
      <c r="M3842" t="s">
        <v>83</v>
      </c>
    </row>
    <row r="3843" spans="5:13" hidden="1" x14ac:dyDescent="0.35">
      <c r="E3843" s="81"/>
      <c r="I3843" s="83" t="e">
        <f>VLOOKUP(E3843,[1]Mapping!$A$3:$B$14,2,FALSE)</f>
        <v>#N/A</v>
      </c>
      <c r="J3843" s="84">
        <f t="shared" si="120"/>
        <v>0</v>
      </c>
      <c r="K3843" s="84">
        <f t="shared" si="121"/>
        <v>0</v>
      </c>
      <c r="L3843" s="61" t="e">
        <f>VLOOKUP(K3843,[1]Mapping!$J$3:$Q$351,8,FALSE)</f>
        <v>#N/A</v>
      </c>
      <c r="M3843" t="s">
        <v>83</v>
      </c>
    </row>
    <row r="3844" spans="5:13" hidden="1" x14ac:dyDescent="0.35">
      <c r="E3844" s="81"/>
      <c r="I3844" s="83" t="e">
        <f>VLOOKUP(E3844,[1]Mapping!$A$3:$B$14,2,FALSE)</f>
        <v>#N/A</v>
      </c>
      <c r="J3844" s="84">
        <f t="shared" ref="J3844:J3907" si="122">VALUE(A3844)</f>
        <v>0</v>
      </c>
      <c r="K3844" s="84">
        <f t="shared" ref="K3844:K3907" si="123">VALUE(C3844)</f>
        <v>0</v>
      </c>
      <c r="L3844" s="61" t="e">
        <f>VLOOKUP(K3844,[1]Mapping!$J$3:$Q$351,8,FALSE)</f>
        <v>#N/A</v>
      </c>
      <c r="M3844" t="s">
        <v>83</v>
      </c>
    </row>
    <row r="3845" spans="5:13" hidden="1" x14ac:dyDescent="0.35">
      <c r="E3845" s="81"/>
      <c r="I3845" s="83" t="e">
        <f>VLOOKUP(E3845,[1]Mapping!$A$3:$B$14,2,FALSE)</f>
        <v>#N/A</v>
      </c>
      <c r="J3845" s="84">
        <f t="shared" si="122"/>
        <v>0</v>
      </c>
      <c r="K3845" s="84">
        <f t="shared" si="123"/>
        <v>0</v>
      </c>
      <c r="L3845" s="61" t="e">
        <f>VLOOKUP(K3845,[1]Mapping!$J$3:$Q$351,8,FALSE)</f>
        <v>#N/A</v>
      </c>
      <c r="M3845" t="s">
        <v>83</v>
      </c>
    </row>
    <row r="3846" spans="5:13" hidden="1" x14ac:dyDescent="0.35">
      <c r="E3846" s="81"/>
      <c r="I3846" s="83" t="e">
        <f>VLOOKUP(E3846,[1]Mapping!$A$3:$B$14,2,FALSE)</f>
        <v>#N/A</v>
      </c>
      <c r="J3846" s="84">
        <f t="shared" si="122"/>
        <v>0</v>
      </c>
      <c r="K3846" s="84">
        <f t="shared" si="123"/>
        <v>0</v>
      </c>
      <c r="L3846" s="61" t="e">
        <f>VLOOKUP(K3846,[1]Mapping!$J$3:$Q$351,8,FALSE)</f>
        <v>#N/A</v>
      </c>
      <c r="M3846" t="s">
        <v>83</v>
      </c>
    </row>
    <row r="3847" spans="5:13" hidden="1" x14ac:dyDescent="0.35">
      <c r="E3847" s="81"/>
      <c r="I3847" s="83" t="e">
        <f>VLOOKUP(E3847,[1]Mapping!$A$3:$B$14,2,FALSE)</f>
        <v>#N/A</v>
      </c>
      <c r="J3847" s="84">
        <f t="shared" si="122"/>
        <v>0</v>
      </c>
      <c r="K3847" s="84">
        <f t="shared" si="123"/>
        <v>0</v>
      </c>
      <c r="L3847" s="61" t="e">
        <f>VLOOKUP(K3847,[1]Mapping!$J$3:$Q$351,8,FALSE)</f>
        <v>#N/A</v>
      </c>
      <c r="M3847" t="s">
        <v>83</v>
      </c>
    </row>
    <row r="3848" spans="5:13" hidden="1" x14ac:dyDescent="0.35">
      <c r="E3848" s="81"/>
      <c r="I3848" s="83" t="e">
        <f>VLOOKUP(E3848,[1]Mapping!$A$3:$B$14,2,FALSE)</f>
        <v>#N/A</v>
      </c>
      <c r="J3848" s="84">
        <f t="shared" si="122"/>
        <v>0</v>
      </c>
      <c r="K3848" s="84">
        <f t="shared" si="123"/>
        <v>0</v>
      </c>
      <c r="L3848" s="61" t="e">
        <f>VLOOKUP(K3848,[1]Mapping!$J$3:$Q$351,8,FALSE)</f>
        <v>#N/A</v>
      </c>
      <c r="M3848" t="s">
        <v>83</v>
      </c>
    </row>
    <row r="3849" spans="5:13" hidden="1" x14ac:dyDescent="0.35">
      <c r="E3849" s="81"/>
      <c r="I3849" s="83" t="e">
        <f>VLOOKUP(E3849,[1]Mapping!$A$3:$B$14,2,FALSE)</f>
        <v>#N/A</v>
      </c>
      <c r="J3849" s="84">
        <f t="shared" si="122"/>
        <v>0</v>
      </c>
      <c r="K3849" s="84">
        <f t="shared" si="123"/>
        <v>0</v>
      </c>
      <c r="L3849" s="61" t="e">
        <f>VLOOKUP(K3849,[1]Mapping!$J$3:$Q$351,8,FALSE)</f>
        <v>#N/A</v>
      </c>
      <c r="M3849" t="s">
        <v>83</v>
      </c>
    </row>
    <row r="3850" spans="5:13" hidden="1" x14ac:dyDescent="0.35">
      <c r="E3850" s="81"/>
      <c r="I3850" s="83" t="e">
        <f>VLOOKUP(E3850,[1]Mapping!$A$3:$B$14,2,FALSE)</f>
        <v>#N/A</v>
      </c>
      <c r="J3850" s="84">
        <f t="shared" si="122"/>
        <v>0</v>
      </c>
      <c r="K3850" s="84">
        <f t="shared" si="123"/>
        <v>0</v>
      </c>
      <c r="L3850" s="61" t="e">
        <f>VLOOKUP(K3850,[1]Mapping!$J$3:$Q$351,8,FALSE)</f>
        <v>#N/A</v>
      </c>
      <c r="M3850" t="s">
        <v>83</v>
      </c>
    </row>
    <row r="3851" spans="5:13" hidden="1" x14ac:dyDescent="0.35">
      <c r="E3851" s="81"/>
      <c r="I3851" s="83" t="e">
        <f>VLOOKUP(E3851,[1]Mapping!$A$3:$B$14,2,FALSE)</f>
        <v>#N/A</v>
      </c>
      <c r="J3851" s="84">
        <f t="shared" si="122"/>
        <v>0</v>
      </c>
      <c r="K3851" s="84">
        <f t="shared" si="123"/>
        <v>0</v>
      </c>
      <c r="L3851" s="61" t="e">
        <f>VLOOKUP(K3851,[1]Mapping!$J$3:$Q$351,8,FALSE)</f>
        <v>#N/A</v>
      </c>
      <c r="M3851" t="s">
        <v>83</v>
      </c>
    </row>
    <row r="3852" spans="5:13" hidden="1" x14ac:dyDescent="0.35">
      <c r="E3852" s="81"/>
      <c r="I3852" s="83" t="e">
        <f>VLOOKUP(E3852,[1]Mapping!$A$3:$B$14,2,FALSE)</f>
        <v>#N/A</v>
      </c>
      <c r="J3852" s="84">
        <f t="shared" si="122"/>
        <v>0</v>
      </c>
      <c r="K3852" s="84">
        <f t="shared" si="123"/>
        <v>0</v>
      </c>
      <c r="L3852" s="61" t="e">
        <f>VLOOKUP(K3852,[1]Mapping!$J$3:$Q$351,8,FALSE)</f>
        <v>#N/A</v>
      </c>
      <c r="M3852" t="s">
        <v>83</v>
      </c>
    </row>
    <row r="3853" spans="5:13" hidden="1" x14ac:dyDescent="0.35">
      <c r="E3853" s="81"/>
      <c r="I3853" s="83" t="e">
        <f>VLOOKUP(E3853,[1]Mapping!$A$3:$B$14,2,FALSE)</f>
        <v>#N/A</v>
      </c>
      <c r="J3853" s="84">
        <f t="shared" si="122"/>
        <v>0</v>
      </c>
      <c r="K3853" s="84">
        <f t="shared" si="123"/>
        <v>0</v>
      </c>
      <c r="L3853" s="61" t="e">
        <f>VLOOKUP(K3853,[1]Mapping!$J$3:$Q$351,8,FALSE)</f>
        <v>#N/A</v>
      </c>
      <c r="M3853" t="s">
        <v>83</v>
      </c>
    </row>
    <row r="3854" spans="5:13" hidden="1" x14ac:dyDescent="0.35">
      <c r="E3854" s="81"/>
      <c r="I3854" s="83" t="e">
        <f>VLOOKUP(E3854,[1]Mapping!$A$3:$B$14,2,FALSE)</f>
        <v>#N/A</v>
      </c>
      <c r="J3854" s="84">
        <f t="shared" si="122"/>
        <v>0</v>
      </c>
      <c r="K3854" s="84">
        <f t="shared" si="123"/>
        <v>0</v>
      </c>
      <c r="L3854" s="61" t="e">
        <f>VLOOKUP(K3854,[1]Mapping!$J$3:$Q$351,8,FALSE)</f>
        <v>#N/A</v>
      </c>
      <c r="M3854" t="s">
        <v>83</v>
      </c>
    </row>
    <row r="3855" spans="5:13" hidden="1" x14ac:dyDescent="0.35">
      <c r="E3855" s="81"/>
      <c r="I3855" s="83" t="e">
        <f>VLOOKUP(E3855,[1]Mapping!$A$3:$B$14,2,FALSE)</f>
        <v>#N/A</v>
      </c>
      <c r="J3855" s="84">
        <f t="shared" si="122"/>
        <v>0</v>
      </c>
      <c r="K3855" s="84">
        <f t="shared" si="123"/>
        <v>0</v>
      </c>
      <c r="L3855" s="61" t="e">
        <f>VLOOKUP(K3855,[1]Mapping!$J$3:$Q$351,8,FALSE)</f>
        <v>#N/A</v>
      </c>
      <c r="M3855" t="s">
        <v>83</v>
      </c>
    </row>
    <row r="3856" spans="5:13" hidden="1" x14ac:dyDescent="0.35">
      <c r="E3856" s="81"/>
      <c r="I3856" s="83" t="e">
        <f>VLOOKUP(E3856,[1]Mapping!$A$3:$B$14,2,FALSE)</f>
        <v>#N/A</v>
      </c>
      <c r="J3856" s="84">
        <f t="shared" si="122"/>
        <v>0</v>
      </c>
      <c r="K3856" s="84">
        <f t="shared" si="123"/>
        <v>0</v>
      </c>
      <c r="L3856" s="61" t="e">
        <f>VLOOKUP(K3856,[1]Mapping!$J$3:$Q$351,8,FALSE)</f>
        <v>#N/A</v>
      </c>
      <c r="M3856" t="s">
        <v>83</v>
      </c>
    </row>
    <row r="3857" spans="5:13" hidden="1" x14ac:dyDescent="0.35">
      <c r="E3857" s="81"/>
      <c r="I3857" s="83" t="e">
        <f>VLOOKUP(E3857,[1]Mapping!$A$3:$B$14,2,FALSE)</f>
        <v>#N/A</v>
      </c>
      <c r="J3857" s="84">
        <f t="shared" si="122"/>
        <v>0</v>
      </c>
      <c r="K3857" s="84">
        <f t="shared" si="123"/>
        <v>0</v>
      </c>
      <c r="L3857" s="61" t="e">
        <f>VLOOKUP(K3857,[1]Mapping!$J$3:$Q$351,8,FALSE)</f>
        <v>#N/A</v>
      </c>
      <c r="M3857" t="s">
        <v>83</v>
      </c>
    </row>
    <row r="3858" spans="5:13" hidden="1" x14ac:dyDescent="0.35">
      <c r="E3858" s="81"/>
      <c r="I3858" s="83" t="e">
        <f>VLOOKUP(E3858,[1]Mapping!$A$3:$B$14,2,FALSE)</f>
        <v>#N/A</v>
      </c>
      <c r="J3858" s="84">
        <f t="shared" si="122"/>
        <v>0</v>
      </c>
      <c r="K3858" s="84">
        <f t="shared" si="123"/>
        <v>0</v>
      </c>
      <c r="L3858" s="61" t="e">
        <f>VLOOKUP(K3858,[1]Mapping!$J$3:$Q$351,8,FALSE)</f>
        <v>#N/A</v>
      </c>
      <c r="M3858" t="s">
        <v>83</v>
      </c>
    </row>
    <row r="3859" spans="5:13" hidden="1" x14ac:dyDescent="0.35">
      <c r="E3859" s="81"/>
      <c r="I3859" s="83" t="e">
        <f>VLOOKUP(E3859,[1]Mapping!$A$3:$B$14,2,FALSE)</f>
        <v>#N/A</v>
      </c>
      <c r="J3859" s="84">
        <f t="shared" si="122"/>
        <v>0</v>
      </c>
      <c r="K3859" s="84">
        <f t="shared" si="123"/>
        <v>0</v>
      </c>
      <c r="L3859" s="61" t="e">
        <f>VLOOKUP(K3859,[1]Mapping!$J$3:$Q$351,8,FALSE)</f>
        <v>#N/A</v>
      </c>
      <c r="M3859" t="s">
        <v>83</v>
      </c>
    </row>
    <row r="3860" spans="5:13" hidden="1" x14ac:dyDescent="0.35">
      <c r="E3860" s="81"/>
      <c r="I3860" s="83" t="e">
        <f>VLOOKUP(E3860,[1]Mapping!$A$3:$B$14,2,FALSE)</f>
        <v>#N/A</v>
      </c>
      <c r="J3860" s="84">
        <f t="shared" si="122"/>
        <v>0</v>
      </c>
      <c r="K3860" s="84">
        <f t="shared" si="123"/>
        <v>0</v>
      </c>
      <c r="L3860" s="61" t="e">
        <f>VLOOKUP(K3860,[1]Mapping!$J$3:$Q$351,8,FALSE)</f>
        <v>#N/A</v>
      </c>
      <c r="M3860" t="s">
        <v>83</v>
      </c>
    </row>
    <row r="3861" spans="5:13" hidden="1" x14ac:dyDescent="0.35">
      <c r="E3861" s="81"/>
      <c r="I3861" s="83" t="e">
        <f>VLOOKUP(E3861,[1]Mapping!$A$3:$B$14,2,FALSE)</f>
        <v>#N/A</v>
      </c>
      <c r="J3861" s="84">
        <f t="shared" si="122"/>
        <v>0</v>
      </c>
      <c r="K3861" s="84">
        <f t="shared" si="123"/>
        <v>0</v>
      </c>
      <c r="L3861" s="61" t="e">
        <f>VLOOKUP(K3861,[1]Mapping!$J$3:$Q$351,8,FALSE)</f>
        <v>#N/A</v>
      </c>
      <c r="M3861" t="s">
        <v>83</v>
      </c>
    </row>
    <row r="3862" spans="5:13" hidden="1" x14ac:dyDescent="0.35">
      <c r="E3862" s="81"/>
      <c r="I3862" s="83" t="e">
        <f>VLOOKUP(E3862,[1]Mapping!$A$3:$B$14,2,FALSE)</f>
        <v>#N/A</v>
      </c>
      <c r="J3862" s="84">
        <f t="shared" si="122"/>
        <v>0</v>
      </c>
      <c r="K3862" s="84">
        <f t="shared" si="123"/>
        <v>0</v>
      </c>
      <c r="L3862" s="61" t="e">
        <f>VLOOKUP(K3862,[1]Mapping!$J$3:$Q$351,8,FALSE)</f>
        <v>#N/A</v>
      </c>
      <c r="M3862" t="s">
        <v>83</v>
      </c>
    </row>
    <row r="3863" spans="5:13" hidden="1" x14ac:dyDescent="0.35">
      <c r="E3863" s="81"/>
      <c r="I3863" s="83" t="e">
        <f>VLOOKUP(E3863,[1]Mapping!$A$3:$B$14,2,FALSE)</f>
        <v>#N/A</v>
      </c>
      <c r="J3863" s="84">
        <f t="shared" si="122"/>
        <v>0</v>
      </c>
      <c r="K3863" s="84">
        <f t="shared" si="123"/>
        <v>0</v>
      </c>
      <c r="L3863" s="61" t="e">
        <f>VLOOKUP(K3863,[1]Mapping!$J$3:$Q$351,8,FALSE)</f>
        <v>#N/A</v>
      </c>
      <c r="M3863" t="s">
        <v>83</v>
      </c>
    </row>
    <row r="3864" spans="5:13" hidden="1" x14ac:dyDescent="0.35">
      <c r="E3864" s="81"/>
      <c r="I3864" s="83" t="e">
        <f>VLOOKUP(E3864,[1]Mapping!$A$3:$B$14,2,FALSE)</f>
        <v>#N/A</v>
      </c>
      <c r="J3864" s="84">
        <f t="shared" si="122"/>
        <v>0</v>
      </c>
      <c r="K3864" s="84">
        <f t="shared" si="123"/>
        <v>0</v>
      </c>
      <c r="L3864" s="61" t="e">
        <f>VLOOKUP(K3864,[1]Mapping!$J$3:$Q$351,8,FALSE)</f>
        <v>#N/A</v>
      </c>
      <c r="M3864" t="s">
        <v>83</v>
      </c>
    </row>
    <row r="3865" spans="5:13" hidden="1" x14ac:dyDescent="0.35">
      <c r="E3865" s="81"/>
      <c r="I3865" s="83" t="e">
        <f>VLOOKUP(E3865,[1]Mapping!$A$3:$B$14,2,FALSE)</f>
        <v>#N/A</v>
      </c>
      <c r="J3865" s="84">
        <f t="shared" si="122"/>
        <v>0</v>
      </c>
      <c r="K3865" s="84">
        <f t="shared" si="123"/>
        <v>0</v>
      </c>
      <c r="L3865" s="61" t="e">
        <f>VLOOKUP(K3865,[1]Mapping!$J$3:$Q$351,8,FALSE)</f>
        <v>#N/A</v>
      </c>
      <c r="M3865" t="s">
        <v>83</v>
      </c>
    </row>
    <row r="3866" spans="5:13" hidden="1" x14ac:dyDescent="0.35">
      <c r="E3866" s="81"/>
      <c r="I3866" s="83" t="e">
        <f>VLOOKUP(E3866,[1]Mapping!$A$3:$B$14,2,FALSE)</f>
        <v>#N/A</v>
      </c>
      <c r="J3866" s="84">
        <f t="shared" si="122"/>
        <v>0</v>
      </c>
      <c r="K3866" s="84">
        <f t="shared" si="123"/>
        <v>0</v>
      </c>
      <c r="L3866" s="61" t="e">
        <f>VLOOKUP(K3866,[1]Mapping!$J$3:$Q$351,8,FALSE)</f>
        <v>#N/A</v>
      </c>
      <c r="M3866" t="s">
        <v>83</v>
      </c>
    </row>
    <row r="3867" spans="5:13" hidden="1" x14ac:dyDescent="0.35">
      <c r="E3867" s="81"/>
      <c r="I3867" s="83" t="e">
        <f>VLOOKUP(E3867,[1]Mapping!$A$3:$B$14,2,FALSE)</f>
        <v>#N/A</v>
      </c>
      <c r="J3867" s="84">
        <f t="shared" si="122"/>
        <v>0</v>
      </c>
      <c r="K3867" s="84">
        <f t="shared" si="123"/>
        <v>0</v>
      </c>
      <c r="L3867" s="61" t="e">
        <f>VLOOKUP(K3867,[1]Mapping!$J$3:$Q$351,8,FALSE)</f>
        <v>#N/A</v>
      </c>
      <c r="M3867" t="s">
        <v>83</v>
      </c>
    </row>
    <row r="3868" spans="5:13" hidden="1" x14ac:dyDescent="0.35">
      <c r="E3868" s="81"/>
      <c r="I3868" s="83" t="e">
        <f>VLOOKUP(E3868,[1]Mapping!$A$3:$B$14,2,FALSE)</f>
        <v>#N/A</v>
      </c>
      <c r="J3868" s="84">
        <f t="shared" si="122"/>
        <v>0</v>
      </c>
      <c r="K3868" s="84">
        <f t="shared" si="123"/>
        <v>0</v>
      </c>
      <c r="L3868" s="61" t="e">
        <f>VLOOKUP(K3868,[1]Mapping!$J$3:$Q$351,8,FALSE)</f>
        <v>#N/A</v>
      </c>
      <c r="M3868" t="s">
        <v>83</v>
      </c>
    </row>
    <row r="3869" spans="5:13" hidden="1" x14ac:dyDescent="0.35">
      <c r="E3869" s="81"/>
      <c r="I3869" s="83" t="e">
        <f>VLOOKUP(E3869,[1]Mapping!$A$3:$B$14,2,FALSE)</f>
        <v>#N/A</v>
      </c>
      <c r="J3869" s="84">
        <f t="shared" si="122"/>
        <v>0</v>
      </c>
      <c r="K3869" s="84">
        <f t="shared" si="123"/>
        <v>0</v>
      </c>
      <c r="L3869" s="61" t="e">
        <f>VLOOKUP(K3869,[1]Mapping!$J$3:$Q$351,8,FALSE)</f>
        <v>#N/A</v>
      </c>
      <c r="M3869" t="s">
        <v>83</v>
      </c>
    </row>
    <row r="3870" spans="5:13" hidden="1" x14ac:dyDescent="0.35">
      <c r="E3870" s="81"/>
      <c r="I3870" s="83" t="e">
        <f>VLOOKUP(E3870,[1]Mapping!$A$3:$B$14,2,FALSE)</f>
        <v>#N/A</v>
      </c>
      <c r="J3870" s="84">
        <f t="shared" si="122"/>
        <v>0</v>
      </c>
      <c r="K3870" s="84">
        <f t="shared" si="123"/>
        <v>0</v>
      </c>
      <c r="L3870" s="61" t="e">
        <f>VLOOKUP(K3870,[1]Mapping!$J$3:$Q$351,8,FALSE)</f>
        <v>#N/A</v>
      </c>
      <c r="M3870" t="s">
        <v>83</v>
      </c>
    </row>
    <row r="3871" spans="5:13" hidden="1" x14ac:dyDescent="0.35">
      <c r="E3871" s="81"/>
      <c r="I3871" s="83" t="e">
        <f>VLOOKUP(E3871,[1]Mapping!$A$3:$B$14,2,FALSE)</f>
        <v>#N/A</v>
      </c>
      <c r="J3871" s="84">
        <f t="shared" si="122"/>
        <v>0</v>
      </c>
      <c r="K3871" s="84">
        <f t="shared" si="123"/>
        <v>0</v>
      </c>
      <c r="L3871" s="61" t="e">
        <f>VLOOKUP(K3871,[1]Mapping!$J$3:$Q$351,8,FALSE)</f>
        <v>#N/A</v>
      </c>
      <c r="M3871" t="s">
        <v>83</v>
      </c>
    </row>
    <row r="3872" spans="5:13" hidden="1" x14ac:dyDescent="0.35">
      <c r="E3872" s="81"/>
      <c r="I3872" s="83" t="e">
        <f>VLOOKUP(E3872,[1]Mapping!$A$3:$B$14,2,FALSE)</f>
        <v>#N/A</v>
      </c>
      <c r="J3872" s="84">
        <f t="shared" si="122"/>
        <v>0</v>
      </c>
      <c r="K3872" s="84">
        <f t="shared" si="123"/>
        <v>0</v>
      </c>
      <c r="L3872" s="61" t="e">
        <f>VLOOKUP(K3872,[1]Mapping!$J$3:$Q$351,8,FALSE)</f>
        <v>#N/A</v>
      </c>
      <c r="M3872" t="s">
        <v>83</v>
      </c>
    </row>
    <row r="3873" spans="5:13" hidden="1" x14ac:dyDescent="0.35">
      <c r="E3873" s="81"/>
      <c r="I3873" s="83" t="e">
        <f>VLOOKUP(E3873,[1]Mapping!$A$3:$B$14,2,FALSE)</f>
        <v>#N/A</v>
      </c>
      <c r="J3873" s="84">
        <f t="shared" si="122"/>
        <v>0</v>
      </c>
      <c r="K3873" s="84">
        <f t="shared" si="123"/>
        <v>0</v>
      </c>
      <c r="L3873" s="61" t="e">
        <f>VLOOKUP(K3873,[1]Mapping!$J$3:$Q$351,8,FALSE)</f>
        <v>#N/A</v>
      </c>
      <c r="M3873" t="s">
        <v>83</v>
      </c>
    </row>
    <row r="3874" spans="5:13" hidden="1" x14ac:dyDescent="0.35">
      <c r="E3874" s="81"/>
      <c r="I3874" s="83" t="e">
        <f>VLOOKUP(E3874,[1]Mapping!$A$3:$B$14,2,FALSE)</f>
        <v>#N/A</v>
      </c>
      <c r="J3874" s="84">
        <f t="shared" si="122"/>
        <v>0</v>
      </c>
      <c r="K3874" s="84">
        <f t="shared" si="123"/>
        <v>0</v>
      </c>
      <c r="L3874" s="61" t="e">
        <f>VLOOKUP(K3874,[1]Mapping!$J$3:$Q$351,8,FALSE)</f>
        <v>#N/A</v>
      </c>
      <c r="M3874" t="s">
        <v>83</v>
      </c>
    </row>
    <row r="3875" spans="5:13" hidden="1" x14ac:dyDescent="0.35">
      <c r="E3875" s="81"/>
      <c r="I3875" s="83" t="e">
        <f>VLOOKUP(E3875,[1]Mapping!$A$3:$B$14,2,FALSE)</f>
        <v>#N/A</v>
      </c>
      <c r="J3875" s="84">
        <f t="shared" si="122"/>
        <v>0</v>
      </c>
      <c r="K3875" s="84">
        <f t="shared" si="123"/>
        <v>0</v>
      </c>
      <c r="L3875" s="61" t="e">
        <f>VLOOKUP(K3875,[1]Mapping!$J$3:$Q$351,8,FALSE)</f>
        <v>#N/A</v>
      </c>
      <c r="M3875" t="s">
        <v>83</v>
      </c>
    </row>
    <row r="3876" spans="5:13" hidden="1" x14ac:dyDescent="0.35">
      <c r="E3876" s="81"/>
      <c r="I3876" s="83" t="e">
        <f>VLOOKUP(E3876,[1]Mapping!$A$3:$B$14,2,FALSE)</f>
        <v>#N/A</v>
      </c>
      <c r="J3876" s="84">
        <f t="shared" si="122"/>
        <v>0</v>
      </c>
      <c r="K3876" s="84">
        <f t="shared" si="123"/>
        <v>0</v>
      </c>
      <c r="L3876" s="61" t="e">
        <f>VLOOKUP(K3876,[1]Mapping!$J$3:$Q$351,8,FALSE)</f>
        <v>#N/A</v>
      </c>
      <c r="M3876" t="s">
        <v>83</v>
      </c>
    </row>
    <row r="3877" spans="5:13" hidden="1" x14ac:dyDescent="0.35">
      <c r="E3877" s="81"/>
      <c r="I3877" s="83" t="e">
        <f>VLOOKUP(E3877,[1]Mapping!$A$3:$B$14,2,FALSE)</f>
        <v>#N/A</v>
      </c>
      <c r="J3877" s="84">
        <f t="shared" si="122"/>
        <v>0</v>
      </c>
      <c r="K3877" s="84">
        <f t="shared" si="123"/>
        <v>0</v>
      </c>
      <c r="L3877" s="61" t="e">
        <f>VLOOKUP(K3877,[1]Mapping!$J$3:$Q$351,8,FALSE)</f>
        <v>#N/A</v>
      </c>
      <c r="M3877" t="s">
        <v>83</v>
      </c>
    </row>
    <row r="3878" spans="5:13" hidden="1" x14ac:dyDescent="0.35">
      <c r="E3878" s="81"/>
      <c r="I3878" s="83" t="e">
        <f>VLOOKUP(E3878,[1]Mapping!$A$3:$B$14,2,FALSE)</f>
        <v>#N/A</v>
      </c>
      <c r="J3878" s="84">
        <f t="shared" si="122"/>
        <v>0</v>
      </c>
      <c r="K3878" s="84">
        <f t="shared" si="123"/>
        <v>0</v>
      </c>
      <c r="L3878" s="61" t="e">
        <f>VLOOKUP(K3878,[1]Mapping!$J$3:$Q$351,8,FALSE)</f>
        <v>#N/A</v>
      </c>
      <c r="M3878" t="s">
        <v>83</v>
      </c>
    </row>
    <row r="3879" spans="5:13" hidden="1" x14ac:dyDescent="0.35">
      <c r="E3879" s="81"/>
      <c r="I3879" s="83" t="e">
        <f>VLOOKUP(E3879,[1]Mapping!$A$3:$B$14,2,FALSE)</f>
        <v>#N/A</v>
      </c>
      <c r="J3879" s="84">
        <f t="shared" si="122"/>
        <v>0</v>
      </c>
      <c r="K3879" s="84">
        <f t="shared" si="123"/>
        <v>0</v>
      </c>
      <c r="L3879" s="61" t="e">
        <f>VLOOKUP(K3879,[1]Mapping!$J$3:$Q$351,8,FALSE)</f>
        <v>#N/A</v>
      </c>
      <c r="M3879" t="s">
        <v>83</v>
      </c>
    </row>
    <row r="3880" spans="5:13" hidden="1" x14ac:dyDescent="0.35">
      <c r="E3880" s="81"/>
      <c r="I3880" s="83" t="e">
        <f>VLOOKUP(E3880,[1]Mapping!$A$3:$B$14,2,FALSE)</f>
        <v>#N/A</v>
      </c>
      <c r="J3880" s="84">
        <f t="shared" si="122"/>
        <v>0</v>
      </c>
      <c r="K3880" s="84">
        <f t="shared" si="123"/>
        <v>0</v>
      </c>
      <c r="L3880" s="61" t="e">
        <f>VLOOKUP(K3880,[1]Mapping!$J$3:$Q$351,8,FALSE)</f>
        <v>#N/A</v>
      </c>
      <c r="M3880" t="s">
        <v>83</v>
      </c>
    </row>
    <row r="3881" spans="5:13" hidden="1" x14ac:dyDescent="0.35">
      <c r="E3881" s="81"/>
      <c r="I3881" s="83" t="e">
        <f>VLOOKUP(E3881,[1]Mapping!$A$3:$B$14,2,FALSE)</f>
        <v>#N/A</v>
      </c>
      <c r="J3881" s="84">
        <f t="shared" si="122"/>
        <v>0</v>
      </c>
      <c r="K3881" s="84">
        <f t="shared" si="123"/>
        <v>0</v>
      </c>
      <c r="L3881" s="61" t="e">
        <f>VLOOKUP(K3881,[1]Mapping!$J$3:$Q$351,8,FALSE)</f>
        <v>#N/A</v>
      </c>
      <c r="M3881" t="s">
        <v>83</v>
      </c>
    </row>
    <row r="3882" spans="5:13" hidden="1" x14ac:dyDescent="0.35">
      <c r="E3882" s="81"/>
      <c r="I3882" s="83" t="e">
        <f>VLOOKUP(E3882,[1]Mapping!$A$3:$B$14,2,FALSE)</f>
        <v>#N/A</v>
      </c>
      <c r="J3882" s="84">
        <f t="shared" si="122"/>
        <v>0</v>
      </c>
      <c r="K3882" s="84">
        <f t="shared" si="123"/>
        <v>0</v>
      </c>
      <c r="L3882" s="61" t="e">
        <f>VLOOKUP(K3882,[1]Mapping!$J$3:$Q$351,8,FALSE)</f>
        <v>#N/A</v>
      </c>
      <c r="M3882" t="s">
        <v>83</v>
      </c>
    </row>
    <row r="3883" spans="5:13" hidden="1" x14ac:dyDescent="0.35">
      <c r="E3883" s="81"/>
      <c r="I3883" s="83" t="e">
        <f>VLOOKUP(E3883,[1]Mapping!$A$3:$B$14,2,FALSE)</f>
        <v>#N/A</v>
      </c>
      <c r="J3883" s="84">
        <f t="shared" si="122"/>
        <v>0</v>
      </c>
      <c r="K3883" s="84">
        <f t="shared" si="123"/>
        <v>0</v>
      </c>
      <c r="L3883" s="61" t="e">
        <f>VLOOKUP(K3883,[1]Mapping!$J$3:$Q$351,8,FALSE)</f>
        <v>#N/A</v>
      </c>
      <c r="M3883" t="s">
        <v>83</v>
      </c>
    </row>
    <row r="3884" spans="5:13" hidden="1" x14ac:dyDescent="0.35">
      <c r="E3884" s="81"/>
      <c r="I3884" s="83" t="e">
        <f>VLOOKUP(E3884,[1]Mapping!$A$3:$B$14,2,FALSE)</f>
        <v>#N/A</v>
      </c>
      <c r="J3884" s="84">
        <f t="shared" si="122"/>
        <v>0</v>
      </c>
      <c r="K3884" s="84">
        <f t="shared" si="123"/>
        <v>0</v>
      </c>
      <c r="L3884" s="61" t="e">
        <f>VLOOKUP(K3884,[1]Mapping!$J$3:$Q$351,8,FALSE)</f>
        <v>#N/A</v>
      </c>
      <c r="M3884" t="s">
        <v>83</v>
      </c>
    </row>
    <row r="3885" spans="5:13" hidden="1" x14ac:dyDescent="0.35">
      <c r="E3885" s="81"/>
      <c r="I3885" s="83" t="e">
        <f>VLOOKUP(E3885,[1]Mapping!$A$3:$B$14,2,FALSE)</f>
        <v>#N/A</v>
      </c>
      <c r="J3885" s="84">
        <f t="shared" si="122"/>
        <v>0</v>
      </c>
      <c r="K3885" s="84">
        <f t="shared" si="123"/>
        <v>0</v>
      </c>
      <c r="L3885" s="61" t="e">
        <f>VLOOKUP(K3885,[1]Mapping!$J$3:$Q$351,8,FALSE)</f>
        <v>#N/A</v>
      </c>
      <c r="M3885" t="s">
        <v>83</v>
      </c>
    </row>
    <row r="3886" spans="5:13" hidden="1" x14ac:dyDescent="0.35">
      <c r="E3886" s="81"/>
      <c r="I3886" s="83" t="e">
        <f>VLOOKUP(E3886,[1]Mapping!$A$3:$B$14,2,FALSE)</f>
        <v>#N/A</v>
      </c>
      <c r="J3886" s="84">
        <f t="shared" si="122"/>
        <v>0</v>
      </c>
      <c r="K3886" s="84">
        <f t="shared" si="123"/>
        <v>0</v>
      </c>
      <c r="L3886" s="61" t="e">
        <f>VLOOKUP(K3886,[1]Mapping!$J$3:$Q$351,8,FALSE)</f>
        <v>#N/A</v>
      </c>
      <c r="M3886" t="s">
        <v>83</v>
      </c>
    </row>
    <row r="3887" spans="5:13" hidden="1" x14ac:dyDescent="0.35">
      <c r="E3887" s="81"/>
      <c r="I3887" s="83" t="e">
        <f>VLOOKUP(E3887,[1]Mapping!$A$3:$B$14,2,FALSE)</f>
        <v>#N/A</v>
      </c>
      <c r="J3887" s="84">
        <f t="shared" si="122"/>
        <v>0</v>
      </c>
      <c r="K3887" s="84">
        <f t="shared" si="123"/>
        <v>0</v>
      </c>
      <c r="L3887" s="61" t="e">
        <f>VLOOKUP(K3887,[1]Mapping!$J$3:$Q$351,8,FALSE)</f>
        <v>#N/A</v>
      </c>
      <c r="M3887" t="s">
        <v>83</v>
      </c>
    </row>
    <row r="3888" spans="5:13" hidden="1" x14ac:dyDescent="0.35">
      <c r="E3888" s="81"/>
      <c r="I3888" s="83" t="e">
        <f>VLOOKUP(E3888,[1]Mapping!$A$3:$B$14,2,FALSE)</f>
        <v>#N/A</v>
      </c>
      <c r="J3888" s="84">
        <f t="shared" si="122"/>
        <v>0</v>
      </c>
      <c r="K3888" s="84">
        <f t="shared" si="123"/>
        <v>0</v>
      </c>
      <c r="L3888" s="61" t="e">
        <f>VLOOKUP(K3888,[1]Mapping!$J$3:$Q$351,8,FALSE)</f>
        <v>#N/A</v>
      </c>
      <c r="M3888" t="s">
        <v>83</v>
      </c>
    </row>
    <row r="3889" spans="5:13" hidden="1" x14ac:dyDescent="0.35">
      <c r="E3889" s="81"/>
      <c r="I3889" s="83" t="e">
        <f>VLOOKUP(E3889,[1]Mapping!$A$3:$B$14,2,FALSE)</f>
        <v>#N/A</v>
      </c>
      <c r="J3889" s="84">
        <f t="shared" si="122"/>
        <v>0</v>
      </c>
      <c r="K3889" s="84">
        <f t="shared" si="123"/>
        <v>0</v>
      </c>
      <c r="L3889" s="61" t="e">
        <f>VLOOKUP(K3889,[1]Mapping!$J$3:$Q$351,8,FALSE)</f>
        <v>#N/A</v>
      </c>
      <c r="M3889" t="s">
        <v>83</v>
      </c>
    </row>
    <row r="3890" spans="5:13" hidden="1" x14ac:dyDescent="0.35">
      <c r="E3890" s="81"/>
      <c r="I3890" s="83" t="e">
        <f>VLOOKUP(E3890,[1]Mapping!$A$3:$B$14,2,FALSE)</f>
        <v>#N/A</v>
      </c>
      <c r="J3890" s="84">
        <f t="shared" si="122"/>
        <v>0</v>
      </c>
      <c r="K3890" s="84">
        <f t="shared" si="123"/>
        <v>0</v>
      </c>
      <c r="L3890" s="61" t="e">
        <f>VLOOKUP(K3890,[1]Mapping!$J$3:$Q$351,8,FALSE)</f>
        <v>#N/A</v>
      </c>
      <c r="M3890" t="s">
        <v>83</v>
      </c>
    </row>
    <row r="3891" spans="5:13" hidden="1" x14ac:dyDescent="0.35">
      <c r="E3891" s="81"/>
      <c r="I3891" s="83" t="e">
        <f>VLOOKUP(E3891,[1]Mapping!$A$3:$B$14,2,FALSE)</f>
        <v>#N/A</v>
      </c>
      <c r="J3891" s="84">
        <f t="shared" si="122"/>
        <v>0</v>
      </c>
      <c r="K3891" s="84">
        <f t="shared" si="123"/>
        <v>0</v>
      </c>
      <c r="L3891" s="61" t="e">
        <f>VLOOKUP(K3891,[1]Mapping!$J$3:$Q$351,8,FALSE)</f>
        <v>#N/A</v>
      </c>
      <c r="M3891" t="s">
        <v>83</v>
      </c>
    </row>
    <row r="3892" spans="5:13" hidden="1" x14ac:dyDescent="0.35">
      <c r="E3892" s="81"/>
      <c r="I3892" s="83" t="e">
        <f>VLOOKUP(E3892,[1]Mapping!$A$3:$B$14,2,FALSE)</f>
        <v>#N/A</v>
      </c>
      <c r="J3892" s="84">
        <f t="shared" si="122"/>
        <v>0</v>
      </c>
      <c r="K3892" s="84">
        <f t="shared" si="123"/>
        <v>0</v>
      </c>
      <c r="L3892" s="61" t="e">
        <f>VLOOKUP(K3892,[1]Mapping!$J$3:$Q$351,8,FALSE)</f>
        <v>#N/A</v>
      </c>
      <c r="M3892" t="s">
        <v>83</v>
      </c>
    </row>
    <row r="3893" spans="5:13" hidden="1" x14ac:dyDescent="0.35">
      <c r="E3893" s="81"/>
      <c r="I3893" s="83" t="e">
        <f>VLOOKUP(E3893,[1]Mapping!$A$3:$B$14,2,FALSE)</f>
        <v>#N/A</v>
      </c>
      <c r="J3893" s="84">
        <f t="shared" si="122"/>
        <v>0</v>
      </c>
      <c r="K3893" s="84">
        <f t="shared" si="123"/>
        <v>0</v>
      </c>
      <c r="L3893" s="61" t="e">
        <f>VLOOKUP(K3893,[1]Mapping!$J$3:$Q$351,8,FALSE)</f>
        <v>#N/A</v>
      </c>
      <c r="M3893" t="s">
        <v>83</v>
      </c>
    </row>
    <row r="3894" spans="5:13" hidden="1" x14ac:dyDescent="0.35">
      <c r="E3894" s="81"/>
      <c r="I3894" s="83" t="e">
        <f>VLOOKUP(E3894,[1]Mapping!$A$3:$B$14,2,FALSE)</f>
        <v>#N/A</v>
      </c>
      <c r="J3894" s="84">
        <f t="shared" si="122"/>
        <v>0</v>
      </c>
      <c r="K3894" s="84">
        <f t="shared" si="123"/>
        <v>0</v>
      </c>
      <c r="L3894" s="61" t="e">
        <f>VLOOKUP(K3894,[1]Mapping!$J$3:$Q$351,8,FALSE)</f>
        <v>#N/A</v>
      </c>
      <c r="M3894" t="s">
        <v>83</v>
      </c>
    </row>
    <row r="3895" spans="5:13" hidden="1" x14ac:dyDescent="0.35">
      <c r="E3895" s="81"/>
      <c r="I3895" s="83" t="e">
        <f>VLOOKUP(E3895,[1]Mapping!$A$3:$B$14,2,FALSE)</f>
        <v>#N/A</v>
      </c>
      <c r="J3895" s="84">
        <f t="shared" si="122"/>
        <v>0</v>
      </c>
      <c r="K3895" s="84">
        <f t="shared" si="123"/>
        <v>0</v>
      </c>
      <c r="L3895" s="61" t="e">
        <f>VLOOKUP(K3895,[1]Mapping!$J$3:$Q$351,8,FALSE)</f>
        <v>#N/A</v>
      </c>
      <c r="M3895" t="s">
        <v>83</v>
      </c>
    </row>
    <row r="3896" spans="5:13" hidden="1" x14ac:dyDescent="0.35">
      <c r="E3896" s="81"/>
      <c r="I3896" s="83" t="e">
        <f>VLOOKUP(E3896,[1]Mapping!$A$3:$B$14,2,FALSE)</f>
        <v>#N/A</v>
      </c>
      <c r="J3896" s="84">
        <f t="shared" si="122"/>
        <v>0</v>
      </c>
      <c r="K3896" s="84">
        <f t="shared" si="123"/>
        <v>0</v>
      </c>
      <c r="L3896" s="61" t="e">
        <f>VLOOKUP(K3896,[1]Mapping!$J$3:$Q$351,8,FALSE)</f>
        <v>#N/A</v>
      </c>
      <c r="M3896" t="s">
        <v>83</v>
      </c>
    </row>
    <row r="3897" spans="5:13" hidden="1" x14ac:dyDescent="0.35">
      <c r="E3897" s="81"/>
      <c r="I3897" s="83" t="e">
        <f>VLOOKUP(E3897,[1]Mapping!$A$3:$B$14,2,FALSE)</f>
        <v>#N/A</v>
      </c>
      <c r="J3897" s="84">
        <f t="shared" si="122"/>
        <v>0</v>
      </c>
      <c r="K3897" s="84">
        <f t="shared" si="123"/>
        <v>0</v>
      </c>
      <c r="L3897" s="61" t="e">
        <f>VLOOKUP(K3897,[1]Mapping!$J$3:$Q$351,8,FALSE)</f>
        <v>#N/A</v>
      </c>
      <c r="M3897" t="s">
        <v>83</v>
      </c>
    </row>
    <row r="3898" spans="5:13" hidden="1" x14ac:dyDescent="0.35">
      <c r="E3898" s="81"/>
      <c r="I3898" s="83" t="e">
        <f>VLOOKUP(E3898,[1]Mapping!$A$3:$B$14,2,FALSE)</f>
        <v>#N/A</v>
      </c>
      <c r="J3898" s="84">
        <f t="shared" si="122"/>
        <v>0</v>
      </c>
      <c r="K3898" s="84">
        <f t="shared" si="123"/>
        <v>0</v>
      </c>
      <c r="L3898" s="61" t="e">
        <f>VLOOKUP(K3898,[1]Mapping!$J$3:$Q$351,8,FALSE)</f>
        <v>#N/A</v>
      </c>
      <c r="M3898" t="s">
        <v>83</v>
      </c>
    </row>
    <row r="3899" spans="5:13" hidden="1" x14ac:dyDescent="0.35">
      <c r="E3899" s="81"/>
      <c r="I3899" s="83" t="e">
        <f>VLOOKUP(E3899,[1]Mapping!$A$3:$B$14,2,FALSE)</f>
        <v>#N/A</v>
      </c>
      <c r="J3899" s="84">
        <f t="shared" si="122"/>
        <v>0</v>
      </c>
      <c r="K3899" s="84">
        <f t="shared" si="123"/>
        <v>0</v>
      </c>
      <c r="L3899" s="61" t="e">
        <f>VLOOKUP(K3899,[1]Mapping!$J$3:$Q$351,8,FALSE)</f>
        <v>#N/A</v>
      </c>
      <c r="M3899" t="s">
        <v>83</v>
      </c>
    </row>
    <row r="3900" spans="5:13" hidden="1" x14ac:dyDescent="0.35">
      <c r="E3900" s="81"/>
      <c r="I3900" s="83" t="e">
        <f>VLOOKUP(E3900,[1]Mapping!$A$3:$B$14,2,FALSE)</f>
        <v>#N/A</v>
      </c>
      <c r="J3900" s="84">
        <f t="shared" si="122"/>
        <v>0</v>
      </c>
      <c r="K3900" s="84">
        <f t="shared" si="123"/>
        <v>0</v>
      </c>
      <c r="L3900" s="61" t="e">
        <f>VLOOKUP(K3900,[1]Mapping!$J$3:$Q$351,8,FALSE)</f>
        <v>#N/A</v>
      </c>
      <c r="M3900" t="s">
        <v>83</v>
      </c>
    </row>
    <row r="3901" spans="5:13" hidden="1" x14ac:dyDescent="0.35">
      <c r="E3901" s="81"/>
      <c r="I3901" s="83" t="e">
        <f>VLOOKUP(E3901,[1]Mapping!$A$3:$B$14,2,FALSE)</f>
        <v>#N/A</v>
      </c>
      <c r="J3901" s="84">
        <f t="shared" si="122"/>
        <v>0</v>
      </c>
      <c r="K3901" s="84">
        <f t="shared" si="123"/>
        <v>0</v>
      </c>
      <c r="L3901" s="61" t="e">
        <f>VLOOKUP(K3901,[1]Mapping!$J$3:$Q$351,8,FALSE)</f>
        <v>#N/A</v>
      </c>
      <c r="M3901" t="s">
        <v>83</v>
      </c>
    </row>
    <row r="3902" spans="5:13" hidden="1" x14ac:dyDescent="0.35">
      <c r="E3902" s="81"/>
      <c r="I3902" s="83" t="e">
        <f>VLOOKUP(E3902,[1]Mapping!$A$3:$B$14,2,FALSE)</f>
        <v>#N/A</v>
      </c>
      <c r="J3902" s="84">
        <f t="shared" si="122"/>
        <v>0</v>
      </c>
      <c r="K3902" s="84">
        <f t="shared" si="123"/>
        <v>0</v>
      </c>
      <c r="L3902" s="61" t="e">
        <f>VLOOKUP(K3902,[1]Mapping!$J$3:$Q$351,8,FALSE)</f>
        <v>#N/A</v>
      </c>
      <c r="M3902" t="s">
        <v>83</v>
      </c>
    </row>
    <row r="3903" spans="5:13" hidden="1" x14ac:dyDescent="0.35">
      <c r="E3903" s="81"/>
      <c r="I3903" s="83" t="e">
        <f>VLOOKUP(E3903,[1]Mapping!$A$3:$B$14,2,FALSE)</f>
        <v>#N/A</v>
      </c>
      <c r="J3903" s="84">
        <f t="shared" si="122"/>
        <v>0</v>
      </c>
      <c r="K3903" s="84">
        <f t="shared" si="123"/>
        <v>0</v>
      </c>
      <c r="L3903" s="61" t="e">
        <f>VLOOKUP(K3903,[1]Mapping!$J$3:$Q$351,8,FALSE)</f>
        <v>#N/A</v>
      </c>
      <c r="M3903" t="s">
        <v>83</v>
      </c>
    </row>
    <row r="3904" spans="5:13" hidden="1" x14ac:dyDescent="0.35">
      <c r="E3904" s="81"/>
      <c r="I3904" s="83" t="e">
        <f>VLOOKUP(E3904,[1]Mapping!$A$3:$B$14,2,FALSE)</f>
        <v>#N/A</v>
      </c>
      <c r="J3904" s="84">
        <f t="shared" si="122"/>
        <v>0</v>
      </c>
      <c r="K3904" s="84">
        <f t="shared" si="123"/>
        <v>0</v>
      </c>
      <c r="L3904" s="61" t="e">
        <f>VLOOKUP(K3904,[1]Mapping!$J$3:$Q$351,8,FALSE)</f>
        <v>#N/A</v>
      </c>
      <c r="M3904" t="s">
        <v>83</v>
      </c>
    </row>
    <row r="3905" spans="5:13" hidden="1" x14ac:dyDescent="0.35">
      <c r="E3905" s="81"/>
      <c r="I3905" s="83" t="e">
        <f>VLOOKUP(E3905,[1]Mapping!$A$3:$B$14,2,FALSE)</f>
        <v>#N/A</v>
      </c>
      <c r="J3905" s="84">
        <f t="shared" si="122"/>
        <v>0</v>
      </c>
      <c r="K3905" s="84">
        <f t="shared" si="123"/>
        <v>0</v>
      </c>
      <c r="L3905" s="61" t="e">
        <f>VLOOKUP(K3905,[1]Mapping!$J$3:$Q$351,8,FALSE)</f>
        <v>#N/A</v>
      </c>
      <c r="M3905" t="s">
        <v>83</v>
      </c>
    </row>
    <row r="3906" spans="5:13" hidden="1" x14ac:dyDescent="0.35">
      <c r="E3906" s="81"/>
      <c r="I3906" s="83" t="e">
        <f>VLOOKUP(E3906,[1]Mapping!$A$3:$B$14,2,FALSE)</f>
        <v>#N/A</v>
      </c>
      <c r="J3906" s="84">
        <f t="shared" si="122"/>
        <v>0</v>
      </c>
      <c r="K3906" s="84">
        <f t="shared" si="123"/>
        <v>0</v>
      </c>
      <c r="L3906" s="61" t="e">
        <f>VLOOKUP(K3906,[1]Mapping!$J$3:$Q$351,8,FALSE)</f>
        <v>#N/A</v>
      </c>
      <c r="M3906" t="s">
        <v>83</v>
      </c>
    </row>
    <row r="3907" spans="5:13" hidden="1" x14ac:dyDescent="0.35">
      <c r="E3907" s="81"/>
      <c r="I3907" s="83" t="e">
        <f>VLOOKUP(E3907,[1]Mapping!$A$3:$B$14,2,FALSE)</f>
        <v>#N/A</v>
      </c>
      <c r="J3907" s="84">
        <f t="shared" si="122"/>
        <v>0</v>
      </c>
      <c r="K3907" s="84">
        <f t="shared" si="123"/>
        <v>0</v>
      </c>
      <c r="L3907" s="61" t="e">
        <f>VLOOKUP(K3907,[1]Mapping!$J$3:$Q$351,8,FALSE)</f>
        <v>#N/A</v>
      </c>
      <c r="M3907" t="s">
        <v>83</v>
      </c>
    </row>
    <row r="3908" spans="5:13" hidden="1" x14ac:dyDescent="0.35">
      <c r="E3908" s="81"/>
      <c r="I3908" s="83" t="e">
        <f>VLOOKUP(E3908,[1]Mapping!$A$3:$B$14,2,FALSE)</f>
        <v>#N/A</v>
      </c>
      <c r="J3908" s="84">
        <f t="shared" ref="J3908:J3971" si="124">VALUE(A3908)</f>
        <v>0</v>
      </c>
      <c r="K3908" s="84">
        <f t="shared" ref="K3908:K3971" si="125">VALUE(C3908)</f>
        <v>0</v>
      </c>
      <c r="L3908" s="61" t="e">
        <f>VLOOKUP(K3908,[1]Mapping!$J$3:$Q$351,8,FALSE)</f>
        <v>#N/A</v>
      </c>
      <c r="M3908" t="s">
        <v>83</v>
      </c>
    </row>
    <row r="3909" spans="5:13" hidden="1" x14ac:dyDescent="0.35">
      <c r="E3909" s="81"/>
      <c r="I3909" s="83" t="e">
        <f>VLOOKUP(E3909,[1]Mapping!$A$3:$B$14,2,FALSE)</f>
        <v>#N/A</v>
      </c>
      <c r="J3909" s="84">
        <f t="shared" si="124"/>
        <v>0</v>
      </c>
      <c r="K3909" s="84">
        <f t="shared" si="125"/>
        <v>0</v>
      </c>
      <c r="L3909" s="61" t="e">
        <f>VLOOKUP(K3909,[1]Mapping!$J$3:$Q$351,8,FALSE)</f>
        <v>#N/A</v>
      </c>
      <c r="M3909" t="s">
        <v>83</v>
      </c>
    </row>
    <row r="3910" spans="5:13" hidden="1" x14ac:dyDescent="0.35">
      <c r="E3910" s="81"/>
      <c r="I3910" s="83" t="e">
        <f>VLOOKUP(E3910,[1]Mapping!$A$3:$B$14,2,FALSE)</f>
        <v>#N/A</v>
      </c>
      <c r="J3910" s="84">
        <f t="shared" si="124"/>
        <v>0</v>
      </c>
      <c r="K3910" s="84">
        <f t="shared" si="125"/>
        <v>0</v>
      </c>
      <c r="L3910" s="61" t="e">
        <f>VLOOKUP(K3910,[1]Mapping!$J$3:$Q$351,8,FALSE)</f>
        <v>#N/A</v>
      </c>
      <c r="M3910" t="s">
        <v>83</v>
      </c>
    </row>
    <row r="3911" spans="5:13" hidden="1" x14ac:dyDescent="0.35">
      <c r="E3911" s="81"/>
      <c r="I3911" s="83" t="e">
        <f>VLOOKUP(E3911,[1]Mapping!$A$3:$B$14,2,FALSE)</f>
        <v>#N/A</v>
      </c>
      <c r="J3911" s="84">
        <f t="shared" si="124"/>
        <v>0</v>
      </c>
      <c r="K3911" s="84">
        <f t="shared" si="125"/>
        <v>0</v>
      </c>
      <c r="L3911" s="61" t="e">
        <f>VLOOKUP(K3911,[1]Mapping!$J$3:$Q$351,8,FALSE)</f>
        <v>#N/A</v>
      </c>
      <c r="M3911" t="s">
        <v>83</v>
      </c>
    </row>
    <row r="3912" spans="5:13" hidden="1" x14ac:dyDescent="0.35">
      <c r="E3912" s="81"/>
      <c r="I3912" s="83" t="e">
        <f>VLOOKUP(E3912,[1]Mapping!$A$3:$B$14,2,FALSE)</f>
        <v>#N/A</v>
      </c>
      <c r="J3912" s="84">
        <f t="shared" si="124"/>
        <v>0</v>
      </c>
      <c r="K3912" s="84">
        <f t="shared" si="125"/>
        <v>0</v>
      </c>
      <c r="L3912" s="61" t="e">
        <f>VLOOKUP(K3912,[1]Mapping!$J$3:$Q$351,8,FALSE)</f>
        <v>#N/A</v>
      </c>
      <c r="M3912" t="s">
        <v>83</v>
      </c>
    </row>
    <row r="3913" spans="5:13" hidden="1" x14ac:dyDescent="0.35">
      <c r="E3913" s="81"/>
      <c r="I3913" s="83" t="e">
        <f>VLOOKUP(E3913,[1]Mapping!$A$3:$B$14,2,FALSE)</f>
        <v>#N/A</v>
      </c>
      <c r="J3913" s="84">
        <f t="shared" si="124"/>
        <v>0</v>
      </c>
      <c r="K3913" s="84">
        <f t="shared" si="125"/>
        <v>0</v>
      </c>
      <c r="L3913" s="61" t="e">
        <f>VLOOKUP(K3913,[1]Mapping!$J$3:$Q$351,8,FALSE)</f>
        <v>#N/A</v>
      </c>
      <c r="M3913" t="s">
        <v>83</v>
      </c>
    </row>
    <row r="3914" spans="5:13" hidden="1" x14ac:dyDescent="0.35">
      <c r="E3914" s="81"/>
      <c r="I3914" s="83" t="e">
        <f>VLOOKUP(E3914,[1]Mapping!$A$3:$B$14,2,FALSE)</f>
        <v>#N/A</v>
      </c>
      <c r="J3914" s="84">
        <f t="shared" si="124"/>
        <v>0</v>
      </c>
      <c r="K3914" s="84">
        <f t="shared" si="125"/>
        <v>0</v>
      </c>
      <c r="L3914" s="61" t="e">
        <f>VLOOKUP(K3914,[1]Mapping!$J$3:$Q$351,8,FALSE)</f>
        <v>#N/A</v>
      </c>
      <c r="M3914" t="s">
        <v>83</v>
      </c>
    </row>
    <row r="3915" spans="5:13" hidden="1" x14ac:dyDescent="0.35">
      <c r="E3915" s="81"/>
      <c r="I3915" s="83" t="e">
        <f>VLOOKUP(E3915,[1]Mapping!$A$3:$B$14,2,FALSE)</f>
        <v>#N/A</v>
      </c>
      <c r="J3915" s="84">
        <f t="shared" si="124"/>
        <v>0</v>
      </c>
      <c r="K3915" s="84">
        <f t="shared" si="125"/>
        <v>0</v>
      </c>
      <c r="L3915" s="61" t="e">
        <f>VLOOKUP(K3915,[1]Mapping!$J$3:$Q$351,8,FALSE)</f>
        <v>#N/A</v>
      </c>
      <c r="M3915" t="s">
        <v>83</v>
      </c>
    </row>
    <row r="3916" spans="5:13" hidden="1" x14ac:dyDescent="0.35">
      <c r="E3916" s="81"/>
      <c r="I3916" s="83" t="e">
        <f>VLOOKUP(E3916,[1]Mapping!$A$3:$B$14,2,FALSE)</f>
        <v>#N/A</v>
      </c>
      <c r="J3916" s="84">
        <f t="shared" si="124"/>
        <v>0</v>
      </c>
      <c r="K3916" s="84">
        <f t="shared" si="125"/>
        <v>0</v>
      </c>
      <c r="L3916" s="61" t="e">
        <f>VLOOKUP(K3916,[1]Mapping!$J$3:$Q$351,8,FALSE)</f>
        <v>#N/A</v>
      </c>
      <c r="M3916" t="s">
        <v>83</v>
      </c>
    </row>
    <row r="3917" spans="5:13" hidden="1" x14ac:dyDescent="0.35">
      <c r="E3917" s="81"/>
      <c r="I3917" s="83" t="e">
        <f>VLOOKUP(E3917,[1]Mapping!$A$3:$B$14,2,FALSE)</f>
        <v>#N/A</v>
      </c>
      <c r="J3917" s="84">
        <f t="shared" si="124"/>
        <v>0</v>
      </c>
      <c r="K3917" s="84">
        <f t="shared" si="125"/>
        <v>0</v>
      </c>
      <c r="L3917" s="61" t="e">
        <f>VLOOKUP(K3917,[1]Mapping!$J$3:$Q$351,8,FALSE)</f>
        <v>#N/A</v>
      </c>
      <c r="M3917" t="s">
        <v>83</v>
      </c>
    </row>
    <row r="3918" spans="5:13" hidden="1" x14ac:dyDescent="0.35">
      <c r="E3918" s="81"/>
      <c r="I3918" s="83" t="e">
        <f>VLOOKUP(E3918,[1]Mapping!$A$3:$B$14,2,FALSE)</f>
        <v>#N/A</v>
      </c>
      <c r="J3918" s="84">
        <f t="shared" si="124"/>
        <v>0</v>
      </c>
      <c r="K3918" s="84">
        <f t="shared" si="125"/>
        <v>0</v>
      </c>
      <c r="L3918" s="61" t="e">
        <f>VLOOKUP(K3918,[1]Mapping!$J$3:$Q$351,8,FALSE)</f>
        <v>#N/A</v>
      </c>
      <c r="M3918" t="s">
        <v>83</v>
      </c>
    </row>
    <row r="3919" spans="5:13" hidden="1" x14ac:dyDescent="0.35">
      <c r="E3919" s="81"/>
      <c r="I3919" s="83" t="e">
        <f>VLOOKUP(E3919,[1]Mapping!$A$3:$B$14,2,FALSE)</f>
        <v>#N/A</v>
      </c>
      <c r="J3919" s="84">
        <f t="shared" si="124"/>
        <v>0</v>
      </c>
      <c r="K3919" s="84">
        <f t="shared" si="125"/>
        <v>0</v>
      </c>
      <c r="L3919" s="61" t="e">
        <f>VLOOKUP(K3919,[1]Mapping!$J$3:$Q$351,8,FALSE)</f>
        <v>#N/A</v>
      </c>
      <c r="M3919" t="s">
        <v>83</v>
      </c>
    </row>
    <row r="3920" spans="5:13" hidden="1" x14ac:dyDescent="0.35">
      <c r="E3920" s="81"/>
      <c r="I3920" s="83" t="e">
        <f>VLOOKUP(E3920,[1]Mapping!$A$3:$B$14,2,FALSE)</f>
        <v>#N/A</v>
      </c>
      <c r="J3920" s="84">
        <f t="shared" si="124"/>
        <v>0</v>
      </c>
      <c r="K3920" s="84">
        <f t="shared" si="125"/>
        <v>0</v>
      </c>
      <c r="L3920" s="61" t="e">
        <f>VLOOKUP(K3920,[1]Mapping!$J$3:$Q$351,8,FALSE)</f>
        <v>#N/A</v>
      </c>
      <c r="M3920" t="s">
        <v>83</v>
      </c>
    </row>
    <row r="3921" spans="5:13" hidden="1" x14ac:dyDescent="0.35">
      <c r="E3921" s="81"/>
      <c r="I3921" s="83" t="e">
        <f>VLOOKUP(E3921,[1]Mapping!$A$3:$B$14,2,FALSE)</f>
        <v>#N/A</v>
      </c>
      <c r="J3921" s="84">
        <f t="shared" si="124"/>
        <v>0</v>
      </c>
      <c r="K3921" s="84">
        <f t="shared" si="125"/>
        <v>0</v>
      </c>
      <c r="L3921" s="61" t="e">
        <f>VLOOKUP(K3921,[1]Mapping!$J$3:$Q$351,8,FALSE)</f>
        <v>#N/A</v>
      </c>
      <c r="M3921" t="s">
        <v>83</v>
      </c>
    </row>
    <row r="3922" spans="5:13" hidden="1" x14ac:dyDescent="0.35">
      <c r="E3922" s="81"/>
      <c r="I3922" s="83" t="e">
        <f>VLOOKUP(E3922,[1]Mapping!$A$3:$B$14,2,FALSE)</f>
        <v>#N/A</v>
      </c>
      <c r="J3922" s="84">
        <f t="shared" si="124"/>
        <v>0</v>
      </c>
      <c r="K3922" s="84">
        <f t="shared" si="125"/>
        <v>0</v>
      </c>
      <c r="L3922" s="61" t="e">
        <f>VLOOKUP(K3922,[1]Mapping!$J$3:$Q$351,8,FALSE)</f>
        <v>#N/A</v>
      </c>
      <c r="M3922" t="s">
        <v>83</v>
      </c>
    </row>
    <row r="3923" spans="5:13" hidden="1" x14ac:dyDescent="0.35">
      <c r="E3923" s="81"/>
      <c r="I3923" s="83" t="e">
        <f>VLOOKUP(E3923,[1]Mapping!$A$3:$B$14,2,FALSE)</f>
        <v>#N/A</v>
      </c>
      <c r="J3923" s="84">
        <f t="shared" si="124"/>
        <v>0</v>
      </c>
      <c r="K3923" s="84">
        <f t="shared" si="125"/>
        <v>0</v>
      </c>
      <c r="L3923" s="61" t="e">
        <f>VLOOKUP(K3923,[1]Mapping!$J$3:$Q$351,8,FALSE)</f>
        <v>#N/A</v>
      </c>
      <c r="M3923" t="s">
        <v>83</v>
      </c>
    </row>
    <row r="3924" spans="5:13" hidden="1" x14ac:dyDescent="0.35">
      <c r="E3924" s="81"/>
      <c r="I3924" s="83" t="e">
        <f>VLOOKUP(E3924,[1]Mapping!$A$3:$B$14,2,FALSE)</f>
        <v>#N/A</v>
      </c>
      <c r="J3924" s="84">
        <f t="shared" si="124"/>
        <v>0</v>
      </c>
      <c r="K3924" s="84">
        <f t="shared" si="125"/>
        <v>0</v>
      </c>
      <c r="L3924" s="61" t="e">
        <f>VLOOKUP(K3924,[1]Mapping!$J$3:$Q$351,8,FALSE)</f>
        <v>#N/A</v>
      </c>
      <c r="M3924" t="s">
        <v>83</v>
      </c>
    </row>
    <row r="3925" spans="5:13" hidden="1" x14ac:dyDescent="0.35">
      <c r="E3925" s="81"/>
      <c r="I3925" s="83" t="e">
        <f>VLOOKUP(E3925,[1]Mapping!$A$3:$B$14,2,FALSE)</f>
        <v>#N/A</v>
      </c>
      <c r="J3925" s="84">
        <f t="shared" si="124"/>
        <v>0</v>
      </c>
      <c r="K3925" s="84">
        <f t="shared" si="125"/>
        <v>0</v>
      </c>
      <c r="L3925" s="61" t="e">
        <f>VLOOKUP(K3925,[1]Mapping!$J$3:$Q$351,8,FALSE)</f>
        <v>#N/A</v>
      </c>
      <c r="M3925" t="s">
        <v>83</v>
      </c>
    </row>
    <row r="3926" spans="5:13" hidden="1" x14ac:dyDescent="0.35">
      <c r="E3926" s="81"/>
      <c r="I3926" s="83" t="e">
        <f>VLOOKUP(E3926,[1]Mapping!$A$3:$B$14,2,FALSE)</f>
        <v>#N/A</v>
      </c>
      <c r="J3926" s="84">
        <f t="shared" si="124"/>
        <v>0</v>
      </c>
      <c r="K3926" s="84">
        <f t="shared" si="125"/>
        <v>0</v>
      </c>
      <c r="L3926" s="61" t="e">
        <f>VLOOKUP(K3926,[1]Mapping!$J$3:$Q$351,8,FALSE)</f>
        <v>#N/A</v>
      </c>
      <c r="M3926" t="s">
        <v>83</v>
      </c>
    </row>
    <row r="3927" spans="5:13" hidden="1" x14ac:dyDescent="0.35">
      <c r="E3927" s="81"/>
      <c r="I3927" s="83" t="e">
        <f>VLOOKUP(E3927,[1]Mapping!$A$3:$B$14,2,FALSE)</f>
        <v>#N/A</v>
      </c>
      <c r="J3927" s="84">
        <f t="shared" si="124"/>
        <v>0</v>
      </c>
      <c r="K3927" s="84">
        <f t="shared" si="125"/>
        <v>0</v>
      </c>
      <c r="L3927" s="61" t="e">
        <f>VLOOKUP(K3927,[1]Mapping!$J$3:$Q$351,8,FALSE)</f>
        <v>#N/A</v>
      </c>
      <c r="M3927" t="s">
        <v>83</v>
      </c>
    </row>
    <row r="3928" spans="5:13" hidden="1" x14ac:dyDescent="0.35">
      <c r="E3928" s="81"/>
      <c r="I3928" s="83" t="e">
        <f>VLOOKUP(E3928,[1]Mapping!$A$3:$B$14,2,FALSE)</f>
        <v>#N/A</v>
      </c>
      <c r="J3928" s="84">
        <f t="shared" si="124"/>
        <v>0</v>
      </c>
      <c r="K3928" s="84">
        <f t="shared" si="125"/>
        <v>0</v>
      </c>
      <c r="L3928" s="61" t="e">
        <f>VLOOKUP(K3928,[1]Mapping!$J$3:$Q$351,8,FALSE)</f>
        <v>#N/A</v>
      </c>
      <c r="M3928" t="s">
        <v>83</v>
      </c>
    </row>
    <row r="3929" spans="5:13" hidden="1" x14ac:dyDescent="0.35">
      <c r="E3929" s="81"/>
      <c r="I3929" s="83" t="e">
        <f>VLOOKUP(E3929,[1]Mapping!$A$3:$B$14,2,FALSE)</f>
        <v>#N/A</v>
      </c>
      <c r="J3929" s="84">
        <f t="shared" si="124"/>
        <v>0</v>
      </c>
      <c r="K3929" s="84">
        <f t="shared" si="125"/>
        <v>0</v>
      </c>
      <c r="L3929" s="61" t="e">
        <f>VLOOKUP(K3929,[1]Mapping!$J$3:$Q$351,8,FALSE)</f>
        <v>#N/A</v>
      </c>
      <c r="M3929" t="s">
        <v>83</v>
      </c>
    </row>
    <row r="3930" spans="5:13" hidden="1" x14ac:dyDescent="0.35">
      <c r="E3930" s="81"/>
      <c r="I3930" s="83" t="e">
        <f>VLOOKUP(E3930,[1]Mapping!$A$3:$B$14,2,FALSE)</f>
        <v>#N/A</v>
      </c>
      <c r="J3930" s="84">
        <f t="shared" si="124"/>
        <v>0</v>
      </c>
      <c r="K3930" s="84">
        <f t="shared" si="125"/>
        <v>0</v>
      </c>
      <c r="L3930" s="61" t="e">
        <f>VLOOKUP(K3930,[1]Mapping!$J$3:$Q$351,8,FALSE)</f>
        <v>#N/A</v>
      </c>
      <c r="M3930" t="s">
        <v>83</v>
      </c>
    </row>
    <row r="3931" spans="5:13" hidden="1" x14ac:dyDescent="0.35">
      <c r="E3931" s="81"/>
      <c r="I3931" s="83" t="e">
        <f>VLOOKUP(E3931,[1]Mapping!$A$3:$B$14,2,FALSE)</f>
        <v>#N/A</v>
      </c>
      <c r="J3931" s="84">
        <f t="shared" si="124"/>
        <v>0</v>
      </c>
      <c r="K3931" s="84">
        <f t="shared" si="125"/>
        <v>0</v>
      </c>
      <c r="L3931" s="61" t="e">
        <f>VLOOKUP(K3931,[1]Mapping!$J$3:$Q$351,8,FALSE)</f>
        <v>#N/A</v>
      </c>
      <c r="M3931" t="s">
        <v>83</v>
      </c>
    </row>
    <row r="3932" spans="5:13" hidden="1" x14ac:dyDescent="0.35">
      <c r="E3932" s="81"/>
      <c r="I3932" s="83" t="e">
        <f>VLOOKUP(E3932,[1]Mapping!$A$3:$B$14,2,FALSE)</f>
        <v>#N/A</v>
      </c>
      <c r="J3932" s="84">
        <f t="shared" si="124"/>
        <v>0</v>
      </c>
      <c r="K3932" s="84">
        <f t="shared" si="125"/>
        <v>0</v>
      </c>
      <c r="L3932" s="61" t="e">
        <f>VLOOKUP(K3932,[1]Mapping!$J$3:$Q$351,8,FALSE)</f>
        <v>#N/A</v>
      </c>
      <c r="M3932" t="s">
        <v>83</v>
      </c>
    </row>
    <row r="3933" spans="5:13" hidden="1" x14ac:dyDescent="0.35">
      <c r="E3933" s="81"/>
      <c r="I3933" s="83" t="e">
        <f>VLOOKUP(E3933,[1]Mapping!$A$3:$B$14,2,FALSE)</f>
        <v>#N/A</v>
      </c>
      <c r="J3933" s="84">
        <f t="shared" si="124"/>
        <v>0</v>
      </c>
      <c r="K3933" s="84">
        <f t="shared" si="125"/>
        <v>0</v>
      </c>
      <c r="L3933" s="61" t="e">
        <f>VLOOKUP(K3933,[1]Mapping!$J$3:$Q$351,8,FALSE)</f>
        <v>#N/A</v>
      </c>
      <c r="M3933" t="s">
        <v>83</v>
      </c>
    </row>
    <row r="3934" spans="5:13" hidden="1" x14ac:dyDescent="0.35">
      <c r="E3934" s="81"/>
      <c r="I3934" s="83" t="e">
        <f>VLOOKUP(E3934,[1]Mapping!$A$3:$B$14,2,FALSE)</f>
        <v>#N/A</v>
      </c>
      <c r="J3934" s="84">
        <f t="shared" si="124"/>
        <v>0</v>
      </c>
      <c r="K3934" s="84">
        <f t="shared" si="125"/>
        <v>0</v>
      </c>
      <c r="L3934" s="61" t="e">
        <f>VLOOKUP(K3934,[1]Mapping!$J$3:$Q$351,8,FALSE)</f>
        <v>#N/A</v>
      </c>
      <c r="M3934" t="s">
        <v>83</v>
      </c>
    </row>
    <row r="3935" spans="5:13" hidden="1" x14ac:dyDescent="0.35">
      <c r="E3935" s="81"/>
      <c r="I3935" s="83" t="e">
        <f>VLOOKUP(E3935,[1]Mapping!$A$3:$B$14,2,FALSE)</f>
        <v>#N/A</v>
      </c>
      <c r="J3935" s="84">
        <f t="shared" si="124"/>
        <v>0</v>
      </c>
      <c r="K3935" s="84">
        <f t="shared" si="125"/>
        <v>0</v>
      </c>
      <c r="L3935" s="61" t="e">
        <f>VLOOKUP(K3935,[1]Mapping!$J$3:$Q$351,8,FALSE)</f>
        <v>#N/A</v>
      </c>
      <c r="M3935" t="s">
        <v>83</v>
      </c>
    </row>
    <row r="3936" spans="5:13" hidden="1" x14ac:dyDescent="0.35">
      <c r="E3936" s="81"/>
      <c r="I3936" s="83" t="e">
        <f>VLOOKUP(E3936,[1]Mapping!$A$3:$B$14,2,FALSE)</f>
        <v>#N/A</v>
      </c>
      <c r="J3936" s="84">
        <f t="shared" si="124"/>
        <v>0</v>
      </c>
      <c r="K3936" s="84">
        <f t="shared" si="125"/>
        <v>0</v>
      </c>
      <c r="L3936" s="61" t="e">
        <f>VLOOKUP(K3936,[1]Mapping!$J$3:$Q$351,8,FALSE)</f>
        <v>#N/A</v>
      </c>
      <c r="M3936" t="s">
        <v>83</v>
      </c>
    </row>
    <row r="3937" spans="5:13" hidden="1" x14ac:dyDescent="0.35">
      <c r="E3937" s="81"/>
      <c r="I3937" s="83" t="e">
        <f>VLOOKUP(E3937,[1]Mapping!$A$3:$B$14,2,FALSE)</f>
        <v>#N/A</v>
      </c>
      <c r="J3937" s="84">
        <f t="shared" si="124"/>
        <v>0</v>
      </c>
      <c r="K3937" s="84">
        <f t="shared" si="125"/>
        <v>0</v>
      </c>
      <c r="L3937" s="61" t="e">
        <f>VLOOKUP(K3937,[1]Mapping!$J$3:$Q$351,8,FALSE)</f>
        <v>#N/A</v>
      </c>
      <c r="M3937" t="s">
        <v>83</v>
      </c>
    </row>
    <row r="3938" spans="5:13" hidden="1" x14ac:dyDescent="0.35">
      <c r="E3938" s="81"/>
      <c r="I3938" s="83" t="e">
        <f>VLOOKUP(E3938,[1]Mapping!$A$3:$B$14,2,FALSE)</f>
        <v>#N/A</v>
      </c>
      <c r="J3938" s="84">
        <f t="shared" si="124"/>
        <v>0</v>
      </c>
      <c r="K3938" s="84">
        <f t="shared" si="125"/>
        <v>0</v>
      </c>
      <c r="L3938" s="61" t="e">
        <f>VLOOKUP(K3938,[1]Mapping!$J$3:$Q$351,8,FALSE)</f>
        <v>#N/A</v>
      </c>
      <c r="M3938" t="s">
        <v>83</v>
      </c>
    </row>
    <row r="3939" spans="5:13" hidden="1" x14ac:dyDescent="0.35">
      <c r="E3939" s="81"/>
      <c r="I3939" s="83" t="e">
        <f>VLOOKUP(E3939,[1]Mapping!$A$3:$B$14,2,FALSE)</f>
        <v>#N/A</v>
      </c>
      <c r="J3939" s="84">
        <f t="shared" si="124"/>
        <v>0</v>
      </c>
      <c r="K3939" s="84">
        <f t="shared" si="125"/>
        <v>0</v>
      </c>
      <c r="L3939" s="61" t="e">
        <f>VLOOKUP(K3939,[1]Mapping!$J$3:$Q$351,8,FALSE)</f>
        <v>#N/A</v>
      </c>
      <c r="M3939" t="s">
        <v>83</v>
      </c>
    </row>
    <row r="3940" spans="5:13" hidden="1" x14ac:dyDescent="0.35">
      <c r="E3940" s="81"/>
      <c r="I3940" s="83" t="e">
        <f>VLOOKUP(E3940,[1]Mapping!$A$3:$B$14,2,FALSE)</f>
        <v>#N/A</v>
      </c>
      <c r="J3940" s="84">
        <f t="shared" si="124"/>
        <v>0</v>
      </c>
      <c r="K3940" s="84">
        <f t="shared" si="125"/>
        <v>0</v>
      </c>
      <c r="L3940" s="61" t="e">
        <f>VLOOKUP(K3940,[1]Mapping!$J$3:$Q$351,8,FALSE)</f>
        <v>#N/A</v>
      </c>
      <c r="M3940" t="s">
        <v>83</v>
      </c>
    </row>
    <row r="3941" spans="5:13" hidden="1" x14ac:dyDescent="0.35">
      <c r="E3941" s="81"/>
      <c r="I3941" s="83" t="e">
        <f>VLOOKUP(E3941,[1]Mapping!$A$3:$B$14,2,FALSE)</f>
        <v>#N/A</v>
      </c>
      <c r="J3941" s="84">
        <f t="shared" si="124"/>
        <v>0</v>
      </c>
      <c r="K3941" s="84">
        <f t="shared" si="125"/>
        <v>0</v>
      </c>
      <c r="L3941" s="61" t="e">
        <f>VLOOKUP(K3941,[1]Mapping!$J$3:$Q$351,8,FALSE)</f>
        <v>#N/A</v>
      </c>
      <c r="M3941" t="s">
        <v>83</v>
      </c>
    </row>
    <row r="3942" spans="5:13" hidden="1" x14ac:dyDescent="0.35">
      <c r="E3942" s="81"/>
      <c r="I3942" s="83" t="e">
        <f>VLOOKUP(E3942,[1]Mapping!$A$3:$B$14,2,FALSE)</f>
        <v>#N/A</v>
      </c>
      <c r="J3942" s="84">
        <f t="shared" si="124"/>
        <v>0</v>
      </c>
      <c r="K3942" s="84">
        <f t="shared" si="125"/>
        <v>0</v>
      </c>
      <c r="L3942" s="61" t="e">
        <f>VLOOKUP(K3942,[1]Mapping!$J$3:$Q$351,8,FALSE)</f>
        <v>#N/A</v>
      </c>
      <c r="M3942" t="s">
        <v>83</v>
      </c>
    </row>
    <row r="3943" spans="5:13" hidden="1" x14ac:dyDescent="0.35">
      <c r="E3943" s="81"/>
      <c r="I3943" s="83" t="e">
        <f>VLOOKUP(E3943,[1]Mapping!$A$3:$B$14,2,FALSE)</f>
        <v>#N/A</v>
      </c>
      <c r="J3943" s="84">
        <f t="shared" si="124"/>
        <v>0</v>
      </c>
      <c r="K3943" s="84">
        <f t="shared" si="125"/>
        <v>0</v>
      </c>
      <c r="L3943" s="61" t="e">
        <f>VLOOKUP(K3943,[1]Mapping!$J$3:$Q$351,8,FALSE)</f>
        <v>#N/A</v>
      </c>
      <c r="M3943" t="s">
        <v>83</v>
      </c>
    </row>
    <row r="3944" spans="5:13" hidden="1" x14ac:dyDescent="0.35">
      <c r="E3944" s="81"/>
      <c r="I3944" s="83" t="e">
        <f>VLOOKUP(E3944,[1]Mapping!$A$3:$B$14,2,FALSE)</f>
        <v>#N/A</v>
      </c>
      <c r="J3944" s="84">
        <f t="shared" si="124"/>
        <v>0</v>
      </c>
      <c r="K3944" s="84">
        <f t="shared" si="125"/>
        <v>0</v>
      </c>
      <c r="L3944" s="61" t="e">
        <f>VLOOKUP(K3944,[1]Mapping!$J$3:$Q$351,8,FALSE)</f>
        <v>#N/A</v>
      </c>
      <c r="M3944" t="s">
        <v>83</v>
      </c>
    </row>
    <row r="3945" spans="5:13" hidden="1" x14ac:dyDescent="0.35">
      <c r="E3945" s="81"/>
      <c r="I3945" s="83" t="e">
        <f>VLOOKUP(E3945,[1]Mapping!$A$3:$B$14,2,FALSE)</f>
        <v>#N/A</v>
      </c>
      <c r="J3945" s="84">
        <f t="shared" si="124"/>
        <v>0</v>
      </c>
      <c r="K3945" s="84">
        <f t="shared" si="125"/>
        <v>0</v>
      </c>
      <c r="L3945" s="61" t="e">
        <f>VLOOKUP(K3945,[1]Mapping!$J$3:$Q$351,8,FALSE)</f>
        <v>#N/A</v>
      </c>
      <c r="M3945" t="s">
        <v>83</v>
      </c>
    </row>
    <row r="3946" spans="5:13" hidden="1" x14ac:dyDescent="0.35">
      <c r="E3946" s="81"/>
      <c r="I3946" s="83" t="e">
        <f>VLOOKUP(E3946,[1]Mapping!$A$3:$B$14,2,FALSE)</f>
        <v>#N/A</v>
      </c>
      <c r="J3946" s="84">
        <f t="shared" si="124"/>
        <v>0</v>
      </c>
      <c r="K3946" s="84">
        <f t="shared" si="125"/>
        <v>0</v>
      </c>
      <c r="L3946" s="61" t="e">
        <f>VLOOKUP(K3946,[1]Mapping!$J$3:$Q$351,8,FALSE)</f>
        <v>#N/A</v>
      </c>
      <c r="M3946" t="s">
        <v>83</v>
      </c>
    </row>
    <row r="3947" spans="5:13" hidden="1" x14ac:dyDescent="0.35">
      <c r="E3947" s="81"/>
      <c r="I3947" s="83" t="e">
        <f>VLOOKUP(E3947,[1]Mapping!$A$3:$B$14,2,FALSE)</f>
        <v>#N/A</v>
      </c>
      <c r="J3947" s="84">
        <f t="shared" si="124"/>
        <v>0</v>
      </c>
      <c r="K3947" s="84">
        <f t="shared" si="125"/>
        <v>0</v>
      </c>
      <c r="L3947" s="61" t="e">
        <f>VLOOKUP(K3947,[1]Mapping!$J$3:$Q$351,8,FALSE)</f>
        <v>#N/A</v>
      </c>
      <c r="M3947" t="s">
        <v>83</v>
      </c>
    </row>
    <row r="3948" spans="5:13" hidden="1" x14ac:dyDescent="0.35">
      <c r="E3948" s="81"/>
      <c r="I3948" s="83" t="e">
        <f>VLOOKUP(E3948,[1]Mapping!$A$3:$B$14,2,FALSE)</f>
        <v>#N/A</v>
      </c>
      <c r="J3948" s="84">
        <f t="shared" si="124"/>
        <v>0</v>
      </c>
      <c r="K3948" s="84">
        <f t="shared" si="125"/>
        <v>0</v>
      </c>
      <c r="L3948" s="61" t="e">
        <f>VLOOKUP(K3948,[1]Mapping!$J$3:$Q$351,8,FALSE)</f>
        <v>#N/A</v>
      </c>
      <c r="M3948" t="s">
        <v>83</v>
      </c>
    </row>
    <row r="3949" spans="5:13" hidden="1" x14ac:dyDescent="0.35">
      <c r="E3949" s="81"/>
      <c r="I3949" s="83" t="e">
        <f>VLOOKUP(E3949,[1]Mapping!$A$3:$B$14,2,FALSE)</f>
        <v>#N/A</v>
      </c>
      <c r="J3949" s="84">
        <f t="shared" si="124"/>
        <v>0</v>
      </c>
      <c r="K3949" s="84">
        <f t="shared" si="125"/>
        <v>0</v>
      </c>
      <c r="L3949" s="61" t="e">
        <f>VLOOKUP(K3949,[1]Mapping!$J$3:$Q$351,8,FALSE)</f>
        <v>#N/A</v>
      </c>
      <c r="M3949" t="s">
        <v>83</v>
      </c>
    </row>
    <row r="3950" spans="5:13" hidden="1" x14ac:dyDescent="0.35">
      <c r="E3950" s="81"/>
      <c r="I3950" s="83" t="e">
        <f>VLOOKUP(E3950,[1]Mapping!$A$3:$B$14,2,FALSE)</f>
        <v>#N/A</v>
      </c>
      <c r="J3950" s="84">
        <f t="shared" si="124"/>
        <v>0</v>
      </c>
      <c r="K3950" s="84">
        <f t="shared" si="125"/>
        <v>0</v>
      </c>
      <c r="L3950" s="61" t="e">
        <f>VLOOKUP(K3950,[1]Mapping!$J$3:$Q$351,8,FALSE)</f>
        <v>#N/A</v>
      </c>
      <c r="M3950" t="s">
        <v>83</v>
      </c>
    </row>
    <row r="3951" spans="5:13" hidden="1" x14ac:dyDescent="0.35">
      <c r="E3951" s="81"/>
      <c r="I3951" s="83" t="e">
        <f>VLOOKUP(E3951,[1]Mapping!$A$3:$B$14,2,FALSE)</f>
        <v>#N/A</v>
      </c>
      <c r="J3951" s="84">
        <f t="shared" si="124"/>
        <v>0</v>
      </c>
      <c r="K3951" s="84">
        <f t="shared" si="125"/>
        <v>0</v>
      </c>
      <c r="L3951" s="61" t="e">
        <f>VLOOKUP(K3951,[1]Mapping!$J$3:$Q$351,8,FALSE)</f>
        <v>#N/A</v>
      </c>
      <c r="M3951" t="s">
        <v>83</v>
      </c>
    </row>
    <row r="3952" spans="5:13" hidden="1" x14ac:dyDescent="0.35">
      <c r="E3952" s="81"/>
      <c r="I3952" s="83" t="e">
        <f>VLOOKUP(E3952,[1]Mapping!$A$3:$B$14,2,FALSE)</f>
        <v>#N/A</v>
      </c>
      <c r="J3952" s="84">
        <f t="shared" si="124"/>
        <v>0</v>
      </c>
      <c r="K3952" s="84">
        <f t="shared" si="125"/>
        <v>0</v>
      </c>
      <c r="L3952" s="61" t="e">
        <f>VLOOKUP(K3952,[1]Mapping!$J$3:$Q$351,8,FALSE)</f>
        <v>#N/A</v>
      </c>
      <c r="M3952" t="s">
        <v>83</v>
      </c>
    </row>
    <row r="3953" spans="5:13" hidden="1" x14ac:dyDescent="0.35">
      <c r="E3953" s="81"/>
      <c r="I3953" s="83" t="e">
        <f>VLOOKUP(E3953,[1]Mapping!$A$3:$B$14,2,FALSE)</f>
        <v>#N/A</v>
      </c>
      <c r="J3953" s="84">
        <f t="shared" si="124"/>
        <v>0</v>
      </c>
      <c r="K3953" s="84">
        <f t="shared" si="125"/>
        <v>0</v>
      </c>
      <c r="L3953" s="61" t="e">
        <f>VLOOKUP(K3953,[1]Mapping!$J$3:$Q$351,8,FALSE)</f>
        <v>#N/A</v>
      </c>
      <c r="M3953" t="s">
        <v>83</v>
      </c>
    </row>
    <row r="3954" spans="5:13" hidden="1" x14ac:dyDescent="0.35">
      <c r="E3954" s="81"/>
      <c r="I3954" s="83" t="e">
        <f>VLOOKUP(E3954,[1]Mapping!$A$3:$B$14,2,FALSE)</f>
        <v>#N/A</v>
      </c>
      <c r="J3954" s="84">
        <f t="shared" si="124"/>
        <v>0</v>
      </c>
      <c r="K3954" s="84">
        <f t="shared" si="125"/>
        <v>0</v>
      </c>
      <c r="L3954" s="61" t="e">
        <f>VLOOKUP(K3954,[1]Mapping!$J$3:$Q$351,8,FALSE)</f>
        <v>#N/A</v>
      </c>
      <c r="M3954" t="s">
        <v>83</v>
      </c>
    </row>
    <row r="3955" spans="5:13" hidden="1" x14ac:dyDescent="0.35">
      <c r="E3955" s="81"/>
      <c r="I3955" s="83" t="e">
        <f>VLOOKUP(E3955,[1]Mapping!$A$3:$B$14,2,FALSE)</f>
        <v>#N/A</v>
      </c>
      <c r="J3955" s="84">
        <f t="shared" si="124"/>
        <v>0</v>
      </c>
      <c r="K3955" s="84">
        <f t="shared" si="125"/>
        <v>0</v>
      </c>
      <c r="L3955" s="61" t="e">
        <f>VLOOKUP(K3955,[1]Mapping!$J$3:$Q$351,8,FALSE)</f>
        <v>#N/A</v>
      </c>
      <c r="M3955" t="s">
        <v>83</v>
      </c>
    </row>
    <row r="3956" spans="5:13" hidden="1" x14ac:dyDescent="0.35">
      <c r="E3956" s="81"/>
      <c r="I3956" s="83" t="e">
        <f>VLOOKUP(E3956,[1]Mapping!$A$3:$B$14,2,FALSE)</f>
        <v>#N/A</v>
      </c>
      <c r="J3956" s="84">
        <f t="shared" si="124"/>
        <v>0</v>
      </c>
      <c r="K3956" s="84">
        <f t="shared" si="125"/>
        <v>0</v>
      </c>
      <c r="L3956" s="61" t="e">
        <f>VLOOKUP(K3956,[1]Mapping!$J$3:$Q$351,8,FALSE)</f>
        <v>#N/A</v>
      </c>
      <c r="M3956" t="s">
        <v>83</v>
      </c>
    </row>
    <row r="3957" spans="5:13" hidden="1" x14ac:dyDescent="0.35">
      <c r="E3957" s="81"/>
      <c r="I3957" s="83" t="e">
        <f>VLOOKUP(E3957,[1]Mapping!$A$3:$B$14,2,FALSE)</f>
        <v>#N/A</v>
      </c>
      <c r="J3957" s="84">
        <f t="shared" si="124"/>
        <v>0</v>
      </c>
      <c r="K3957" s="84">
        <f t="shared" si="125"/>
        <v>0</v>
      </c>
      <c r="L3957" s="61" t="e">
        <f>VLOOKUP(K3957,[1]Mapping!$J$3:$Q$351,8,FALSE)</f>
        <v>#N/A</v>
      </c>
      <c r="M3957" t="s">
        <v>83</v>
      </c>
    </row>
    <row r="3958" spans="5:13" hidden="1" x14ac:dyDescent="0.35">
      <c r="E3958" s="81"/>
      <c r="I3958" s="83" t="e">
        <f>VLOOKUP(E3958,[1]Mapping!$A$3:$B$14,2,FALSE)</f>
        <v>#N/A</v>
      </c>
      <c r="J3958" s="84">
        <f t="shared" si="124"/>
        <v>0</v>
      </c>
      <c r="K3958" s="84">
        <f t="shared" si="125"/>
        <v>0</v>
      </c>
      <c r="L3958" s="61" t="e">
        <f>VLOOKUP(K3958,[1]Mapping!$J$3:$Q$351,8,FALSE)</f>
        <v>#N/A</v>
      </c>
      <c r="M3958" t="s">
        <v>83</v>
      </c>
    </row>
    <row r="3959" spans="5:13" hidden="1" x14ac:dyDescent="0.35">
      <c r="E3959" s="81"/>
      <c r="I3959" s="83" t="e">
        <f>VLOOKUP(E3959,[1]Mapping!$A$3:$B$14,2,FALSE)</f>
        <v>#N/A</v>
      </c>
      <c r="J3959" s="84">
        <f t="shared" si="124"/>
        <v>0</v>
      </c>
      <c r="K3959" s="84">
        <f t="shared" si="125"/>
        <v>0</v>
      </c>
      <c r="L3959" s="61" t="e">
        <f>VLOOKUP(K3959,[1]Mapping!$J$3:$Q$351,8,FALSE)</f>
        <v>#N/A</v>
      </c>
      <c r="M3959" t="s">
        <v>83</v>
      </c>
    </row>
    <row r="3960" spans="5:13" hidden="1" x14ac:dyDescent="0.35">
      <c r="E3960" s="81"/>
      <c r="I3960" s="83" t="e">
        <f>VLOOKUP(E3960,[1]Mapping!$A$3:$B$14,2,FALSE)</f>
        <v>#N/A</v>
      </c>
      <c r="J3960" s="84">
        <f t="shared" si="124"/>
        <v>0</v>
      </c>
      <c r="K3960" s="84">
        <f t="shared" si="125"/>
        <v>0</v>
      </c>
      <c r="L3960" s="61" t="e">
        <f>VLOOKUP(K3960,[1]Mapping!$J$3:$Q$351,8,FALSE)</f>
        <v>#N/A</v>
      </c>
      <c r="M3960" t="s">
        <v>83</v>
      </c>
    </row>
    <row r="3961" spans="5:13" hidden="1" x14ac:dyDescent="0.35">
      <c r="E3961" s="81"/>
      <c r="I3961" s="83" t="e">
        <f>VLOOKUP(E3961,[1]Mapping!$A$3:$B$14,2,FALSE)</f>
        <v>#N/A</v>
      </c>
      <c r="J3961" s="84">
        <f t="shared" si="124"/>
        <v>0</v>
      </c>
      <c r="K3961" s="84">
        <f t="shared" si="125"/>
        <v>0</v>
      </c>
      <c r="L3961" s="61" t="e">
        <f>VLOOKUP(K3961,[1]Mapping!$J$3:$Q$351,8,FALSE)</f>
        <v>#N/A</v>
      </c>
      <c r="M3961" t="s">
        <v>83</v>
      </c>
    </row>
    <row r="3962" spans="5:13" hidden="1" x14ac:dyDescent="0.35">
      <c r="E3962" s="81"/>
      <c r="I3962" s="83" t="e">
        <f>VLOOKUP(E3962,[1]Mapping!$A$3:$B$14,2,FALSE)</f>
        <v>#N/A</v>
      </c>
      <c r="J3962" s="84">
        <f t="shared" si="124"/>
        <v>0</v>
      </c>
      <c r="K3962" s="84">
        <f t="shared" si="125"/>
        <v>0</v>
      </c>
      <c r="L3962" s="61" t="e">
        <f>VLOOKUP(K3962,[1]Mapping!$J$3:$Q$351,8,FALSE)</f>
        <v>#N/A</v>
      </c>
      <c r="M3962" t="s">
        <v>83</v>
      </c>
    </row>
    <row r="3963" spans="5:13" hidden="1" x14ac:dyDescent="0.35">
      <c r="E3963" s="81"/>
      <c r="I3963" s="83" t="e">
        <f>VLOOKUP(E3963,[1]Mapping!$A$3:$B$14,2,FALSE)</f>
        <v>#N/A</v>
      </c>
      <c r="J3963" s="84">
        <f t="shared" si="124"/>
        <v>0</v>
      </c>
      <c r="K3963" s="84">
        <f t="shared" si="125"/>
        <v>0</v>
      </c>
      <c r="L3963" s="61" t="e">
        <f>VLOOKUP(K3963,[1]Mapping!$J$3:$Q$351,8,FALSE)</f>
        <v>#N/A</v>
      </c>
      <c r="M3963" t="s">
        <v>83</v>
      </c>
    </row>
    <row r="3964" spans="5:13" hidden="1" x14ac:dyDescent="0.35">
      <c r="E3964" s="81"/>
      <c r="I3964" s="83" t="e">
        <f>VLOOKUP(E3964,[1]Mapping!$A$3:$B$14,2,FALSE)</f>
        <v>#N/A</v>
      </c>
      <c r="J3964" s="84">
        <f t="shared" si="124"/>
        <v>0</v>
      </c>
      <c r="K3964" s="84">
        <f t="shared" si="125"/>
        <v>0</v>
      </c>
      <c r="L3964" s="61" t="e">
        <f>VLOOKUP(K3964,[1]Mapping!$J$3:$Q$351,8,FALSE)</f>
        <v>#N/A</v>
      </c>
      <c r="M3964" t="s">
        <v>83</v>
      </c>
    </row>
    <row r="3965" spans="5:13" hidden="1" x14ac:dyDescent="0.35">
      <c r="E3965" s="81"/>
      <c r="I3965" s="83" t="e">
        <f>VLOOKUP(E3965,[1]Mapping!$A$3:$B$14,2,FALSE)</f>
        <v>#N/A</v>
      </c>
      <c r="J3965" s="84">
        <f t="shared" si="124"/>
        <v>0</v>
      </c>
      <c r="K3965" s="84">
        <f t="shared" si="125"/>
        <v>0</v>
      </c>
      <c r="L3965" s="61" t="e">
        <f>VLOOKUP(K3965,[1]Mapping!$J$3:$Q$351,8,FALSE)</f>
        <v>#N/A</v>
      </c>
      <c r="M3965" t="s">
        <v>83</v>
      </c>
    </row>
    <row r="3966" spans="5:13" hidden="1" x14ac:dyDescent="0.35">
      <c r="E3966" s="81"/>
      <c r="I3966" s="83" t="e">
        <f>VLOOKUP(E3966,[1]Mapping!$A$3:$B$14,2,FALSE)</f>
        <v>#N/A</v>
      </c>
      <c r="J3966" s="84">
        <f t="shared" si="124"/>
        <v>0</v>
      </c>
      <c r="K3966" s="84">
        <f t="shared" si="125"/>
        <v>0</v>
      </c>
      <c r="L3966" s="61" t="e">
        <f>VLOOKUP(K3966,[1]Mapping!$J$3:$Q$351,8,FALSE)</f>
        <v>#N/A</v>
      </c>
      <c r="M3966" t="s">
        <v>83</v>
      </c>
    </row>
    <row r="3967" spans="5:13" hidden="1" x14ac:dyDescent="0.35">
      <c r="E3967" s="81"/>
      <c r="I3967" s="83" t="e">
        <f>VLOOKUP(E3967,[1]Mapping!$A$3:$B$14,2,FALSE)</f>
        <v>#N/A</v>
      </c>
      <c r="J3967" s="84">
        <f t="shared" si="124"/>
        <v>0</v>
      </c>
      <c r="K3967" s="84">
        <f t="shared" si="125"/>
        <v>0</v>
      </c>
      <c r="L3967" s="61" t="e">
        <f>VLOOKUP(K3967,[1]Mapping!$J$3:$Q$351,8,FALSE)</f>
        <v>#N/A</v>
      </c>
      <c r="M3967" t="s">
        <v>83</v>
      </c>
    </row>
    <row r="3968" spans="5:13" hidden="1" x14ac:dyDescent="0.35">
      <c r="E3968" s="81"/>
      <c r="I3968" s="83" t="e">
        <f>VLOOKUP(E3968,[1]Mapping!$A$3:$B$14,2,FALSE)</f>
        <v>#N/A</v>
      </c>
      <c r="J3968" s="84">
        <f t="shared" si="124"/>
        <v>0</v>
      </c>
      <c r="K3968" s="84">
        <f t="shared" si="125"/>
        <v>0</v>
      </c>
      <c r="L3968" s="61" t="e">
        <f>VLOOKUP(K3968,[1]Mapping!$J$3:$Q$351,8,FALSE)</f>
        <v>#N/A</v>
      </c>
      <c r="M3968" t="s">
        <v>83</v>
      </c>
    </row>
    <row r="3969" spans="5:13" hidden="1" x14ac:dyDescent="0.35">
      <c r="E3969" s="81"/>
      <c r="I3969" s="83" t="e">
        <f>VLOOKUP(E3969,[1]Mapping!$A$3:$B$14,2,FALSE)</f>
        <v>#N/A</v>
      </c>
      <c r="J3969" s="84">
        <f t="shared" si="124"/>
        <v>0</v>
      </c>
      <c r="K3969" s="84">
        <f t="shared" si="125"/>
        <v>0</v>
      </c>
      <c r="L3969" s="61" t="e">
        <f>VLOOKUP(K3969,[1]Mapping!$J$3:$Q$351,8,FALSE)</f>
        <v>#N/A</v>
      </c>
      <c r="M3969" t="s">
        <v>83</v>
      </c>
    </row>
    <row r="3970" spans="5:13" hidden="1" x14ac:dyDescent="0.35">
      <c r="E3970" s="81"/>
      <c r="I3970" s="83" t="e">
        <f>VLOOKUP(E3970,[1]Mapping!$A$3:$B$14,2,FALSE)</f>
        <v>#N/A</v>
      </c>
      <c r="J3970" s="84">
        <f t="shared" si="124"/>
        <v>0</v>
      </c>
      <c r="K3970" s="84">
        <f t="shared" si="125"/>
        <v>0</v>
      </c>
      <c r="L3970" s="61" t="e">
        <f>VLOOKUP(K3970,[1]Mapping!$J$3:$Q$351,8,FALSE)</f>
        <v>#N/A</v>
      </c>
      <c r="M3970" t="s">
        <v>83</v>
      </c>
    </row>
    <row r="3971" spans="5:13" hidden="1" x14ac:dyDescent="0.35">
      <c r="E3971" s="81"/>
      <c r="I3971" s="83" t="e">
        <f>VLOOKUP(E3971,[1]Mapping!$A$3:$B$14,2,FALSE)</f>
        <v>#N/A</v>
      </c>
      <c r="J3971" s="84">
        <f t="shared" si="124"/>
        <v>0</v>
      </c>
      <c r="K3971" s="84">
        <f t="shared" si="125"/>
        <v>0</v>
      </c>
      <c r="L3971" s="61" t="e">
        <f>VLOOKUP(K3971,[1]Mapping!$J$3:$Q$351,8,FALSE)</f>
        <v>#N/A</v>
      </c>
      <c r="M3971" t="s">
        <v>83</v>
      </c>
    </row>
    <row r="3972" spans="5:13" hidden="1" x14ac:dyDescent="0.35">
      <c r="E3972" s="81"/>
      <c r="I3972" s="83" t="e">
        <f>VLOOKUP(E3972,[1]Mapping!$A$3:$B$14,2,FALSE)</f>
        <v>#N/A</v>
      </c>
      <c r="J3972" s="84">
        <f t="shared" ref="J3972:J4035" si="126">VALUE(A3972)</f>
        <v>0</v>
      </c>
      <c r="K3972" s="84">
        <f t="shared" ref="K3972:K4035" si="127">VALUE(C3972)</f>
        <v>0</v>
      </c>
      <c r="L3972" s="61" t="e">
        <f>VLOOKUP(K3972,[1]Mapping!$J$3:$Q$351,8,FALSE)</f>
        <v>#N/A</v>
      </c>
      <c r="M3972" t="s">
        <v>83</v>
      </c>
    </row>
    <row r="3973" spans="5:13" hidden="1" x14ac:dyDescent="0.35">
      <c r="E3973" s="81"/>
      <c r="I3973" s="83" t="e">
        <f>VLOOKUP(E3973,[1]Mapping!$A$3:$B$14,2,FALSE)</f>
        <v>#N/A</v>
      </c>
      <c r="J3973" s="84">
        <f t="shared" si="126"/>
        <v>0</v>
      </c>
      <c r="K3973" s="84">
        <f t="shared" si="127"/>
        <v>0</v>
      </c>
      <c r="L3973" s="61" t="e">
        <f>VLOOKUP(K3973,[1]Mapping!$J$3:$Q$351,8,FALSE)</f>
        <v>#N/A</v>
      </c>
      <c r="M3973" t="s">
        <v>83</v>
      </c>
    </row>
    <row r="3974" spans="5:13" hidden="1" x14ac:dyDescent="0.35">
      <c r="E3974" s="81"/>
      <c r="I3974" s="83" t="e">
        <f>VLOOKUP(E3974,[1]Mapping!$A$3:$B$14,2,FALSE)</f>
        <v>#N/A</v>
      </c>
      <c r="J3974" s="84">
        <f t="shared" si="126"/>
        <v>0</v>
      </c>
      <c r="K3974" s="84">
        <f t="shared" si="127"/>
        <v>0</v>
      </c>
      <c r="L3974" s="61" t="e">
        <f>VLOOKUP(K3974,[1]Mapping!$J$3:$Q$351,8,FALSE)</f>
        <v>#N/A</v>
      </c>
      <c r="M3974" t="s">
        <v>83</v>
      </c>
    </row>
    <row r="3975" spans="5:13" hidden="1" x14ac:dyDescent="0.35">
      <c r="E3975" s="81"/>
      <c r="I3975" s="83" t="e">
        <f>VLOOKUP(E3975,[1]Mapping!$A$3:$B$14,2,FALSE)</f>
        <v>#N/A</v>
      </c>
      <c r="J3975" s="84">
        <f t="shared" si="126"/>
        <v>0</v>
      </c>
      <c r="K3975" s="84">
        <f t="shared" si="127"/>
        <v>0</v>
      </c>
      <c r="L3975" s="61" t="e">
        <f>VLOOKUP(K3975,[1]Mapping!$J$3:$Q$351,8,FALSE)</f>
        <v>#N/A</v>
      </c>
      <c r="M3975" t="s">
        <v>83</v>
      </c>
    </row>
    <row r="3976" spans="5:13" hidden="1" x14ac:dyDescent="0.35">
      <c r="E3976" s="81"/>
      <c r="I3976" s="83" t="e">
        <f>VLOOKUP(E3976,[1]Mapping!$A$3:$B$14,2,FALSE)</f>
        <v>#N/A</v>
      </c>
      <c r="J3976" s="84">
        <f t="shared" si="126"/>
        <v>0</v>
      </c>
      <c r="K3976" s="84">
        <f t="shared" si="127"/>
        <v>0</v>
      </c>
      <c r="L3976" s="61" t="e">
        <f>VLOOKUP(K3976,[1]Mapping!$J$3:$Q$351,8,FALSE)</f>
        <v>#N/A</v>
      </c>
      <c r="M3976" t="s">
        <v>83</v>
      </c>
    </row>
    <row r="3977" spans="5:13" hidden="1" x14ac:dyDescent="0.35">
      <c r="E3977" s="81"/>
      <c r="I3977" s="83" t="e">
        <f>VLOOKUP(E3977,[1]Mapping!$A$3:$B$14,2,FALSE)</f>
        <v>#N/A</v>
      </c>
      <c r="J3977" s="84">
        <f t="shared" si="126"/>
        <v>0</v>
      </c>
      <c r="K3977" s="84">
        <f t="shared" si="127"/>
        <v>0</v>
      </c>
      <c r="L3977" s="61" t="e">
        <f>VLOOKUP(K3977,[1]Mapping!$J$3:$Q$351,8,FALSE)</f>
        <v>#N/A</v>
      </c>
      <c r="M3977" t="s">
        <v>83</v>
      </c>
    </row>
    <row r="3978" spans="5:13" hidden="1" x14ac:dyDescent="0.35">
      <c r="E3978" s="81"/>
      <c r="I3978" s="83" t="e">
        <f>VLOOKUP(E3978,[1]Mapping!$A$3:$B$14,2,FALSE)</f>
        <v>#N/A</v>
      </c>
      <c r="J3978" s="84">
        <f t="shared" si="126"/>
        <v>0</v>
      </c>
      <c r="K3978" s="84">
        <f t="shared" si="127"/>
        <v>0</v>
      </c>
      <c r="L3978" s="61" t="e">
        <f>VLOOKUP(K3978,[1]Mapping!$J$3:$Q$351,8,FALSE)</f>
        <v>#N/A</v>
      </c>
      <c r="M3978" t="s">
        <v>83</v>
      </c>
    </row>
    <row r="3979" spans="5:13" hidden="1" x14ac:dyDescent="0.35">
      <c r="E3979" s="81"/>
      <c r="I3979" s="83" t="e">
        <f>VLOOKUP(E3979,[1]Mapping!$A$3:$B$14,2,FALSE)</f>
        <v>#N/A</v>
      </c>
      <c r="J3979" s="84">
        <f t="shared" si="126"/>
        <v>0</v>
      </c>
      <c r="K3979" s="84">
        <f t="shared" si="127"/>
        <v>0</v>
      </c>
      <c r="L3979" s="61" t="e">
        <f>VLOOKUP(K3979,[1]Mapping!$J$3:$Q$351,8,FALSE)</f>
        <v>#N/A</v>
      </c>
      <c r="M3979" t="s">
        <v>83</v>
      </c>
    </row>
    <row r="3980" spans="5:13" hidden="1" x14ac:dyDescent="0.35">
      <c r="E3980" s="81"/>
      <c r="I3980" s="83" t="e">
        <f>VLOOKUP(E3980,[1]Mapping!$A$3:$B$14,2,FALSE)</f>
        <v>#N/A</v>
      </c>
      <c r="J3980" s="84">
        <f t="shared" si="126"/>
        <v>0</v>
      </c>
      <c r="K3980" s="84">
        <f t="shared" si="127"/>
        <v>0</v>
      </c>
      <c r="L3980" s="61" t="e">
        <f>VLOOKUP(K3980,[1]Mapping!$J$3:$Q$351,8,FALSE)</f>
        <v>#N/A</v>
      </c>
      <c r="M3980" t="s">
        <v>83</v>
      </c>
    </row>
    <row r="3981" spans="5:13" hidden="1" x14ac:dyDescent="0.35">
      <c r="E3981" s="81"/>
      <c r="I3981" s="83" t="e">
        <f>VLOOKUP(E3981,[1]Mapping!$A$3:$B$14,2,FALSE)</f>
        <v>#N/A</v>
      </c>
      <c r="J3981" s="84">
        <f t="shared" si="126"/>
        <v>0</v>
      </c>
      <c r="K3981" s="84">
        <f t="shared" si="127"/>
        <v>0</v>
      </c>
      <c r="L3981" s="61" t="e">
        <f>VLOOKUP(K3981,[1]Mapping!$J$3:$Q$351,8,FALSE)</f>
        <v>#N/A</v>
      </c>
      <c r="M3981" t="s">
        <v>83</v>
      </c>
    </row>
    <row r="3982" spans="5:13" hidden="1" x14ac:dyDescent="0.35">
      <c r="E3982" s="81"/>
      <c r="I3982" s="83" t="e">
        <f>VLOOKUP(E3982,[1]Mapping!$A$3:$B$14,2,FALSE)</f>
        <v>#N/A</v>
      </c>
      <c r="J3982" s="84">
        <f t="shared" si="126"/>
        <v>0</v>
      </c>
      <c r="K3982" s="84">
        <f t="shared" si="127"/>
        <v>0</v>
      </c>
      <c r="L3982" s="61" t="e">
        <f>VLOOKUP(K3982,[1]Mapping!$J$3:$Q$351,8,FALSE)</f>
        <v>#N/A</v>
      </c>
      <c r="M3982" t="s">
        <v>83</v>
      </c>
    </row>
    <row r="3983" spans="5:13" hidden="1" x14ac:dyDescent="0.35">
      <c r="E3983" s="81"/>
      <c r="I3983" s="83" t="e">
        <f>VLOOKUP(E3983,[1]Mapping!$A$3:$B$14,2,FALSE)</f>
        <v>#N/A</v>
      </c>
      <c r="J3983" s="84">
        <f t="shared" si="126"/>
        <v>0</v>
      </c>
      <c r="K3983" s="84">
        <f t="shared" si="127"/>
        <v>0</v>
      </c>
      <c r="L3983" s="61" t="e">
        <f>VLOOKUP(K3983,[1]Mapping!$J$3:$Q$351,8,FALSE)</f>
        <v>#N/A</v>
      </c>
      <c r="M3983" t="s">
        <v>83</v>
      </c>
    </row>
    <row r="3984" spans="5:13" hidden="1" x14ac:dyDescent="0.35">
      <c r="E3984" s="81"/>
      <c r="I3984" s="83" t="e">
        <f>VLOOKUP(E3984,[1]Mapping!$A$3:$B$14,2,FALSE)</f>
        <v>#N/A</v>
      </c>
      <c r="J3984" s="84">
        <f t="shared" si="126"/>
        <v>0</v>
      </c>
      <c r="K3984" s="84">
        <f t="shared" si="127"/>
        <v>0</v>
      </c>
      <c r="L3984" s="61" t="e">
        <f>VLOOKUP(K3984,[1]Mapping!$J$3:$Q$351,8,FALSE)</f>
        <v>#N/A</v>
      </c>
      <c r="M3984" t="s">
        <v>83</v>
      </c>
    </row>
    <row r="3985" spans="5:13" hidden="1" x14ac:dyDescent="0.35">
      <c r="E3985" s="81"/>
      <c r="I3985" s="83" t="e">
        <f>VLOOKUP(E3985,[1]Mapping!$A$3:$B$14,2,FALSE)</f>
        <v>#N/A</v>
      </c>
      <c r="J3985" s="84">
        <f t="shared" si="126"/>
        <v>0</v>
      </c>
      <c r="K3985" s="84">
        <f t="shared" si="127"/>
        <v>0</v>
      </c>
      <c r="L3985" s="61" t="e">
        <f>VLOOKUP(K3985,[1]Mapping!$J$3:$Q$351,8,FALSE)</f>
        <v>#N/A</v>
      </c>
      <c r="M3985" t="s">
        <v>83</v>
      </c>
    </row>
    <row r="3986" spans="5:13" hidden="1" x14ac:dyDescent="0.35">
      <c r="E3986" s="81"/>
      <c r="I3986" s="83" t="e">
        <f>VLOOKUP(E3986,[1]Mapping!$A$3:$B$14,2,FALSE)</f>
        <v>#N/A</v>
      </c>
      <c r="J3986" s="84">
        <f t="shared" si="126"/>
        <v>0</v>
      </c>
      <c r="K3986" s="84">
        <f t="shared" si="127"/>
        <v>0</v>
      </c>
      <c r="L3986" s="61" t="e">
        <f>VLOOKUP(K3986,[1]Mapping!$J$3:$Q$351,8,FALSE)</f>
        <v>#N/A</v>
      </c>
      <c r="M3986" t="s">
        <v>83</v>
      </c>
    </row>
    <row r="3987" spans="5:13" hidden="1" x14ac:dyDescent="0.35">
      <c r="E3987" s="81"/>
      <c r="I3987" s="83" t="e">
        <f>VLOOKUP(E3987,[1]Mapping!$A$3:$B$14,2,FALSE)</f>
        <v>#N/A</v>
      </c>
      <c r="J3987" s="84">
        <f t="shared" si="126"/>
        <v>0</v>
      </c>
      <c r="K3987" s="84">
        <f t="shared" si="127"/>
        <v>0</v>
      </c>
      <c r="L3987" s="61" t="e">
        <f>VLOOKUP(K3987,[1]Mapping!$J$3:$Q$351,8,FALSE)</f>
        <v>#N/A</v>
      </c>
      <c r="M3987" t="s">
        <v>83</v>
      </c>
    </row>
    <row r="3988" spans="5:13" hidden="1" x14ac:dyDescent="0.35">
      <c r="E3988" s="81"/>
      <c r="I3988" s="83" t="e">
        <f>VLOOKUP(E3988,[1]Mapping!$A$3:$B$14,2,FALSE)</f>
        <v>#N/A</v>
      </c>
      <c r="J3988" s="84">
        <f t="shared" si="126"/>
        <v>0</v>
      </c>
      <c r="K3988" s="84">
        <f t="shared" si="127"/>
        <v>0</v>
      </c>
      <c r="L3988" s="61" t="e">
        <f>VLOOKUP(K3988,[1]Mapping!$J$3:$Q$351,8,FALSE)</f>
        <v>#N/A</v>
      </c>
      <c r="M3988" t="s">
        <v>83</v>
      </c>
    </row>
    <row r="3989" spans="5:13" hidden="1" x14ac:dyDescent="0.35">
      <c r="E3989" s="81"/>
      <c r="I3989" s="83" t="e">
        <f>VLOOKUP(E3989,[1]Mapping!$A$3:$B$14,2,FALSE)</f>
        <v>#N/A</v>
      </c>
      <c r="J3989" s="84">
        <f t="shared" si="126"/>
        <v>0</v>
      </c>
      <c r="K3989" s="84">
        <f t="shared" si="127"/>
        <v>0</v>
      </c>
      <c r="L3989" s="61" t="e">
        <f>VLOOKUP(K3989,[1]Mapping!$J$3:$Q$351,8,FALSE)</f>
        <v>#N/A</v>
      </c>
      <c r="M3989" t="s">
        <v>83</v>
      </c>
    </row>
    <row r="3990" spans="5:13" hidden="1" x14ac:dyDescent="0.35">
      <c r="E3990" s="81"/>
      <c r="I3990" s="83" t="e">
        <f>VLOOKUP(E3990,[1]Mapping!$A$3:$B$14,2,FALSE)</f>
        <v>#N/A</v>
      </c>
      <c r="J3990" s="84">
        <f t="shared" si="126"/>
        <v>0</v>
      </c>
      <c r="K3990" s="84">
        <f t="shared" si="127"/>
        <v>0</v>
      </c>
      <c r="L3990" s="61" t="e">
        <f>VLOOKUP(K3990,[1]Mapping!$J$3:$Q$351,8,FALSE)</f>
        <v>#N/A</v>
      </c>
      <c r="M3990" t="s">
        <v>83</v>
      </c>
    </row>
    <row r="3991" spans="5:13" hidden="1" x14ac:dyDescent="0.35">
      <c r="E3991" s="81"/>
      <c r="I3991" s="83" t="e">
        <f>VLOOKUP(E3991,[1]Mapping!$A$3:$B$14,2,FALSE)</f>
        <v>#N/A</v>
      </c>
      <c r="J3991" s="84">
        <f t="shared" si="126"/>
        <v>0</v>
      </c>
      <c r="K3991" s="84">
        <f t="shared" si="127"/>
        <v>0</v>
      </c>
      <c r="L3991" s="61" t="e">
        <f>VLOOKUP(K3991,[1]Mapping!$J$3:$Q$351,8,FALSE)</f>
        <v>#N/A</v>
      </c>
      <c r="M3991" t="s">
        <v>83</v>
      </c>
    </row>
    <row r="3992" spans="5:13" hidden="1" x14ac:dyDescent="0.35">
      <c r="E3992" s="81"/>
      <c r="I3992" s="83" t="e">
        <f>VLOOKUP(E3992,[1]Mapping!$A$3:$B$14,2,FALSE)</f>
        <v>#N/A</v>
      </c>
      <c r="J3992" s="84">
        <f t="shared" si="126"/>
        <v>0</v>
      </c>
      <c r="K3992" s="84">
        <f t="shared" si="127"/>
        <v>0</v>
      </c>
      <c r="L3992" s="61" t="e">
        <f>VLOOKUP(K3992,[1]Mapping!$J$3:$Q$351,8,FALSE)</f>
        <v>#N/A</v>
      </c>
      <c r="M3992" t="s">
        <v>83</v>
      </c>
    </row>
    <row r="3993" spans="5:13" hidden="1" x14ac:dyDescent="0.35">
      <c r="E3993" s="81"/>
      <c r="I3993" s="83" t="e">
        <f>VLOOKUP(E3993,[1]Mapping!$A$3:$B$14,2,FALSE)</f>
        <v>#N/A</v>
      </c>
      <c r="J3993" s="84">
        <f t="shared" si="126"/>
        <v>0</v>
      </c>
      <c r="K3993" s="84">
        <f t="shared" si="127"/>
        <v>0</v>
      </c>
      <c r="L3993" s="61" t="e">
        <f>VLOOKUP(K3993,[1]Mapping!$J$3:$Q$351,8,FALSE)</f>
        <v>#N/A</v>
      </c>
      <c r="M3993" t="s">
        <v>83</v>
      </c>
    </row>
    <row r="3994" spans="5:13" hidden="1" x14ac:dyDescent="0.35">
      <c r="E3994" s="81"/>
      <c r="I3994" s="83" t="e">
        <f>VLOOKUP(E3994,[1]Mapping!$A$3:$B$14,2,FALSE)</f>
        <v>#N/A</v>
      </c>
      <c r="J3994" s="84">
        <f t="shared" si="126"/>
        <v>0</v>
      </c>
      <c r="K3994" s="84">
        <f t="shared" si="127"/>
        <v>0</v>
      </c>
      <c r="L3994" s="61" t="e">
        <f>VLOOKUP(K3994,[1]Mapping!$J$3:$Q$351,8,FALSE)</f>
        <v>#N/A</v>
      </c>
      <c r="M3994" t="s">
        <v>83</v>
      </c>
    </row>
    <row r="3995" spans="5:13" hidden="1" x14ac:dyDescent="0.35">
      <c r="E3995" s="81"/>
      <c r="I3995" s="83" t="e">
        <f>VLOOKUP(E3995,[1]Mapping!$A$3:$B$14,2,FALSE)</f>
        <v>#N/A</v>
      </c>
      <c r="J3995" s="84">
        <f t="shared" si="126"/>
        <v>0</v>
      </c>
      <c r="K3995" s="84">
        <f t="shared" si="127"/>
        <v>0</v>
      </c>
      <c r="L3995" s="61" t="e">
        <f>VLOOKUP(K3995,[1]Mapping!$J$3:$Q$351,8,FALSE)</f>
        <v>#N/A</v>
      </c>
      <c r="M3995" t="s">
        <v>83</v>
      </c>
    </row>
    <row r="3996" spans="5:13" hidden="1" x14ac:dyDescent="0.35">
      <c r="E3996" s="81"/>
      <c r="I3996" s="83" t="e">
        <f>VLOOKUP(E3996,[1]Mapping!$A$3:$B$14,2,FALSE)</f>
        <v>#N/A</v>
      </c>
      <c r="J3996" s="84">
        <f t="shared" si="126"/>
        <v>0</v>
      </c>
      <c r="K3996" s="84">
        <f t="shared" si="127"/>
        <v>0</v>
      </c>
      <c r="L3996" s="61" t="e">
        <f>VLOOKUP(K3996,[1]Mapping!$J$3:$Q$351,8,FALSE)</f>
        <v>#N/A</v>
      </c>
      <c r="M3996" t="s">
        <v>83</v>
      </c>
    </row>
    <row r="3997" spans="5:13" hidden="1" x14ac:dyDescent="0.35">
      <c r="E3997" s="81"/>
      <c r="I3997" s="83" t="e">
        <f>VLOOKUP(E3997,[1]Mapping!$A$3:$B$14,2,FALSE)</f>
        <v>#N/A</v>
      </c>
      <c r="J3997" s="84">
        <f t="shared" si="126"/>
        <v>0</v>
      </c>
      <c r="K3997" s="84">
        <f t="shared" si="127"/>
        <v>0</v>
      </c>
      <c r="L3997" s="61" t="e">
        <f>VLOOKUP(K3997,[1]Mapping!$J$3:$Q$351,8,FALSE)</f>
        <v>#N/A</v>
      </c>
      <c r="M3997" t="s">
        <v>83</v>
      </c>
    </row>
    <row r="3998" spans="5:13" hidden="1" x14ac:dyDescent="0.35">
      <c r="E3998" s="81"/>
      <c r="I3998" s="83" t="e">
        <f>VLOOKUP(E3998,[1]Mapping!$A$3:$B$14,2,FALSE)</f>
        <v>#N/A</v>
      </c>
      <c r="J3998" s="84">
        <f t="shared" si="126"/>
        <v>0</v>
      </c>
      <c r="K3998" s="84">
        <f t="shared" si="127"/>
        <v>0</v>
      </c>
      <c r="L3998" s="61" t="e">
        <f>VLOOKUP(K3998,[1]Mapping!$J$3:$Q$351,8,FALSE)</f>
        <v>#N/A</v>
      </c>
      <c r="M3998" t="s">
        <v>83</v>
      </c>
    </row>
    <row r="3999" spans="5:13" hidden="1" x14ac:dyDescent="0.35">
      <c r="E3999" s="81"/>
      <c r="I3999" s="83" t="e">
        <f>VLOOKUP(E3999,[1]Mapping!$A$3:$B$14,2,FALSE)</f>
        <v>#N/A</v>
      </c>
      <c r="J3999" s="84">
        <f t="shared" si="126"/>
        <v>0</v>
      </c>
      <c r="K3999" s="84">
        <f t="shared" si="127"/>
        <v>0</v>
      </c>
      <c r="L3999" s="61" t="e">
        <f>VLOOKUP(K3999,[1]Mapping!$J$3:$Q$351,8,FALSE)</f>
        <v>#N/A</v>
      </c>
      <c r="M3999" t="s">
        <v>83</v>
      </c>
    </row>
    <row r="4000" spans="5:13" hidden="1" x14ac:dyDescent="0.35">
      <c r="E4000" s="81"/>
      <c r="I4000" s="83" t="e">
        <f>VLOOKUP(E4000,[1]Mapping!$A$3:$B$14,2,FALSE)</f>
        <v>#N/A</v>
      </c>
      <c r="J4000" s="84">
        <f t="shared" si="126"/>
        <v>0</v>
      </c>
      <c r="K4000" s="84">
        <f t="shared" si="127"/>
        <v>0</v>
      </c>
      <c r="L4000" s="61" t="e">
        <f>VLOOKUP(K4000,[1]Mapping!$J$3:$Q$351,8,FALSE)</f>
        <v>#N/A</v>
      </c>
      <c r="M4000" t="s">
        <v>83</v>
      </c>
    </row>
    <row r="4001" spans="5:13" hidden="1" x14ac:dyDescent="0.35">
      <c r="E4001" s="81"/>
      <c r="I4001" s="83" t="e">
        <f>VLOOKUP(E4001,[1]Mapping!$A$3:$B$14,2,FALSE)</f>
        <v>#N/A</v>
      </c>
      <c r="J4001" s="84">
        <f t="shared" si="126"/>
        <v>0</v>
      </c>
      <c r="K4001" s="84">
        <f t="shared" si="127"/>
        <v>0</v>
      </c>
      <c r="L4001" s="61" t="e">
        <f>VLOOKUP(K4001,[1]Mapping!$J$3:$Q$351,8,FALSE)</f>
        <v>#N/A</v>
      </c>
      <c r="M4001" t="s">
        <v>83</v>
      </c>
    </row>
    <row r="4002" spans="5:13" hidden="1" x14ac:dyDescent="0.35">
      <c r="E4002" s="81"/>
      <c r="I4002" s="83" t="e">
        <f>VLOOKUP(E4002,[1]Mapping!$A$3:$B$14,2,FALSE)</f>
        <v>#N/A</v>
      </c>
      <c r="J4002" s="84">
        <f t="shared" si="126"/>
        <v>0</v>
      </c>
      <c r="K4002" s="84">
        <f t="shared" si="127"/>
        <v>0</v>
      </c>
      <c r="L4002" s="61" t="e">
        <f>VLOOKUP(K4002,[1]Mapping!$J$3:$Q$351,8,FALSE)</f>
        <v>#N/A</v>
      </c>
      <c r="M4002" t="s">
        <v>83</v>
      </c>
    </row>
    <row r="4003" spans="5:13" hidden="1" x14ac:dyDescent="0.35">
      <c r="E4003" s="81"/>
      <c r="I4003" s="83" t="e">
        <f>VLOOKUP(E4003,[1]Mapping!$A$3:$B$14,2,FALSE)</f>
        <v>#N/A</v>
      </c>
      <c r="J4003" s="84">
        <f t="shared" si="126"/>
        <v>0</v>
      </c>
      <c r="K4003" s="84">
        <f t="shared" si="127"/>
        <v>0</v>
      </c>
      <c r="L4003" s="61" t="e">
        <f>VLOOKUP(K4003,[1]Mapping!$J$3:$Q$351,8,FALSE)</f>
        <v>#N/A</v>
      </c>
      <c r="M4003" t="s">
        <v>83</v>
      </c>
    </row>
    <row r="4004" spans="5:13" hidden="1" x14ac:dyDescent="0.35">
      <c r="E4004" s="81"/>
      <c r="I4004" s="83" t="e">
        <f>VLOOKUP(E4004,[1]Mapping!$A$3:$B$14,2,FALSE)</f>
        <v>#N/A</v>
      </c>
      <c r="J4004" s="84">
        <f t="shared" si="126"/>
        <v>0</v>
      </c>
      <c r="K4004" s="84">
        <f t="shared" si="127"/>
        <v>0</v>
      </c>
      <c r="L4004" s="61" t="e">
        <f>VLOOKUP(K4004,[1]Mapping!$J$3:$Q$351,8,FALSE)</f>
        <v>#N/A</v>
      </c>
      <c r="M4004" t="s">
        <v>83</v>
      </c>
    </row>
    <row r="4005" spans="5:13" hidden="1" x14ac:dyDescent="0.35">
      <c r="E4005" s="81"/>
      <c r="I4005" s="83" t="e">
        <f>VLOOKUP(E4005,[1]Mapping!$A$3:$B$14,2,FALSE)</f>
        <v>#N/A</v>
      </c>
      <c r="J4005" s="84">
        <f t="shared" si="126"/>
        <v>0</v>
      </c>
      <c r="K4005" s="84">
        <f t="shared" si="127"/>
        <v>0</v>
      </c>
      <c r="L4005" s="61" t="e">
        <f>VLOOKUP(K4005,[1]Mapping!$J$3:$Q$351,8,FALSE)</f>
        <v>#N/A</v>
      </c>
      <c r="M4005" t="s">
        <v>83</v>
      </c>
    </row>
    <row r="4006" spans="5:13" hidden="1" x14ac:dyDescent="0.35">
      <c r="E4006" s="81"/>
      <c r="I4006" s="83" t="e">
        <f>VLOOKUP(E4006,[1]Mapping!$A$3:$B$14,2,FALSE)</f>
        <v>#N/A</v>
      </c>
      <c r="J4006" s="84">
        <f t="shared" si="126"/>
        <v>0</v>
      </c>
      <c r="K4006" s="84">
        <f t="shared" si="127"/>
        <v>0</v>
      </c>
      <c r="L4006" s="61" t="e">
        <f>VLOOKUP(K4006,[1]Mapping!$J$3:$Q$351,8,FALSE)</f>
        <v>#N/A</v>
      </c>
      <c r="M4006" t="s">
        <v>83</v>
      </c>
    </row>
    <row r="4007" spans="5:13" hidden="1" x14ac:dyDescent="0.35">
      <c r="E4007" s="81"/>
      <c r="I4007" s="83" t="e">
        <f>VLOOKUP(E4007,[1]Mapping!$A$3:$B$14,2,FALSE)</f>
        <v>#N/A</v>
      </c>
      <c r="J4007" s="84">
        <f t="shared" si="126"/>
        <v>0</v>
      </c>
      <c r="K4007" s="84">
        <f t="shared" si="127"/>
        <v>0</v>
      </c>
      <c r="L4007" s="61" t="e">
        <f>VLOOKUP(K4007,[1]Mapping!$J$3:$Q$351,8,FALSE)</f>
        <v>#N/A</v>
      </c>
      <c r="M4007" t="s">
        <v>83</v>
      </c>
    </row>
    <row r="4008" spans="5:13" hidden="1" x14ac:dyDescent="0.35">
      <c r="E4008" s="81"/>
      <c r="I4008" s="83" t="e">
        <f>VLOOKUP(E4008,[1]Mapping!$A$3:$B$14,2,FALSE)</f>
        <v>#N/A</v>
      </c>
      <c r="J4008" s="84">
        <f t="shared" si="126"/>
        <v>0</v>
      </c>
      <c r="K4008" s="84">
        <f t="shared" si="127"/>
        <v>0</v>
      </c>
      <c r="L4008" s="61" t="e">
        <f>VLOOKUP(K4008,[1]Mapping!$J$3:$Q$351,8,FALSE)</f>
        <v>#N/A</v>
      </c>
      <c r="M4008" t="s">
        <v>83</v>
      </c>
    </row>
    <row r="4009" spans="5:13" hidden="1" x14ac:dyDescent="0.35">
      <c r="E4009" s="81"/>
      <c r="I4009" s="83" t="e">
        <f>VLOOKUP(E4009,[1]Mapping!$A$3:$B$14,2,FALSE)</f>
        <v>#N/A</v>
      </c>
      <c r="J4009" s="84">
        <f t="shared" si="126"/>
        <v>0</v>
      </c>
      <c r="K4009" s="84">
        <f t="shared" si="127"/>
        <v>0</v>
      </c>
      <c r="L4009" s="61" t="e">
        <f>VLOOKUP(K4009,[1]Mapping!$J$3:$Q$351,8,FALSE)</f>
        <v>#N/A</v>
      </c>
      <c r="M4009" t="s">
        <v>83</v>
      </c>
    </row>
    <row r="4010" spans="5:13" hidden="1" x14ac:dyDescent="0.35">
      <c r="E4010" s="81"/>
      <c r="I4010" s="83" t="e">
        <f>VLOOKUP(E4010,[1]Mapping!$A$3:$B$14,2,FALSE)</f>
        <v>#N/A</v>
      </c>
      <c r="J4010" s="84">
        <f t="shared" si="126"/>
        <v>0</v>
      </c>
      <c r="K4010" s="84">
        <f t="shared" si="127"/>
        <v>0</v>
      </c>
      <c r="L4010" s="61" t="e">
        <f>VLOOKUP(K4010,[1]Mapping!$J$3:$Q$351,8,FALSE)</f>
        <v>#N/A</v>
      </c>
      <c r="M4010" t="s">
        <v>83</v>
      </c>
    </row>
    <row r="4011" spans="5:13" hidden="1" x14ac:dyDescent="0.35">
      <c r="E4011" s="81"/>
      <c r="I4011" s="83" t="e">
        <f>VLOOKUP(E4011,[1]Mapping!$A$3:$B$14,2,FALSE)</f>
        <v>#N/A</v>
      </c>
      <c r="J4011" s="84">
        <f t="shared" si="126"/>
        <v>0</v>
      </c>
      <c r="K4011" s="84">
        <f t="shared" si="127"/>
        <v>0</v>
      </c>
      <c r="L4011" s="61" t="e">
        <f>VLOOKUP(K4011,[1]Mapping!$J$3:$Q$351,8,FALSE)</f>
        <v>#N/A</v>
      </c>
      <c r="M4011" t="s">
        <v>83</v>
      </c>
    </row>
    <row r="4012" spans="5:13" hidden="1" x14ac:dyDescent="0.35">
      <c r="E4012" s="81"/>
      <c r="I4012" s="83" t="e">
        <f>VLOOKUP(E4012,[1]Mapping!$A$3:$B$14,2,FALSE)</f>
        <v>#N/A</v>
      </c>
      <c r="J4012" s="84">
        <f t="shared" si="126"/>
        <v>0</v>
      </c>
      <c r="K4012" s="84">
        <f t="shared" si="127"/>
        <v>0</v>
      </c>
      <c r="L4012" s="61" t="e">
        <f>VLOOKUP(K4012,[1]Mapping!$J$3:$Q$351,8,FALSE)</f>
        <v>#N/A</v>
      </c>
      <c r="M4012" t="s">
        <v>83</v>
      </c>
    </row>
    <row r="4013" spans="5:13" hidden="1" x14ac:dyDescent="0.35">
      <c r="E4013" s="81"/>
      <c r="I4013" s="83" t="e">
        <f>VLOOKUP(E4013,[1]Mapping!$A$3:$B$14,2,FALSE)</f>
        <v>#N/A</v>
      </c>
      <c r="J4013" s="84">
        <f t="shared" si="126"/>
        <v>0</v>
      </c>
      <c r="K4013" s="84">
        <f t="shared" si="127"/>
        <v>0</v>
      </c>
      <c r="L4013" s="61" t="e">
        <f>VLOOKUP(K4013,[1]Mapping!$J$3:$Q$351,8,FALSE)</f>
        <v>#N/A</v>
      </c>
      <c r="M4013" t="s">
        <v>83</v>
      </c>
    </row>
    <row r="4014" spans="5:13" hidden="1" x14ac:dyDescent="0.35">
      <c r="E4014" s="81"/>
      <c r="I4014" s="83" t="e">
        <f>VLOOKUP(E4014,[1]Mapping!$A$3:$B$14,2,FALSE)</f>
        <v>#N/A</v>
      </c>
      <c r="J4014" s="84">
        <f t="shared" si="126"/>
        <v>0</v>
      </c>
      <c r="K4014" s="84">
        <f t="shared" si="127"/>
        <v>0</v>
      </c>
      <c r="L4014" s="61" t="e">
        <f>VLOOKUP(K4014,[1]Mapping!$J$3:$Q$351,8,FALSE)</f>
        <v>#N/A</v>
      </c>
      <c r="M4014" t="s">
        <v>83</v>
      </c>
    </row>
    <row r="4015" spans="5:13" hidden="1" x14ac:dyDescent="0.35">
      <c r="E4015" s="81"/>
      <c r="I4015" s="83" t="e">
        <f>VLOOKUP(E4015,[1]Mapping!$A$3:$B$14,2,FALSE)</f>
        <v>#N/A</v>
      </c>
      <c r="J4015" s="84">
        <f t="shared" si="126"/>
        <v>0</v>
      </c>
      <c r="K4015" s="84">
        <f t="shared" si="127"/>
        <v>0</v>
      </c>
      <c r="L4015" s="61" t="e">
        <f>VLOOKUP(K4015,[1]Mapping!$J$3:$Q$351,8,FALSE)</f>
        <v>#N/A</v>
      </c>
      <c r="M4015" t="s">
        <v>83</v>
      </c>
    </row>
    <row r="4016" spans="5:13" hidden="1" x14ac:dyDescent="0.35">
      <c r="E4016" s="81"/>
      <c r="I4016" s="83" t="e">
        <f>VLOOKUP(E4016,[1]Mapping!$A$3:$B$14,2,FALSE)</f>
        <v>#N/A</v>
      </c>
      <c r="J4016" s="84">
        <f t="shared" si="126"/>
        <v>0</v>
      </c>
      <c r="K4016" s="84">
        <f t="shared" si="127"/>
        <v>0</v>
      </c>
      <c r="L4016" s="61" t="e">
        <f>VLOOKUP(K4016,[1]Mapping!$J$3:$Q$351,8,FALSE)</f>
        <v>#N/A</v>
      </c>
      <c r="M4016" t="s">
        <v>83</v>
      </c>
    </row>
    <row r="4017" spans="5:13" hidden="1" x14ac:dyDescent="0.35">
      <c r="E4017" s="81"/>
      <c r="I4017" s="83" t="e">
        <f>VLOOKUP(E4017,[1]Mapping!$A$3:$B$14,2,FALSE)</f>
        <v>#N/A</v>
      </c>
      <c r="J4017" s="84">
        <f t="shared" si="126"/>
        <v>0</v>
      </c>
      <c r="K4017" s="84">
        <f t="shared" si="127"/>
        <v>0</v>
      </c>
      <c r="L4017" s="61" t="e">
        <f>VLOOKUP(K4017,[1]Mapping!$J$3:$Q$351,8,FALSE)</f>
        <v>#N/A</v>
      </c>
      <c r="M4017" t="s">
        <v>83</v>
      </c>
    </row>
    <row r="4018" spans="5:13" hidden="1" x14ac:dyDescent="0.35">
      <c r="E4018" s="81"/>
      <c r="I4018" s="83" t="e">
        <f>VLOOKUP(E4018,[1]Mapping!$A$3:$B$14,2,FALSE)</f>
        <v>#N/A</v>
      </c>
      <c r="J4018" s="84">
        <f t="shared" si="126"/>
        <v>0</v>
      </c>
      <c r="K4018" s="84">
        <f t="shared" si="127"/>
        <v>0</v>
      </c>
      <c r="L4018" s="61" t="e">
        <f>VLOOKUP(K4018,[1]Mapping!$J$3:$Q$351,8,FALSE)</f>
        <v>#N/A</v>
      </c>
      <c r="M4018" t="s">
        <v>83</v>
      </c>
    </row>
    <row r="4019" spans="5:13" hidden="1" x14ac:dyDescent="0.35">
      <c r="E4019" s="81"/>
      <c r="I4019" s="83" t="e">
        <f>VLOOKUP(E4019,[1]Mapping!$A$3:$B$14,2,FALSE)</f>
        <v>#N/A</v>
      </c>
      <c r="J4019" s="84">
        <f t="shared" si="126"/>
        <v>0</v>
      </c>
      <c r="K4019" s="84">
        <f t="shared" si="127"/>
        <v>0</v>
      </c>
      <c r="L4019" s="61" t="e">
        <f>VLOOKUP(K4019,[1]Mapping!$J$3:$Q$351,8,FALSE)</f>
        <v>#N/A</v>
      </c>
      <c r="M4019" t="s">
        <v>83</v>
      </c>
    </row>
    <row r="4020" spans="5:13" hidden="1" x14ac:dyDescent="0.35">
      <c r="E4020" s="81"/>
      <c r="I4020" s="83" t="e">
        <f>VLOOKUP(E4020,[1]Mapping!$A$3:$B$14,2,FALSE)</f>
        <v>#N/A</v>
      </c>
      <c r="J4020" s="84">
        <f t="shared" si="126"/>
        <v>0</v>
      </c>
      <c r="K4020" s="84">
        <f t="shared" si="127"/>
        <v>0</v>
      </c>
      <c r="L4020" s="61" t="e">
        <f>VLOOKUP(K4020,[1]Mapping!$J$3:$Q$351,8,FALSE)</f>
        <v>#N/A</v>
      </c>
      <c r="M4020" t="s">
        <v>83</v>
      </c>
    </row>
    <row r="4021" spans="5:13" hidden="1" x14ac:dyDescent="0.35">
      <c r="E4021" s="81"/>
      <c r="I4021" s="83" t="e">
        <f>VLOOKUP(E4021,[1]Mapping!$A$3:$B$14,2,FALSE)</f>
        <v>#N/A</v>
      </c>
      <c r="J4021" s="84">
        <f t="shared" si="126"/>
        <v>0</v>
      </c>
      <c r="K4021" s="84">
        <f t="shared" si="127"/>
        <v>0</v>
      </c>
      <c r="L4021" s="61" t="e">
        <f>VLOOKUP(K4021,[1]Mapping!$J$3:$Q$351,8,FALSE)</f>
        <v>#N/A</v>
      </c>
      <c r="M4021" t="s">
        <v>83</v>
      </c>
    </row>
    <row r="4022" spans="5:13" hidden="1" x14ac:dyDescent="0.35">
      <c r="E4022" s="81"/>
      <c r="I4022" s="83" t="e">
        <f>VLOOKUP(E4022,[1]Mapping!$A$3:$B$14,2,FALSE)</f>
        <v>#N/A</v>
      </c>
      <c r="J4022" s="84">
        <f t="shared" si="126"/>
        <v>0</v>
      </c>
      <c r="K4022" s="84">
        <f t="shared" si="127"/>
        <v>0</v>
      </c>
      <c r="L4022" s="61" t="e">
        <f>VLOOKUP(K4022,[1]Mapping!$J$3:$Q$351,8,FALSE)</f>
        <v>#N/A</v>
      </c>
      <c r="M4022" t="s">
        <v>83</v>
      </c>
    </row>
    <row r="4023" spans="5:13" hidden="1" x14ac:dyDescent="0.35">
      <c r="E4023" s="81"/>
      <c r="I4023" s="83" t="e">
        <f>VLOOKUP(E4023,[1]Mapping!$A$3:$B$14,2,FALSE)</f>
        <v>#N/A</v>
      </c>
      <c r="J4023" s="84">
        <f t="shared" si="126"/>
        <v>0</v>
      </c>
      <c r="K4023" s="84">
        <f t="shared" si="127"/>
        <v>0</v>
      </c>
      <c r="L4023" s="61" t="e">
        <f>VLOOKUP(K4023,[1]Mapping!$J$3:$Q$351,8,FALSE)</f>
        <v>#N/A</v>
      </c>
      <c r="M4023" t="s">
        <v>83</v>
      </c>
    </row>
    <row r="4024" spans="5:13" hidden="1" x14ac:dyDescent="0.35">
      <c r="E4024" s="81"/>
      <c r="I4024" s="83" t="e">
        <f>VLOOKUP(E4024,[1]Mapping!$A$3:$B$14,2,FALSE)</f>
        <v>#N/A</v>
      </c>
      <c r="J4024" s="84">
        <f t="shared" si="126"/>
        <v>0</v>
      </c>
      <c r="K4024" s="84">
        <f t="shared" si="127"/>
        <v>0</v>
      </c>
      <c r="L4024" s="61" t="e">
        <f>VLOOKUP(K4024,[1]Mapping!$J$3:$Q$351,8,FALSE)</f>
        <v>#N/A</v>
      </c>
      <c r="M4024" t="s">
        <v>83</v>
      </c>
    </row>
    <row r="4025" spans="5:13" hidden="1" x14ac:dyDescent="0.35">
      <c r="E4025" s="81"/>
      <c r="I4025" s="83" t="e">
        <f>VLOOKUP(E4025,[1]Mapping!$A$3:$B$14,2,FALSE)</f>
        <v>#N/A</v>
      </c>
      <c r="J4025" s="84">
        <f t="shared" si="126"/>
        <v>0</v>
      </c>
      <c r="K4025" s="84">
        <f t="shared" si="127"/>
        <v>0</v>
      </c>
      <c r="L4025" s="61" t="e">
        <f>VLOOKUP(K4025,[1]Mapping!$J$3:$Q$351,8,FALSE)</f>
        <v>#N/A</v>
      </c>
      <c r="M4025" t="s">
        <v>83</v>
      </c>
    </row>
    <row r="4026" spans="5:13" hidden="1" x14ac:dyDescent="0.35">
      <c r="E4026" s="81"/>
      <c r="I4026" s="83" t="e">
        <f>VLOOKUP(E4026,[1]Mapping!$A$3:$B$14,2,FALSE)</f>
        <v>#N/A</v>
      </c>
      <c r="J4026" s="84">
        <f t="shared" si="126"/>
        <v>0</v>
      </c>
      <c r="K4026" s="84">
        <f t="shared" si="127"/>
        <v>0</v>
      </c>
      <c r="L4026" s="61" t="e">
        <f>VLOOKUP(K4026,[1]Mapping!$J$3:$Q$351,8,FALSE)</f>
        <v>#N/A</v>
      </c>
      <c r="M4026" t="s">
        <v>83</v>
      </c>
    </row>
    <row r="4027" spans="5:13" hidden="1" x14ac:dyDescent="0.35">
      <c r="E4027" s="81"/>
      <c r="I4027" s="83" t="e">
        <f>VLOOKUP(E4027,[1]Mapping!$A$3:$B$14,2,FALSE)</f>
        <v>#N/A</v>
      </c>
      <c r="J4027" s="84">
        <f t="shared" si="126"/>
        <v>0</v>
      </c>
      <c r="K4027" s="84">
        <f t="shared" si="127"/>
        <v>0</v>
      </c>
      <c r="L4027" s="61" t="e">
        <f>VLOOKUP(K4027,[1]Mapping!$J$3:$Q$351,8,FALSE)</f>
        <v>#N/A</v>
      </c>
      <c r="M4027" t="s">
        <v>83</v>
      </c>
    </row>
    <row r="4028" spans="5:13" hidden="1" x14ac:dyDescent="0.35">
      <c r="E4028" s="81"/>
      <c r="I4028" s="83" t="e">
        <f>VLOOKUP(E4028,[1]Mapping!$A$3:$B$14,2,FALSE)</f>
        <v>#N/A</v>
      </c>
      <c r="J4028" s="84">
        <f t="shared" si="126"/>
        <v>0</v>
      </c>
      <c r="K4028" s="84">
        <f t="shared" si="127"/>
        <v>0</v>
      </c>
      <c r="L4028" s="61" t="e">
        <f>VLOOKUP(K4028,[1]Mapping!$J$3:$Q$351,8,FALSE)</f>
        <v>#N/A</v>
      </c>
      <c r="M4028" t="s">
        <v>83</v>
      </c>
    </row>
    <row r="4029" spans="5:13" hidden="1" x14ac:dyDescent="0.35">
      <c r="E4029" s="81"/>
      <c r="I4029" s="83" t="e">
        <f>VLOOKUP(E4029,[1]Mapping!$A$3:$B$14,2,FALSE)</f>
        <v>#N/A</v>
      </c>
      <c r="J4029" s="84">
        <f t="shared" si="126"/>
        <v>0</v>
      </c>
      <c r="K4029" s="84">
        <f t="shared" si="127"/>
        <v>0</v>
      </c>
      <c r="L4029" s="61" t="e">
        <f>VLOOKUP(K4029,[1]Mapping!$J$3:$Q$351,8,FALSE)</f>
        <v>#N/A</v>
      </c>
      <c r="M4029" t="s">
        <v>83</v>
      </c>
    </row>
    <row r="4030" spans="5:13" hidden="1" x14ac:dyDescent="0.35">
      <c r="E4030" s="81"/>
      <c r="I4030" s="83" t="e">
        <f>VLOOKUP(E4030,[1]Mapping!$A$3:$B$14,2,FALSE)</f>
        <v>#N/A</v>
      </c>
      <c r="J4030" s="84">
        <f t="shared" si="126"/>
        <v>0</v>
      </c>
      <c r="K4030" s="84">
        <f t="shared" si="127"/>
        <v>0</v>
      </c>
      <c r="L4030" s="61" t="e">
        <f>VLOOKUP(K4030,[1]Mapping!$J$3:$Q$351,8,FALSE)</f>
        <v>#N/A</v>
      </c>
      <c r="M4030" t="s">
        <v>83</v>
      </c>
    </row>
    <row r="4031" spans="5:13" hidden="1" x14ac:dyDescent="0.35">
      <c r="E4031" s="81"/>
      <c r="I4031" s="83" t="e">
        <f>VLOOKUP(E4031,[1]Mapping!$A$3:$B$14,2,FALSE)</f>
        <v>#N/A</v>
      </c>
      <c r="J4031" s="84">
        <f t="shared" si="126"/>
        <v>0</v>
      </c>
      <c r="K4031" s="84">
        <f t="shared" si="127"/>
        <v>0</v>
      </c>
      <c r="L4031" s="61" t="e">
        <f>VLOOKUP(K4031,[1]Mapping!$J$3:$Q$351,8,FALSE)</f>
        <v>#N/A</v>
      </c>
      <c r="M4031" t="s">
        <v>83</v>
      </c>
    </row>
    <row r="4032" spans="5:13" hidden="1" x14ac:dyDescent="0.35">
      <c r="E4032" s="81"/>
      <c r="I4032" s="83" t="e">
        <f>VLOOKUP(E4032,[1]Mapping!$A$3:$B$14,2,FALSE)</f>
        <v>#N/A</v>
      </c>
      <c r="J4032" s="84">
        <f t="shared" si="126"/>
        <v>0</v>
      </c>
      <c r="K4032" s="84">
        <f t="shared" si="127"/>
        <v>0</v>
      </c>
      <c r="L4032" s="61" t="e">
        <f>VLOOKUP(K4032,[1]Mapping!$J$3:$Q$351,8,FALSE)</f>
        <v>#N/A</v>
      </c>
      <c r="M4032" t="s">
        <v>83</v>
      </c>
    </row>
    <row r="4033" spans="5:13" hidden="1" x14ac:dyDescent="0.35">
      <c r="E4033" s="81"/>
      <c r="I4033" s="83" t="e">
        <f>VLOOKUP(E4033,[1]Mapping!$A$3:$B$14,2,FALSE)</f>
        <v>#N/A</v>
      </c>
      <c r="J4033" s="84">
        <f t="shared" si="126"/>
        <v>0</v>
      </c>
      <c r="K4033" s="84">
        <f t="shared" si="127"/>
        <v>0</v>
      </c>
      <c r="L4033" s="61" t="e">
        <f>VLOOKUP(K4033,[1]Mapping!$J$3:$Q$351,8,FALSE)</f>
        <v>#N/A</v>
      </c>
      <c r="M4033" t="s">
        <v>83</v>
      </c>
    </row>
    <row r="4034" spans="5:13" hidden="1" x14ac:dyDescent="0.35">
      <c r="E4034" s="81"/>
      <c r="I4034" s="83" t="e">
        <f>VLOOKUP(E4034,[1]Mapping!$A$3:$B$14,2,FALSE)</f>
        <v>#N/A</v>
      </c>
      <c r="J4034" s="84">
        <f t="shared" si="126"/>
        <v>0</v>
      </c>
      <c r="K4034" s="84">
        <f t="shared" si="127"/>
        <v>0</v>
      </c>
      <c r="L4034" s="61" t="e">
        <f>VLOOKUP(K4034,[1]Mapping!$J$3:$Q$351,8,FALSE)</f>
        <v>#N/A</v>
      </c>
      <c r="M4034" t="s">
        <v>83</v>
      </c>
    </row>
    <row r="4035" spans="5:13" hidden="1" x14ac:dyDescent="0.35">
      <c r="E4035" s="81"/>
      <c r="I4035" s="83" t="e">
        <f>VLOOKUP(E4035,[1]Mapping!$A$3:$B$14,2,FALSE)</f>
        <v>#N/A</v>
      </c>
      <c r="J4035" s="84">
        <f t="shared" si="126"/>
        <v>0</v>
      </c>
      <c r="K4035" s="84">
        <f t="shared" si="127"/>
        <v>0</v>
      </c>
      <c r="L4035" s="61" t="e">
        <f>VLOOKUP(K4035,[1]Mapping!$J$3:$Q$351,8,FALSE)</f>
        <v>#N/A</v>
      </c>
      <c r="M4035" t="s">
        <v>83</v>
      </c>
    </row>
    <row r="4036" spans="5:13" hidden="1" x14ac:dyDescent="0.35">
      <c r="E4036" s="81"/>
      <c r="I4036" s="83" t="e">
        <f>VLOOKUP(E4036,[1]Mapping!$A$3:$B$14,2,FALSE)</f>
        <v>#N/A</v>
      </c>
      <c r="J4036" s="84">
        <f t="shared" ref="J4036:J4099" si="128">VALUE(A4036)</f>
        <v>0</v>
      </c>
      <c r="K4036" s="84">
        <f t="shared" ref="K4036:K4099" si="129">VALUE(C4036)</f>
        <v>0</v>
      </c>
      <c r="L4036" s="61" t="e">
        <f>VLOOKUP(K4036,[1]Mapping!$J$3:$Q$351,8,FALSE)</f>
        <v>#N/A</v>
      </c>
      <c r="M4036" t="s">
        <v>83</v>
      </c>
    </row>
    <row r="4037" spans="5:13" hidden="1" x14ac:dyDescent="0.35">
      <c r="E4037" s="81"/>
      <c r="I4037" s="83" t="e">
        <f>VLOOKUP(E4037,[1]Mapping!$A$3:$B$14,2,FALSE)</f>
        <v>#N/A</v>
      </c>
      <c r="J4037" s="84">
        <f t="shared" si="128"/>
        <v>0</v>
      </c>
      <c r="K4037" s="84">
        <f t="shared" si="129"/>
        <v>0</v>
      </c>
      <c r="L4037" s="61" t="e">
        <f>VLOOKUP(K4037,[1]Mapping!$J$3:$Q$351,8,FALSE)</f>
        <v>#N/A</v>
      </c>
      <c r="M4037" t="s">
        <v>83</v>
      </c>
    </row>
    <row r="4038" spans="5:13" hidden="1" x14ac:dyDescent="0.35">
      <c r="E4038" s="81"/>
      <c r="I4038" s="83" t="e">
        <f>VLOOKUP(E4038,[1]Mapping!$A$3:$B$14,2,FALSE)</f>
        <v>#N/A</v>
      </c>
      <c r="J4038" s="84">
        <f t="shared" si="128"/>
        <v>0</v>
      </c>
      <c r="K4038" s="84">
        <f t="shared" si="129"/>
        <v>0</v>
      </c>
      <c r="L4038" s="61" t="e">
        <f>VLOOKUP(K4038,[1]Mapping!$J$3:$Q$351,8,FALSE)</f>
        <v>#N/A</v>
      </c>
      <c r="M4038" t="s">
        <v>83</v>
      </c>
    </row>
    <row r="4039" spans="5:13" hidden="1" x14ac:dyDescent="0.35">
      <c r="E4039" s="81"/>
      <c r="I4039" s="83" t="e">
        <f>VLOOKUP(E4039,[1]Mapping!$A$3:$B$14,2,FALSE)</f>
        <v>#N/A</v>
      </c>
      <c r="J4039" s="84">
        <f t="shared" si="128"/>
        <v>0</v>
      </c>
      <c r="K4039" s="84">
        <f t="shared" si="129"/>
        <v>0</v>
      </c>
      <c r="L4039" s="61" t="e">
        <f>VLOOKUP(K4039,[1]Mapping!$J$3:$Q$351,8,FALSE)</f>
        <v>#N/A</v>
      </c>
      <c r="M4039" t="s">
        <v>83</v>
      </c>
    </row>
    <row r="4040" spans="5:13" hidden="1" x14ac:dyDescent="0.35">
      <c r="E4040" s="81"/>
      <c r="I4040" s="83" t="e">
        <f>VLOOKUP(E4040,[1]Mapping!$A$3:$B$14,2,FALSE)</f>
        <v>#N/A</v>
      </c>
      <c r="J4040" s="84">
        <f t="shared" si="128"/>
        <v>0</v>
      </c>
      <c r="K4040" s="84">
        <f t="shared" si="129"/>
        <v>0</v>
      </c>
      <c r="L4040" s="61" t="e">
        <f>VLOOKUP(K4040,[1]Mapping!$J$3:$Q$351,8,FALSE)</f>
        <v>#N/A</v>
      </c>
      <c r="M4040" t="s">
        <v>83</v>
      </c>
    </row>
    <row r="4041" spans="5:13" hidden="1" x14ac:dyDescent="0.35">
      <c r="E4041" s="81"/>
      <c r="I4041" s="83" t="e">
        <f>VLOOKUP(E4041,[1]Mapping!$A$3:$B$14,2,FALSE)</f>
        <v>#N/A</v>
      </c>
      <c r="J4041" s="84">
        <f t="shared" si="128"/>
        <v>0</v>
      </c>
      <c r="K4041" s="84">
        <f t="shared" si="129"/>
        <v>0</v>
      </c>
      <c r="L4041" s="61" t="e">
        <f>VLOOKUP(K4041,[1]Mapping!$J$3:$Q$351,8,FALSE)</f>
        <v>#N/A</v>
      </c>
      <c r="M4041" t="s">
        <v>83</v>
      </c>
    </row>
    <row r="4042" spans="5:13" hidden="1" x14ac:dyDescent="0.35">
      <c r="E4042" s="81"/>
      <c r="I4042" s="83" t="e">
        <f>VLOOKUP(E4042,[1]Mapping!$A$3:$B$14,2,FALSE)</f>
        <v>#N/A</v>
      </c>
      <c r="J4042" s="84">
        <f t="shared" si="128"/>
        <v>0</v>
      </c>
      <c r="K4042" s="84">
        <f t="shared" si="129"/>
        <v>0</v>
      </c>
      <c r="L4042" s="61" t="e">
        <f>VLOOKUP(K4042,[1]Mapping!$J$3:$Q$351,8,FALSE)</f>
        <v>#N/A</v>
      </c>
      <c r="M4042" t="s">
        <v>83</v>
      </c>
    </row>
    <row r="4043" spans="5:13" hidden="1" x14ac:dyDescent="0.35">
      <c r="E4043" s="81"/>
      <c r="I4043" s="83" t="e">
        <f>VLOOKUP(E4043,[1]Mapping!$A$3:$B$14,2,FALSE)</f>
        <v>#N/A</v>
      </c>
      <c r="J4043" s="84">
        <f t="shared" si="128"/>
        <v>0</v>
      </c>
      <c r="K4043" s="84">
        <f t="shared" si="129"/>
        <v>0</v>
      </c>
      <c r="L4043" s="61" t="e">
        <f>VLOOKUP(K4043,[1]Mapping!$J$3:$Q$351,8,FALSE)</f>
        <v>#N/A</v>
      </c>
      <c r="M4043" t="s">
        <v>83</v>
      </c>
    </row>
    <row r="4044" spans="5:13" hidden="1" x14ac:dyDescent="0.35">
      <c r="E4044" s="81"/>
      <c r="I4044" s="83" t="e">
        <f>VLOOKUP(E4044,[1]Mapping!$A$3:$B$14,2,FALSE)</f>
        <v>#N/A</v>
      </c>
      <c r="J4044" s="84">
        <f t="shared" si="128"/>
        <v>0</v>
      </c>
      <c r="K4044" s="84">
        <f t="shared" si="129"/>
        <v>0</v>
      </c>
      <c r="L4044" s="61" t="e">
        <f>VLOOKUP(K4044,[1]Mapping!$J$3:$Q$351,8,FALSE)</f>
        <v>#N/A</v>
      </c>
      <c r="M4044" t="s">
        <v>83</v>
      </c>
    </row>
    <row r="4045" spans="5:13" hidden="1" x14ac:dyDescent="0.35">
      <c r="E4045" s="81"/>
      <c r="I4045" s="83" t="e">
        <f>VLOOKUP(E4045,[1]Mapping!$A$3:$B$14,2,FALSE)</f>
        <v>#N/A</v>
      </c>
      <c r="J4045" s="84">
        <f t="shared" si="128"/>
        <v>0</v>
      </c>
      <c r="K4045" s="84">
        <f t="shared" si="129"/>
        <v>0</v>
      </c>
      <c r="L4045" s="61" t="e">
        <f>VLOOKUP(K4045,[1]Mapping!$J$3:$Q$351,8,FALSE)</f>
        <v>#N/A</v>
      </c>
      <c r="M4045" t="s">
        <v>83</v>
      </c>
    </row>
    <row r="4046" spans="5:13" hidden="1" x14ac:dyDescent="0.35">
      <c r="E4046" s="81"/>
      <c r="I4046" s="83" t="e">
        <f>VLOOKUP(E4046,[1]Mapping!$A$3:$B$14,2,FALSE)</f>
        <v>#N/A</v>
      </c>
      <c r="J4046" s="84">
        <f t="shared" si="128"/>
        <v>0</v>
      </c>
      <c r="K4046" s="84">
        <f t="shared" si="129"/>
        <v>0</v>
      </c>
      <c r="L4046" s="61" t="e">
        <f>VLOOKUP(K4046,[1]Mapping!$J$3:$Q$351,8,FALSE)</f>
        <v>#N/A</v>
      </c>
      <c r="M4046" t="s">
        <v>83</v>
      </c>
    </row>
    <row r="4047" spans="5:13" hidden="1" x14ac:dyDescent="0.35">
      <c r="E4047" s="81"/>
      <c r="I4047" s="83" t="e">
        <f>VLOOKUP(E4047,[1]Mapping!$A$3:$B$14,2,FALSE)</f>
        <v>#N/A</v>
      </c>
      <c r="J4047" s="84">
        <f t="shared" si="128"/>
        <v>0</v>
      </c>
      <c r="K4047" s="84">
        <f t="shared" si="129"/>
        <v>0</v>
      </c>
      <c r="L4047" s="61" t="e">
        <f>VLOOKUP(K4047,[1]Mapping!$J$3:$Q$351,8,FALSE)</f>
        <v>#N/A</v>
      </c>
      <c r="M4047" t="s">
        <v>83</v>
      </c>
    </row>
    <row r="4048" spans="5:13" hidden="1" x14ac:dyDescent="0.35">
      <c r="E4048" s="81"/>
      <c r="I4048" s="83" t="e">
        <f>VLOOKUP(E4048,[1]Mapping!$A$3:$B$14,2,FALSE)</f>
        <v>#N/A</v>
      </c>
      <c r="J4048" s="84">
        <f t="shared" si="128"/>
        <v>0</v>
      </c>
      <c r="K4048" s="84">
        <f t="shared" si="129"/>
        <v>0</v>
      </c>
      <c r="L4048" s="61" t="e">
        <f>VLOOKUP(K4048,[1]Mapping!$J$3:$Q$351,8,FALSE)</f>
        <v>#N/A</v>
      </c>
      <c r="M4048" t="s">
        <v>83</v>
      </c>
    </row>
    <row r="4049" spans="5:15" hidden="1" x14ac:dyDescent="0.35">
      <c r="E4049" s="81"/>
      <c r="I4049" s="83" t="e">
        <f>VLOOKUP(E4049,[1]Mapping!$A$3:$B$14,2,FALSE)</f>
        <v>#N/A</v>
      </c>
      <c r="J4049" s="84">
        <f t="shared" si="128"/>
        <v>0</v>
      </c>
      <c r="K4049" s="84">
        <f t="shared" si="129"/>
        <v>0</v>
      </c>
      <c r="L4049" s="61" t="e">
        <f>VLOOKUP(K4049,[1]Mapping!$J$3:$Q$351,8,FALSE)</f>
        <v>#N/A</v>
      </c>
      <c r="M4049" t="s">
        <v>83</v>
      </c>
    </row>
    <row r="4050" spans="5:15" hidden="1" x14ac:dyDescent="0.35">
      <c r="E4050" s="81"/>
      <c r="I4050" s="83" t="e">
        <f>VLOOKUP(E4050,[1]Mapping!$A$3:$B$14,2,FALSE)</f>
        <v>#N/A</v>
      </c>
      <c r="J4050" s="84">
        <f t="shared" si="128"/>
        <v>0</v>
      </c>
      <c r="K4050" s="84">
        <f t="shared" si="129"/>
        <v>0</v>
      </c>
      <c r="L4050" s="61" t="e">
        <f>VLOOKUP(K4050,[1]Mapping!$J$3:$Q$351,8,FALSE)</f>
        <v>#N/A</v>
      </c>
      <c r="M4050" t="s">
        <v>83</v>
      </c>
    </row>
    <row r="4051" spans="5:15" hidden="1" x14ac:dyDescent="0.35">
      <c r="E4051" s="81"/>
      <c r="I4051" s="83" t="e">
        <f>VLOOKUP(E4051,[1]Mapping!$A$3:$B$14,2,FALSE)</f>
        <v>#N/A</v>
      </c>
      <c r="J4051" s="84">
        <f t="shared" si="128"/>
        <v>0</v>
      </c>
      <c r="K4051" s="84">
        <f t="shared" si="129"/>
        <v>0</v>
      </c>
      <c r="L4051" s="61" t="e">
        <f>VLOOKUP(K4051,[1]Mapping!$J$3:$Q$351,8,FALSE)</f>
        <v>#N/A</v>
      </c>
      <c r="M4051" t="s">
        <v>83</v>
      </c>
    </row>
    <row r="4052" spans="5:15" hidden="1" x14ac:dyDescent="0.35">
      <c r="E4052" s="81"/>
      <c r="I4052" s="83" t="e">
        <f>VLOOKUP(E4052,[1]Mapping!$A$3:$B$14,2,FALSE)</f>
        <v>#N/A</v>
      </c>
      <c r="J4052" s="84">
        <f t="shared" si="128"/>
        <v>0</v>
      </c>
      <c r="K4052" s="84">
        <f t="shared" si="129"/>
        <v>0</v>
      </c>
      <c r="L4052" s="61" t="e">
        <f>VLOOKUP(K4052,[1]Mapping!$J$3:$Q$351,8,FALSE)</f>
        <v>#N/A</v>
      </c>
      <c r="M4052" t="s">
        <v>83</v>
      </c>
    </row>
    <row r="4053" spans="5:15" hidden="1" x14ac:dyDescent="0.35">
      <c r="E4053" s="81"/>
      <c r="I4053" s="83" t="e">
        <f>VLOOKUP(E4053,[1]Mapping!$A$3:$B$14,2,FALSE)</f>
        <v>#N/A</v>
      </c>
      <c r="J4053" s="84">
        <f t="shared" si="128"/>
        <v>0</v>
      </c>
      <c r="K4053" s="84">
        <f t="shared" si="129"/>
        <v>0</v>
      </c>
      <c r="L4053" s="61" t="e">
        <f>VLOOKUP(K4053,[1]Mapping!$J$3:$Q$351,8,FALSE)</f>
        <v>#N/A</v>
      </c>
      <c r="M4053" t="s">
        <v>83</v>
      </c>
    </row>
    <row r="4054" spans="5:15" hidden="1" x14ac:dyDescent="0.35">
      <c r="E4054" s="81"/>
      <c r="I4054" s="83" t="e">
        <f>VLOOKUP(E4054,[1]Mapping!$A$3:$B$14,2,FALSE)</f>
        <v>#N/A</v>
      </c>
      <c r="J4054" s="84">
        <f t="shared" si="128"/>
        <v>0</v>
      </c>
      <c r="K4054" s="84">
        <f t="shared" si="129"/>
        <v>0</v>
      </c>
      <c r="L4054" s="61" t="e">
        <f>VLOOKUP(K4054,[1]Mapping!$J$3:$Q$351,8,FALSE)</f>
        <v>#N/A</v>
      </c>
      <c r="M4054" t="s">
        <v>83</v>
      </c>
    </row>
    <row r="4055" spans="5:15" hidden="1" x14ac:dyDescent="0.35">
      <c r="E4055" s="81"/>
      <c r="I4055" s="83" t="e">
        <f>VLOOKUP(E4055,[1]Mapping!$A$3:$B$14,2,FALSE)</f>
        <v>#N/A</v>
      </c>
      <c r="J4055" s="84">
        <f t="shared" si="128"/>
        <v>0</v>
      </c>
      <c r="K4055" s="84">
        <f t="shared" si="129"/>
        <v>0</v>
      </c>
      <c r="L4055" s="61" t="e">
        <f>VLOOKUP(K4055,[1]Mapping!$J$3:$Q$351,8,FALSE)</f>
        <v>#N/A</v>
      </c>
      <c r="M4055" t="s">
        <v>83</v>
      </c>
    </row>
    <row r="4056" spans="5:15" hidden="1" x14ac:dyDescent="0.35">
      <c r="E4056" s="81"/>
      <c r="I4056" s="83" t="e">
        <f>VLOOKUP(E4056,[1]Mapping!$A$3:$B$14,2,FALSE)</f>
        <v>#N/A</v>
      </c>
      <c r="J4056" s="84">
        <f t="shared" si="128"/>
        <v>0</v>
      </c>
      <c r="K4056" s="84">
        <f t="shared" si="129"/>
        <v>0</v>
      </c>
      <c r="L4056" s="61" t="e">
        <f>VLOOKUP(K4056,[1]Mapping!$J$3:$Q$351,8,FALSE)</f>
        <v>#N/A</v>
      </c>
      <c r="M4056" t="s">
        <v>83</v>
      </c>
    </row>
    <row r="4057" spans="5:15" hidden="1" x14ac:dyDescent="0.35">
      <c r="E4057" s="81"/>
      <c r="I4057" s="83" t="e">
        <f>VLOOKUP(E4057,[1]Mapping!$A$3:$B$14,2,FALSE)</f>
        <v>#N/A</v>
      </c>
      <c r="J4057" s="84">
        <f t="shared" si="128"/>
        <v>0</v>
      </c>
      <c r="K4057" s="84">
        <f t="shared" si="129"/>
        <v>0</v>
      </c>
      <c r="L4057" s="61" t="e">
        <f>VLOOKUP(K4057,[1]Mapping!$J$3:$Q$351,8,FALSE)</f>
        <v>#N/A</v>
      </c>
      <c r="M4057" t="s">
        <v>83</v>
      </c>
    </row>
    <row r="4058" spans="5:15" hidden="1" x14ac:dyDescent="0.35">
      <c r="E4058" s="81"/>
      <c r="I4058" s="83" t="e">
        <f>VLOOKUP(E4058,[1]Mapping!$A$3:$B$14,2,FALSE)</f>
        <v>#N/A</v>
      </c>
      <c r="J4058" s="84">
        <f t="shared" si="128"/>
        <v>0</v>
      </c>
      <c r="K4058" s="84">
        <f t="shared" si="129"/>
        <v>0</v>
      </c>
      <c r="L4058" s="61" t="e">
        <f>VLOOKUP(K4058,[1]Mapping!$J$3:$Q$351,8,FALSE)</f>
        <v>#N/A</v>
      </c>
      <c r="M4058" t="s">
        <v>83</v>
      </c>
    </row>
    <row r="4059" spans="5:15" hidden="1" x14ac:dyDescent="0.35">
      <c r="E4059" s="81"/>
      <c r="I4059" s="83" t="e">
        <f>VLOOKUP(E4059,[1]Mapping!$A$3:$B$14,2,FALSE)</f>
        <v>#N/A</v>
      </c>
      <c r="J4059" s="84">
        <f t="shared" si="128"/>
        <v>0</v>
      </c>
      <c r="K4059" s="84">
        <f t="shared" si="129"/>
        <v>0</v>
      </c>
      <c r="L4059" s="61" t="e">
        <f>VLOOKUP(K4059,[1]Mapping!$J$3:$Q$351,8,FALSE)</f>
        <v>#N/A</v>
      </c>
      <c r="M4059" t="s">
        <v>83</v>
      </c>
    </row>
    <row r="4060" spans="5:15" hidden="1" x14ac:dyDescent="0.35">
      <c r="E4060" s="81"/>
      <c r="I4060" s="83" t="e">
        <f>VLOOKUP(E4060,[1]Mapping!$A$3:$B$14,2,FALSE)</f>
        <v>#N/A</v>
      </c>
      <c r="J4060" s="84">
        <f t="shared" si="128"/>
        <v>0</v>
      </c>
      <c r="K4060" s="84">
        <f t="shared" si="129"/>
        <v>0</v>
      </c>
      <c r="L4060" s="61" t="e">
        <f>VLOOKUP(K4060,[1]Mapping!$J$3:$Q$351,8,FALSE)</f>
        <v>#N/A</v>
      </c>
      <c r="M4060" t="s">
        <v>83</v>
      </c>
    </row>
    <row r="4061" spans="5:15" hidden="1" x14ac:dyDescent="0.35">
      <c r="E4061" s="81"/>
      <c r="I4061" s="83" t="e">
        <f>VLOOKUP(E4061,[1]Mapping!$A$3:$B$14,2,FALSE)</f>
        <v>#N/A</v>
      </c>
      <c r="J4061" s="84">
        <f t="shared" si="128"/>
        <v>0</v>
      </c>
      <c r="K4061" s="84">
        <f t="shared" si="129"/>
        <v>0</v>
      </c>
      <c r="L4061" s="61" t="e">
        <f>VLOOKUP(K4061,[1]Mapping!$J$3:$Q$351,8,FALSE)</f>
        <v>#N/A</v>
      </c>
      <c r="M4061" t="s">
        <v>83</v>
      </c>
    </row>
    <row r="4062" spans="5:15" hidden="1" x14ac:dyDescent="0.35">
      <c r="E4062" s="81"/>
      <c r="H4062" s="82"/>
      <c r="I4062" s="83" t="e">
        <f>VLOOKUP(E4062,[1]Mapping!$A$3:$B$14,2,FALSE)</f>
        <v>#N/A</v>
      </c>
      <c r="J4062" s="84">
        <f t="shared" si="128"/>
        <v>0</v>
      </c>
      <c r="K4062" s="84">
        <f t="shared" si="129"/>
        <v>0</v>
      </c>
      <c r="L4062" s="61" t="e">
        <f>VLOOKUP(K4062,[1]Mapping!$J$3:$Q$351,8,FALSE)</f>
        <v>#N/A</v>
      </c>
      <c r="M4062" t="s">
        <v>83</v>
      </c>
      <c r="N4062" t="s">
        <v>180</v>
      </c>
      <c r="O4062" t="s">
        <v>178</v>
      </c>
    </row>
    <row r="4063" spans="5:15" hidden="1" x14ac:dyDescent="0.35">
      <c r="E4063" s="81"/>
      <c r="I4063" s="83" t="e">
        <f>VLOOKUP(E4063,[1]Mapping!$A$3:$B$14,2,FALSE)</f>
        <v>#N/A</v>
      </c>
      <c r="J4063" s="84">
        <f t="shared" si="128"/>
        <v>0</v>
      </c>
      <c r="K4063" s="84">
        <f t="shared" si="129"/>
        <v>0</v>
      </c>
      <c r="L4063" s="61" t="e">
        <f>VLOOKUP(K4063,[1]Mapping!$J$3:$Q$351,8,FALSE)</f>
        <v>#N/A</v>
      </c>
      <c r="M4063" t="s">
        <v>83</v>
      </c>
    </row>
    <row r="4064" spans="5:15" hidden="1" x14ac:dyDescent="0.35">
      <c r="E4064" s="81"/>
      <c r="I4064" s="83" t="e">
        <f>VLOOKUP(E4064,[1]Mapping!$A$3:$B$14,2,FALSE)</f>
        <v>#N/A</v>
      </c>
      <c r="J4064" s="84">
        <f t="shared" si="128"/>
        <v>0</v>
      </c>
      <c r="K4064" s="84">
        <f t="shared" si="129"/>
        <v>0</v>
      </c>
      <c r="L4064" s="61" t="e">
        <f>VLOOKUP(K4064,[1]Mapping!$J$3:$Q$351,8,FALSE)</f>
        <v>#N/A</v>
      </c>
      <c r="M4064" t="s">
        <v>83</v>
      </c>
    </row>
    <row r="4065" spans="5:13" hidden="1" x14ac:dyDescent="0.35">
      <c r="E4065" s="81"/>
      <c r="I4065" s="83" t="e">
        <f>VLOOKUP(E4065,[1]Mapping!$A$3:$B$14,2,FALSE)</f>
        <v>#N/A</v>
      </c>
      <c r="J4065" s="84">
        <f t="shared" si="128"/>
        <v>0</v>
      </c>
      <c r="K4065" s="84">
        <f t="shared" si="129"/>
        <v>0</v>
      </c>
      <c r="L4065" s="61" t="e">
        <f>VLOOKUP(K4065,[1]Mapping!$J$3:$Q$351,8,FALSE)</f>
        <v>#N/A</v>
      </c>
      <c r="M4065" t="s">
        <v>83</v>
      </c>
    </row>
    <row r="4066" spans="5:13" hidden="1" x14ac:dyDescent="0.35">
      <c r="E4066" s="81"/>
      <c r="I4066" s="83" t="e">
        <f>VLOOKUP(E4066,[1]Mapping!$A$3:$B$14,2,FALSE)</f>
        <v>#N/A</v>
      </c>
      <c r="J4066" s="84">
        <f t="shared" si="128"/>
        <v>0</v>
      </c>
      <c r="K4066" s="84">
        <f t="shared" si="129"/>
        <v>0</v>
      </c>
      <c r="L4066" s="61" t="e">
        <f>VLOOKUP(K4066,[1]Mapping!$J$3:$Q$351,8,FALSE)</f>
        <v>#N/A</v>
      </c>
      <c r="M4066" t="s">
        <v>83</v>
      </c>
    </row>
    <row r="4067" spans="5:13" hidden="1" x14ac:dyDescent="0.35">
      <c r="E4067" s="81"/>
      <c r="I4067" s="83" t="e">
        <f>VLOOKUP(E4067,[1]Mapping!$A$3:$B$14,2,FALSE)</f>
        <v>#N/A</v>
      </c>
      <c r="J4067" s="84">
        <f t="shared" si="128"/>
        <v>0</v>
      </c>
      <c r="K4067" s="84">
        <f t="shared" si="129"/>
        <v>0</v>
      </c>
      <c r="L4067" s="61" t="e">
        <f>VLOOKUP(K4067,[1]Mapping!$J$3:$Q$351,8,FALSE)</f>
        <v>#N/A</v>
      </c>
      <c r="M4067" t="s">
        <v>83</v>
      </c>
    </row>
    <row r="4068" spans="5:13" hidden="1" x14ac:dyDescent="0.35">
      <c r="E4068" s="81"/>
      <c r="I4068" s="83" t="e">
        <f>VLOOKUP(E4068,[1]Mapping!$A$3:$B$14,2,FALSE)</f>
        <v>#N/A</v>
      </c>
      <c r="J4068" s="84">
        <f t="shared" si="128"/>
        <v>0</v>
      </c>
      <c r="K4068" s="84">
        <f t="shared" si="129"/>
        <v>0</v>
      </c>
      <c r="L4068" s="61" t="e">
        <f>VLOOKUP(K4068,[1]Mapping!$J$3:$Q$351,8,FALSE)</f>
        <v>#N/A</v>
      </c>
      <c r="M4068" t="s">
        <v>83</v>
      </c>
    </row>
    <row r="4069" spans="5:13" hidden="1" x14ac:dyDescent="0.35">
      <c r="E4069" s="81"/>
      <c r="I4069" s="83" t="e">
        <f>VLOOKUP(E4069,[1]Mapping!$A$3:$B$14,2,FALSE)</f>
        <v>#N/A</v>
      </c>
      <c r="J4069" s="84">
        <f t="shared" si="128"/>
        <v>0</v>
      </c>
      <c r="K4069" s="84">
        <f t="shared" si="129"/>
        <v>0</v>
      </c>
      <c r="L4069" s="61" t="e">
        <f>VLOOKUP(K4069,[1]Mapping!$J$3:$Q$351,8,FALSE)</f>
        <v>#N/A</v>
      </c>
      <c r="M4069" t="s">
        <v>83</v>
      </c>
    </row>
    <row r="4070" spans="5:13" hidden="1" x14ac:dyDescent="0.35">
      <c r="E4070" s="81"/>
      <c r="I4070" s="83" t="e">
        <f>VLOOKUP(E4070,[1]Mapping!$A$3:$B$14,2,FALSE)</f>
        <v>#N/A</v>
      </c>
      <c r="J4070" s="84">
        <f t="shared" si="128"/>
        <v>0</v>
      </c>
      <c r="K4070" s="84">
        <f t="shared" si="129"/>
        <v>0</v>
      </c>
      <c r="L4070" s="61" t="e">
        <f>VLOOKUP(K4070,[1]Mapping!$J$3:$Q$351,8,FALSE)</f>
        <v>#N/A</v>
      </c>
      <c r="M4070" t="s">
        <v>83</v>
      </c>
    </row>
    <row r="4071" spans="5:13" hidden="1" x14ac:dyDescent="0.35">
      <c r="E4071" s="81"/>
      <c r="I4071" s="83" t="e">
        <f>VLOOKUP(E4071,[1]Mapping!$A$3:$B$14,2,FALSE)</f>
        <v>#N/A</v>
      </c>
      <c r="J4071" s="84">
        <f t="shared" si="128"/>
        <v>0</v>
      </c>
      <c r="K4071" s="84">
        <f t="shared" si="129"/>
        <v>0</v>
      </c>
      <c r="L4071" s="61" t="e">
        <f>VLOOKUP(K4071,[1]Mapping!$J$3:$Q$351,8,FALSE)</f>
        <v>#N/A</v>
      </c>
      <c r="M4071" t="s">
        <v>83</v>
      </c>
    </row>
    <row r="4072" spans="5:13" hidden="1" x14ac:dyDescent="0.35">
      <c r="E4072" s="81"/>
      <c r="I4072" s="83" t="e">
        <f>VLOOKUP(E4072,[1]Mapping!$A$3:$B$14,2,FALSE)</f>
        <v>#N/A</v>
      </c>
      <c r="J4072" s="84">
        <f t="shared" si="128"/>
        <v>0</v>
      </c>
      <c r="K4072" s="84">
        <f t="shared" si="129"/>
        <v>0</v>
      </c>
      <c r="L4072" s="61" t="e">
        <f>VLOOKUP(K4072,[1]Mapping!$J$3:$Q$351,8,FALSE)</f>
        <v>#N/A</v>
      </c>
      <c r="M4072" t="s">
        <v>83</v>
      </c>
    </row>
    <row r="4073" spans="5:13" hidden="1" x14ac:dyDescent="0.35">
      <c r="E4073" s="81"/>
      <c r="I4073" s="83" t="e">
        <f>VLOOKUP(E4073,[1]Mapping!$A$3:$B$14,2,FALSE)</f>
        <v>#N/A</v>
      </c>
      <c r="J4073" s="84">
        <f t="shared" si="128"/>
        <v>0</v>
      </c>
      <c r="K4073" s="84">
        <f t="shared" si="129"/>
        <v>0</v>
      </c>
      <c r="L4073" s="61" t="e">
        <f>VLOOKUP(K4073,[1]Mapping!$J$3:$Q$351,8,FALSE)</f>
        <v>#N/A</v>
      </c>
      <c r="M4073" t="s">
        <v>83</v>
      </c>
    </row>
    <row r="4074" spans="5:13" hidden="1" x14ac:dyDescent="0.35">
      <c r="E4074" s="81"/>
      <c r="I4074" s="83" t="e">
        <f>VLOOKUP(E4074,[1]Mapping!$A$3:$B$14,2,FALSE)</f>
        <v>#N/A</v>
      </c>
      <c r="J4074" s="84">
        <f t="shared" si="128"/>
        <v>0</v>
      </c>
      <c r="K4074" s="84">
        <f t="shared" si="129"/>
        <v>0</v>
      </c>
      <c r="L4074" s="61" t="e">
        <f>VLOOKUP(K4074,[1]Mapping!$J$3:$Q$351,8,FALSE)</f>
        <v>#N/A</v>
      </c>
      <c r="M4074" t="s">
        <v>83</v>
      </c>
    </row>
    <row r="4075" spans="5:13" hidden="1" x14ac:dyDescent="0.35">
      <c r="E4075" s="81"/>
      <c r="I4075" s="83" t="e">
        <f>VLOOKUP(E4075,[1]Mapping!$A$3:$B$14,2,FALSE)</f>
        <v>#N/A</v>
      </c>
      <c r="J4075" s="84">
        <f t="shared" si="128"/>
        <v>0</v>
      </c>
      <c r="K4075" s="84">
        <f t="shared" si="129"/>
        <v>0</v>
      </c>
      <c r="L4075" s="61" t="e">
        <f>VLOOKUP(K4075,[1]Mapping!$J$3:$Q$351,8,FALSE)</f>
        <v>#N/A</v>
      </c>
      <c r="M4075" t="s">
        <v>83</v>
      </c>
    </row>
    <row r="4076" spans="5:13" hidden="1" x14ac:dyDescent="0.35">
      <c r="E4076" s="81"/>
      <c r="I4076" s="83" t="e">
        <f>VLOOKUP(E4076,[1]Mapping!$A$3:$B$14,2,FALSE)</f>
        <v>#N/A</v>
      </c>
      <c r="J4076" s="84">
        <f t="shared" si="128"/>
        <v>0</v>
      </c>
      <c r="K4076" s="84">
        <f t="shared" si="129"/>
        <v>0</v>
      </c>
      <c r="L4076" s="61" t="e">
        <f>VLOOKUP(K4076,[1]Mapping!$J$3:$Q$351,8,FALSE)</f>
        <v>#N/A</v>
      </c>
      <c r="M4076" t="s">
        <v>83</v>
      </c>
    </row>
    <row r="4077" spans="5:13" hidden="1" x14ac:dyDescent="0.35">
      <c r="E4077" s="81"/>
      <c r="I4077" s="83" t="e">
        <f>VLOOKUP(E4077,[1]Mapping!$A$3:$B$14,2,FALSE)</f>
        <v>#N/A</v>
      </c>
      <c r="J4077" s="84">
        <f t="shared" si="128"/>
        <v>0</v>
      </c>
      <c r="K4077" s="84">
        <f t="shared" si="129"/>
        <v>0</v>
      </c>
      <c r="L4077" s="61" t="e">
        <f>VLOOKUP(K4077,[1]Mapping!$J$3:$Q$351,8,FALSE)</f>
        <v>#N/A</v>
      </c>
      <c r="M4077" t="s">
        <v>83</v>
      </c>
    </row>
    <row r="4078" spans="5:13" hidden="1" x14ac:dyDescent="0.35">
      <c r="E4078" s="81"/>
      <c r="I4078" s="83" t="e">
        <f>VLOOKUP(E4078,[1]Mapping!$A$3:$B$14,2,FALSE)</f>
        <v>#N/A</v>
      </c>
      <c r="J4078" s="84">
        <f t="shared" si="128"/>
        <v>0</v>
      </c>
      <c r="K4078" s="84">
        <f t="shared" si="129"/>
        <v>0</v>
      </c>
      <c r="L4078" s="61" t="e">
        <f>VLOOKUP(K4078,[1]Mapping!$J$3:$Q$351,8,FALSE)</f>
        <v>#N/A</v>
      </c>
      <c r="M4078" t="s">
        <v>83</v>
      </c>
    </row>
    <row r="4079" spans="5:13" hidden="1" x14ac:dyDescent="0.35">
      <c r="E4079" s="81"/>
      <c r="I4079" s="83" t="e">
        <f>VLOOKUP(E4079,[1]Mapping!$A$3:$B$14,2,FALSE)</f>
        <v>#N/A</v>
      </c>
      <c r="J4079" s="84">
        <f t="shared" si="128"/>
        <v>0</v>
      </c>
      <c r="K4079" s="84">
        <f t="shared" si="129"/>
        <v>0</v>
      </c>
      <c r="L4079" s="61" t="e">
        <f>VLOOKUP(K4079,[1]Mapping!$J$3:$Q$351,8,FALSE)</f>
        <v>#N/A</v>
      </c>
      <c r="M4079" t="s">
        <v>83</v>
      </c>
    </row>
    <row r="4080" spans="5:13" hidden="1" x14ac:dyDescent="0.35">
      <c r="E4080" s="81"/>
      <c r="I4080" s="83" t="e">
        <f>VLOOKUP(E4080,[1]Mapping!$A$3:$B$14,2,FALSE)</f>
        <v>#N/A</v>
      </c>
      <c r="J4080" s="84">
        <f t="shared" si="128"/>
        <v>0</v>
      </c>
      <c r="K4080" s="84">
        <f t="shared" si="129"/>
        <v>0</v>
      </c>
      <c r="L4080" s="61" t="e">
        <f>VLOOKUP(K4080,[1]Mapping!$J$3:$Q$351,8,FALSE)</f>
        <v>#N/A</v>
      </c>
      <c r="M4080" t="s">
        <v>83</v>
      </c>
    </row>
    <row r="4081" spans="5:13" hidden="1" x14ac:dyDescent="0.35">
      <c r="E4081" s="81"/>
      <c r="I4081" s="83" t="e">
        <f>VLOOKUP(E4081,[1]Mapping!$A$3:$B$14,2,FALSE)</f>
        <v>#N/A</v>
      </c>
      <c r="J4081" s="84">
        <f t="shared" si="128"/>
        <v>0</v>
      </c>
      <c r="K4081" s="84">
        <f t="shared" si="129"/>
        <v>0</v>
      </c>
      <c r="L4081" s="61" t="e">
        <f>VLOOKUP(K4081,[1]Mapping!$J$3:$Q$351,8,FALSE)</f>
        <v>#N/A</v>
      </c>
      <c r="M4081" t="s">
        <v>83</v>
      </c>
    </row>
    <row r="4082" spans="5:13" hidden="1" x14ac:dyDescent="0.35">
      <c r="E4082" s="81"/>
      <c r="I4082" s="83" t="e">
        <f>VLOOKUP(E4082,[1]Mapping!$A$3:$B$14,2,FALSE)</f>
        <v>#N/A</v>
      </c>
      <c r="J4082" s="84">
        <f t="shared" si="128"/>
        <v>0</v>
      </c>
      <c r="K4082" s="84">
        <f t="shared" si="129"/>
        <v>0</v>
      </c>
      <c r="L4082" s="61" t="e">
        <f>VLOOKUP(K4082,[1]Mapping!$J$3:$Q$351,8,FALSE)</f>
        <v>#N/A</v>
      </c>
      <c r="M4082" t="s">
        <v>83</v>
      </c>
    </row>
    <row r="4083" spans="5:13" hidden="1" x14ac:dyDescent="0.35">
      <c r="E4083" s="81"/>
      <c r="I4083" s="83" t="e">
        <f>VLOOKUP(E4083,[1]Mapping!$A$3:$B$14,2,FALSE)</f>
        <v>#N/A</v>
      </c>
      <c r="J4083" s="84">
        <f t="shared" si="128"/>
        <v>0</v>
      </c>
      <c r="K4083" s="84">
        <f t="shared" si="129"/>
        <v>0</v>
      </c>
      <c r="L4083" s="61" t="e">
        <f>VLOOKUP(K4083,[1]Mapping!$J$3:$Q$351,8,FALSE)</f>
        <v>#N/A</v>
      </c>
      <c r="M4083" t="s">
        <v>83</v>
      </c>
    </row>
    <row r="4084" spans="5:13" hidden="1" x14ac:dyDescent="0.35">
      <c r="E4084" s="81"/>
      <c r="I4084" s="83" t="e">
        <f>VLOOKUP(E4084,[1]Mapping!$A$3:$B$14,2,FALSE)</f>
        <v>#N/A</v>
      </c>
      <c r="J4084" s="84">
        <f t="shared" si="128"/>
        <v>0</v>
      </c>
      <c r="K4084" s="84">
        <f t="shared" si="129"/>
        <v>0</v>
      </c>
      <c r="L4084" s="61" t="e">
        <f>VLOOKUP(K4084,[1]Mapping!$J$3:$Q$351,8,FALSE)</f>
        <v>#N/A</v>
      </c>
      <c r="M4084" t="s">
        <v>83</v>
      </c>
    </row>
    <row r="4085" spans="5:13" hidden="1" x14ac:dyDescent="0.35">
      <c r="E4085" s="81"/>
      <c r="I4085" s="83" t="e">
        <f>VLOOKUP(E4085,[1]Mapping!$A$3:$B$14,2,FALSE)</f>
        <v>#N/A</v>
      </c>
      <c r="J4085" s="84">
        <f t="shared" si="128"/>
        <v>0</v>
      </c>
      <c r="K4085" s="84">
        <f t="shared" si="129"/>
        <v>0</v>
      </c>
      <c r="L4085" s="61" t="e">
        <f>VLOOKUP(K4085,[1]Mapping!$J$3:$Q$351,8,FALSE)</f>
        <v>#N/A</v>
      </c>
      <c r="M4085" t="s">
        <v>83</v>
      </c>
    </row>
    <row r="4086" spans="5:13" hidden="1" x14ac:dyDescent="0.35">
      <c r="E4086" s="81"/>
      <c r="I4086" s="83" t="e">
        <f>VLOOKUP(E4086,[1]Mapping!$A$3:$B$14,2,FALSE)</f>
        <v>#N/A</v>
      </c>
      <c r="J4086" s="84">
        <f t="shared" si="128"/>
        <v>0</v>
      </c>
      <c r="K4086" s="84">
        <f t="shared" si="129"/>
        <v>0</v>
      </c>
      <c r="L4086" s="61" t="e">
        <f>VLOOKUP(K4086,[1]Mapping!$J$3:$Q$351,8,FALSE)</f>
        <v>#N/A</v>
      </c>
      <c r="M4086" t="s">
        <v>83</v>
      </c>
    </row>
    <row r="4087" spans="5:13" hidden="1" x14ac:dyDescent="0.35">
      <c r="E4087" s="81"/>
      <c r="I4087" s="83" t="e">
        <f>VLOOKUP(E4087,[1]Mapping!$A$3:$B$14,2,FALSE)</f>
        <v>#N/A</v>
      </c>
      <c r="J4087" s="84">
        <f t="shared" si="128"/>
        <v>0</v>
      </c>
      <c r="K4087" s="84">
        <f t="shared" si="129"/>
        <v>0</v>
      </c>
      <c r="L4087" s="61" t="e">
        <f>VLOOKUP(K4087,[1]Mapping!$J$3:$Q$351,8,FALSE)</f>
        <v>#N/A</v>
      </c>
      <c r="M4087" t="s">
        <v>83</v>
      </c>
    </row>
    <row r="4088" spans="5:13" hidden="1" x14ac:dyDescent="0.35">
      <c r="E4088" s="81"/>
      <c r="I4088" s="83" t="e">
        <f>VLOOKUP(E4088,[1]Mapping!$A$3:$B$14,2,FALSE)</f>
        <v>#N/A</v>
      </c>
      <c r="J4088" s="84">
        <f t="shared" si="128"/>
        <v>0</v>
      </c>
      <c r="K4088" s="84">
        <f t="shared" si="129"/>
        <v>0</v>
      </c>
      <c r="L4088" s="61" t="e">
        <f>VLOOKUP(K4088,[1]Mapping!$J$3:$Q$351,8,FALSE)</f>
        <v>#N/A</v>
      </c>
      <c r="M4088" t="s">
        <v>83</v>
      </c>
    </row>
    <row r="4089" spans="5:13" hidden="1" x14ac:dyDescent="0.35">
      <c r="E4089" s="81"/>
      <c r="I4089" s="83" t="e">
        <f>VLOOKUP(E4089,[1]Mapping!$A$3:$B$14,2,FALSE)</f>
        <v>#N/A</v>
      </c>
      <c r="J4089" s="84">
        <f t="shared" si="128"/>
        <v>0</v>
      </c>
      <c r="K4089" s="84">
        <f t="shared" si="129"/>
        <v>0</v>
      </c>
      <c r="L4089" s="61" t="e">
        <f>VLOOKUP(K4089,[1]Mapping!$J$3:$Q$351,8,FALSE)</f>
        <v>#N/A</v>
      </c>
      <c r="M4089" t="s">
        <v>83</v>
      </c>
    </row>
    <row r="4090" spans="5:13" hidden="1" x14ac:dyDescent="0.35">
      <c r="E4090" s="81"/>
      <c r="I4090" s="83" t="e">
        <f>VLOOKUP(E4090,[1]Mapping!$A$3:$B$14,2,FALSE)</f>
        <v>#N/A</v>
      </c>
      <c r="J4090" s="84">
        <f t="shared" si="128"/>
        <v>0</v>
      </c>
      <c r="K4090" s="84">
        <f t="shared" si="129"/>
        <v>0</v>
      </c>
      <c r="L4090" s="61" t="e">
        <f>VLOOKUP(K4090,[1]Mapping!$J$3:$Q$351,8,FALSE)</f>
        <v>#N/A</v>
      </c>
      <c r="M4090" t="s">
        <v>83</v>
      </c>
    </row>
    <row r="4091" spans="5:13" hidden="1" x14ac:dyDescent="0.35">
      <c r="E4091" s="81"/>
      <c r="I4091" s="83" t="e">
        <f>VLOOKUP(E4091,[1]Mapping!$A$3:$B$14,2,FALSE)</f>
        <v>#N/A</v>
      </c>
      <c r="J4091" s="84">
        <f t="shared" si="128"/>
        <v>0</v>
      </c>
      <c r="K4091" s="84">
        <f t="shared" si="129"/>
        <v>0</v>
      </c>
      <c r="L4091" s="61" t="e">
        <f>VLOOKUP(K4091,[1]Mapping!$J$3:$Q$351,8,FALSE)</f>
        <v>#N/A</v>
      </c>
      <c r="M4091" t="s">
        <v>83</v>
      </c>
    </row>
    <row r="4092" spans="5:13" hidden="1" x14ac:dyDescent="0.35">
      <c r="E4092" s="81"/>
      <c r="I4092" s="83" t="e">
        <f>VLOOKUP(E4092,[1]Mapping!$A$3:$B$14,2,FALSE)</f>
        <v>#N/A</v>
      </c>
      <c r="J4092" s="84">
        <f t="shared" si="128"/>
        <v>0</v>
      </c>
      <c r="K4092" s="84">
        <f t="shared" si="129"/>
        <v>0</v>
      </c>
      <c r="L4092" s="61" t="e">
        <f>VLOOKUP(K4092,[1]Mapping!$J$3:$Q$351,8,FALSE)</f>
        <v>#N/A</v>
      </c>
      <c r="M4092" t="s">
        <v>83</v>
      </c>
    </row>
    <row r="4093" spans="5:13" hidden="1" x14ac:dyDescent="0.35">
      <c r="E4093" s="81"/>
      <c r="I4093" s="83" t="e">
        <f>VLOOKUP(E4093,[1]Mapping!$A$3:$B$14,2,FALSE)</f>
        <v>#N/A</v>
      </c>
      <c r="J4093" s="84">
        <f t="shared" si="128"/>
        <v>0</v>
      </c>
      <c r="K4093" s="84">
        <f t="shared" si="129"/>
        <v>0</v>
      </c>
      <c r="L4093" s="61" t="e">
        <f>VLOOKUP(K4093,[1]Mapping!$J$3:$Q$351,8,FALSE)</f>
        <v>#N/A</v>
      </c>
      <c r="M4093" t="s">
        <v>83</v>
      </c>
    </row>
    <row r="4094" spans="5:13" hidden="1" x14ac:dyDescent="0.35">
      <c r="E4094" s="81"/>
      <c r="I4094" s="83" t="e">
        <f>VLOOKUP(E4094,[1]Mapping!$A$3:$B$14,2,FALSE)</f>
        <v>#N/A</v>
      </c>
      <c r="J4094" s="84">
        <f t="shared" si="128"/>
        <v>0</v>
      </c>
      <c r="K4094" s="84">
        <f t="shared" si="129"/>
        <v>0</v>
      </c>
      <c r="L4094" s="61" t="e">
        <f>VLOOKUP(K4094,[1]Mapping!$J$3:$Q$351,8,FALSE)</f>
        <v>#N/A</v>
      </c>
      <c r="M4094" t="s">
        <v>83</v>
      </c>
    </row>
    <row r="4095" spans="5:13" hidden="1" x14ac:dyDescent="0.35">
      <c r="E4095" s="81"/>
      <c r="I4095" s="83" t="e">
        <f>VLOOKUP(E4095,[1]Mapping!$A$3:$B$14,2,FALSE)</f>
        <v>#N/A</v>
      </c>
      <c r="J4095" s="84">
        <f t="shared" si="128"/>
        <v>0</v>
      </c>
      <c r="K4095" s="84">
        <f t="shared" si="129"/>
        <v>0</v>
      </c>
      <c r="L4095" s="61" t="e">
        <f>VLOOKUP(K4095,[1]Mapping!$J$3:$Q$351,8,FALSE)</f>
        <v>#N/A</v>
      </c>
      <c r="M4095" t="s">
        <v>83</v>
      </c>
    </row>
    <row r="4096" spans="5:13" hidden="1" x14ac:dyDescent="0.35">
      <c r="E4096" s="81"/>
      <c r="I4096" s="83" t="e">
        <f>VLOOKUP(E4096,[1]Mapping!$A$3:$B$14,2,FALSE)</f>
        <v>#N/A</v>
      </c>
      <c r="J4096" s="84">
        <f t="shared" si="128"/>
        <v>0</v>
      </c>
      <c r="K4096" s="84">
        <f t="shared" si="129"/>
        <v>0</v>
      </c>
      <c r="L4096" s="61" t="e">
        <f>VLOOKUP(K4096,[1]Mapping!$J$3:$Q$351,8,FALSE)</f>
        <v>#N/A</v>
      </c>
      <c r="M4096" t="s">
        <v>83</v>
      </c>
    </row>
    <row r="4097" spans="5:13" hidden="1" x14ac:dyDescent="0.35">
      <c r="E4097" s="81"/>
      <c r="I4097" s="83" t="e">
        <f>VLOOKUP(E4097,[1]Mapping!$A$3:$B$14,2,FALSE)</f>
        <v>#N/A</v>
      </c>
      <c r="J4097" s="84">
        <f t="shared" si="128"/>
        <v>0</v>
      </c>
      <c r="K4097" s="84">
        <f t="shared" si="129"/>
        <v>0</v>
      </c>
      <c r="L4097" s="61" t="e">
        <f>VLOOKUP(K4097,[1]Mapping!$J$3:$Q$351,8,FALSE)</f>
        <v>#N/A</v>
      </c>
      <c r="M4097" t="s">
        <v>83</v>
      </c>
    </row>
    <row r="4098" spans="5:13" hidden="1" x14ac:dyDescent="0.35">
      <c r="E4098" s="81"/>
      <c r="I4098" s="83" t="e">
        <f>VLOOKUP(E4098,[1]Mapping!$A$3:$B$14,2,FALSE)</f>
        <v>#N/A</v>
      </c>
      <c r="J4098" s="84">
        <f t="shared" si="128"/>
        <v>0</v>
      </c>
      <c r="K4098" s="84">
        <f t="shared" si="129"/>
        <v>0</v>
      </c>
      <c r="L4098" s="61" t="e">
        <f>VLOOKUP(K4098,[1]Mapping!$J$3:$Q$351,8,FALSE)</f>
        <v>#N/A</v>
      </c>
      <c r="M4098" t="s">
        <v>83</v>
      </c>
    </row>
    <row r="4099" spans="5:13" hidden="1" x14ac:dyDescent="0.35">
      <c r="E4099" s="81"/>
      <c r="I4099" s="83" t="e">
        <f>VLOOKUP(E4099,[1]Mapping!$A$3:$B$14,2,FALSE)</f>
        <v>#N/A</v>
      </c>
      <c r="J4099" s="84">
        <f t="shared" si="128"/>
        <v>0</v>
      </c>
      <c r="K4099" s="84">
        <f t="shared" si="129"/>
        <v>0</v>
      </c>
      <c r="L4099" s="61" t="e">
        <f>VLOOKUP(K4099,[1]Mapping!$J$3:$Q$351,8,FALSE)</f>
        <v>#N/A</v>
      </c>
      <c r="M4099" t="s">
        <v>83</v>
      </c>
    </row>
    <row r="4100" spans="5:13" hidden="1" x14ac:dyDescent="0.35">
      <c r="E4100" s="81"/>
      <c r="I4100" s="83" t="e">
        <f>VLOOKUP(E4100,[1]Mapping!$A$3:$B$14,2,FALSE)</f>
        <v>#N/A</v>
      </c>
      <c r="J4100" s="84">
        <f t="shared" ref="J4100:J4163" si="130">VALUE(A4100)</f>
        <v>0</v>
      </c>
      <c r="K4100" s="84">
        <f t="shared" ref="K4100:K4163" si="131">VALUE(C4100)</f>
        <v>0</v>
      </c>
      <c r="L4100" s="61" t="e">
        <f>VLOOKUP(K4100,[1]Mapping!$J$3:$Q$351,8,FALSE)</f>
        <v>#N/A</v>
      </c>
      <c r="M4100" t="s">
        <v>83</v>
      </c>
    </row>
    <row r="4101" spans="5:13" hidden="1" x14ac:dyDescent="0.35">
      <c r="E4101" s="81"/>
      <c r="I4101" s="83" t="e">
        <f>VLOOKUP(E4101,[1]Mapping!$A$3:$B$14,2,FALSE)</f>
        <v>#N/A</v>
      </c>
      <c r="J4101" s="84">
        <f t="shared" si="130"/>
        <v>0</v>
      </c>
      <c r="K4101" s="84">
        <f t="shared" si="131"/>
        <v>0</v>
      </c>
      <c r="L4101" s="61" t="e">
        <f>VLOOKUP(K4101,[1]Mapping!$J$3:$Q$351,8,FALSE)</f>
        <v>#N/A</v>
      </c>
      <c r="M4101" t="s">
        <v>83</v>
      </c>
    </row>
    <row r="4102" spans="5:13" hidden="1" x14ac:dyDescent="0.35">
      <c r="E4102" s="81"/>
      <c r="I4102" s="83" t="e">
        <f>VLOOKUP(E4102,[1]Mapping!$A$3:$B$14,2,FALSE)</f>
        <v>#N/A</v>
      </c>
      <c r="J4102" s="84">
        <f t="shared" si="130"/>
        <v>0</v>
      </c>
      <c r="K4102" s="84">
        <f t="shared" si="131"/>
        <v>0</v>
      </c>
      <c r="L4102" s="61" t="e">
        <f>VLOOKUP(K4102,[1]Mapping!$J$3:$Q$351,8,FALSE)</f>
        <v>#N/A</v>
      </c>
      <c r="M4102" t="s">
        <v>83</v>
      </c>
    </row>
    <row r="4103" spans="5:13" hidden="1" x14ac:dyDescent="0.35">
      <c r="E4103" s="81"/>
      <c r="I4103" s="83" t="e">
        <f>VLOOKUP(E4103,[1]Mapping!$A$3:$B$14,2,FALSE)</f>
        <v>#N/A</v>
      </c>
      <c r="J4103" s="84">
        <f t="shared" si="130"/>
        <v>0</v>
      </c>
      <c r="K4103" s="84">
        <f t="shared" si="131"/>
        <v>0</v>
      </c>
      <c r="L4103" s="61" t="e">
        <f>VLOOKUP(K4103,[1]Mapping!$J$3:$Q$351,8,FALSE)</f>
        <v>#N/A</v>
      </c>
      <c r="M4103" t="s">
        <v>83</v>
      </c>
    </row>
    <row r="4104" spans="5:13" hidden="1" x14ac:dyDescent="0.35">
      <c r="E4104" s="81"/>
      <c r="I4104" s="83" t="e">
        <f>VLOOKUP(E4104,[1]Mapping!$A$3:$B$14,2,FALSE)</f>
        <v>#N/A</v>
      </c>
      <c r="J4104" s="84">
        <f t="shared" si="130"/>
        <v>0</v>
      </c>
      <c r="K4104" s="84">
        <f t="shared" si="131"/>
        <v>0</v>
      </c>
      <c r="L4104" s="61" t="e">
        <f>VLOOKUP(K4104,[1]Mapping!$J$3:$Q$351,8,FALSE)</f>
        <v>#N/A</v>
      </c>
      <c r="M4104" t="s">
        <v>83</v>
      </c>
    </row>
    <row r="4105" spans="5:13" hidden="1" x14ac:dyDescent="0.35">
      <c r="E4105" s="81"/>
      <c r="I4105" s="83" t="e">
        <f>VLOOKUP(E4105,[1]Mapping!$A$3:$B$14,2,FALSE)</f>
        <v>#N/A</v>
      </c>
      <c r="J4105" s="84">
        <f t="shared" si="130"/>
        <v>0</v>
      </c>
      <c r="K4105" s="84">
        <f t="shared" si="131"/>
        <v>0</v>
      </c>
      <c r="L4105" s="61" t="e">
        <f>VLOOKUP(K4105,[1]Mapping!$J$3:$Q$351,8,FALSE)</f>
        <v>#N/A</v>
      </c>
      <c r="M4105" t="s">
        <v>83</v>
      </c>
    </row>
    <row r="4106" spans="5:13" hidden="1" x14ac:dyDescent="0.35">
      <c r="E4106" s="81"/>
      <c r="I4106" s="83" t="e">
        <f>VLOOKUP(E4106,[1]Mapping!$A$3:$B$14,2,FALSE)</f>
        <v>#N/A</v>
      </c>
      <c r="J4106" s="84">
        <f t="shared" si="130"/>
        <v>0</v>
      </c>
      <c r="K4106" s="84">
        <f t="shared" si="131"/>
        <v>0</v>
      </c>
      <c r="L4106" s="61" t="e">
        <f>VLOOKUP(K4106,[1]Mapping!$J$3:$Q$351,8,FALSE)</f>
        <v>#N/A</v>
      </c>
      <c r="M4106" t="s">
        <v>83</v>
      </c>
    </row>
    <row r="4107" spans="5:13" hidden="1" x14ac:dyDescent="0.35">
      <c r="E4107" s="81"/>
      <c r="I4107" s="83" t="e">
        <f>VLOOKUP(E4107,[1]Mapping!$A$3:$B$14,2,FALSE)</f>
        <v>#N/A</v>
      </c>
      <c r="J4107" s="84">
        <f t="shared" si="130"/>
        <v>0</v>
      </c>
      <c r="K4107" s="84">
        <f t="shared" si="131"/>
        <v>0</v>
      </c>
      <c r="L4107" s="61" t="e">
        <f>VLOOKUP(K4107,[1]Mapping!$J$3:$Q$351,8,FALSE)</f>
        <v>#N/A</v>
      </c>
      <c r="M4107" t="s">
        <v>83</v>
      </c>
    </row>
    <row r="4108" spans="5:13" hidden="1" x14ac:dyDescent="0.35">
      <c r="E4108" s="81"/>
      <c r="I4108" s="83" t="e">
        <f>VLOOKUP(E4108,[1]Mapping!$A$3:$B$14,2,FALSE)</f>
        <v>#N/A</v>
      </c>
      <c r="J4108" s="84">
        <f t="shared" si="130"/>
        <v>0</v>
      </c>
      <c r="K4108" s="84">
        <f t="shared" si="131"/>
        <v>0</v>
      </c>
      <c r="L4108" s="61" t="e">
        <f>VLOOKUP(K4108,[1]Mapping!$J$3:$Q$351,8,FALSE)</f>
        <v>#N/A</v>
      </c>
      <c r="M4108" t="s">
        <v>83</v>
      </c>
    </row>
    <row r="4109" spans="5:13" hidden="1" x14ac:dyDescent="0.35">
      <c r="E4109" s="81"/>
      <c r="I4109" s="83" t="e">
        <f>VLOOKUP(E4109,[1]Mapping!$A$3:$B$14,2,FALSE)</f>
        <v>#N/A</v>
      </c>
      <c r="J4109" s="84">
        <f t="shared" si="130"/>
        <v>0</v>
      </c>
      <c r="K4109" s="84">
        <f t="shared" si="131"/>
        <v>0</v>
      </c>
      <c r="L4109" s="61" t="e">
        <f>VLOOKUP(K4109,[1]Mapping!$J$3:$Q$351,8,FALSE)</f>
        <v>#N/A</v>
      </c>
      <c r="M4109" t="s">
        <v>83</v>
      </c>
    </row>
    <row r="4110" spans="5:13" hidden="1" x14ac:dyDescent="0.35">
      <c r="E4110" s="81"/>
      <c r="I4110" s="83" t="e">
        <f>VLOOKUP(E4110,[1]Mapping!$A$3:$B$14,2,FALSE)</f>
        <v>#N/A</v>
      </c>
      <c r="J4110" s="84">
        <f t="shared" si="130"/>
        <v>0</v>
      </c>
      <c r="K4110" s="84">
        <f t="shared" si="131"/>
        <v>0</v>
      </c>
      <c r="L4110" s="61" t="e">
        <f>VLOOKUP(K4110,[1]Mapping!$J$3:$Q$351,8,FALSE)</f>
        <v>#N/A</v>
      </c>
      <c r="M4110" t="s">
        <v>83</v>
      </c>
    </row>
    <row r="4111" spans="5:13" hidden="1" x14ac:dyDescent="0.35">
      <c r="E4111" s="81"/>
      <c r="I4111" s="83" t="e">
        <f>VLOOKUP(E4111,[1]Mapping!$A$3:$B$14,2,FALSE)</f>
        <v>#N/A</v>
      </c>
      <c r="J4111" s="84">
        <f t="shared" si="130"/>
        <v>0</v>
      </c>
      <c r="K4111" s="84">
        <f t="shared" si="131"/>
        <v>0</v>
      </c>
      <c r="L4111" s="61" t="e">
        <f>VLOOKUP(K4111,[1]Mapping!$J$3:$Q$351,8,FALSE)</f>
        <v>#N/A</v>
      </c>
      <c r="M4111" t="s">
        <v>83</v>
      </c>
    </row>
    <row r="4112" spans="5:13" hidden="1" x14ac:dyDescent="0.35">
      <c r="E4112" s="81"/>
      <c r="I4112" s="83" t="e">
        <f>VLOOKUP(E4112,[1]Mapping!$A$3:$B$14,2,FALSE)</f>
        <v>#N/A</v>
      </c>
      <c r="J4112" s="84">
        <f t="shared" si="130"/>
        <v>0</v>
      </c>
      <c r="K4112" s="84">
        <f t="shared" si="131"/>
        <v>0</v>
      </c>
      <c r="L4112" s="61" t="e">
        <f>VLOOKUP(K4112,[1]Mapping!$J$3:$Q$351,8,FALSE)</f>
        <v>#N/A</v>
      </c>
      <c r="M4112" t="s">
        <v>83</v>
      </c>
    </row>
    <row r="4113" spans="5:13" hidden="1" x14ac:dyDescent="0.35">
      <c r="E4113" s="81"/>
      <c r="I4113" s="83" t="e">
        <f>VLOOKUP(E4113,[1]Mapping!$A$3:$B$14,2,FALSE)</f>
        <v>#N/A</v>
      </c>
      <c r="J4113" s="84">
        <f t="shared" si="130"/>
        <v>0</v>
      </c>
      <c r="K4113" s="84">
        <f t="shared" si="131"/>
        <v>0</v>
      </c>
      <c r="L4113" s="61" t="e">
        <f>VLOOKUP(K4113,[1]Mapping!$J$3:$Q$351,8,FALSE)</f>
        <v>#N/A</v>
      </c>
      <c r="M4113" t="s">
        <v>83</v>
      </c>
    </row>
    <row r="4114" spans="5:13" hidden="1" x14ac:dyDescent="0.35">
      <c r="E4114" s="81"/>
      <c r="I4114" s="83" t="e">
        <f>VLOOKUP(E4114,[1]Mapping!$A$3:$B$14,2,FALSE)</f>
        <v>#N/A</v>
      </c>
      <c r="J4114" s="84">
        <f t="shared" si="130"/>
        <v>0</v>
      </c>
      <c r="K4114" s="84">
        <f t="shared" si="131"/>
        <v>0</v>
      </c>
      <c r="L4114" s="61" t="e">
        <f>VLOOKUP(K4114,[1]Mapping!$J$3:$Q$351,8,FALSE)</f>
        <v>#N/A</v>
      </c>
      <c r="M4114" t="s">
        <v>83</v>
      </c>
    </row>
    <row r="4115" spans="5:13" hidden="1" x14ac:dyDescent="0.35">
      <c r="E4115" s="81"/>
      <c r="I4115" s="83" t="e">
        <f>VLOOKUP(E4115,[1]Mapping!$A$3:$B$14,2,FALSE)</f>
        <v>#N/A</v>
      </c>
      <c r="J4115" s="84">
        <f t="shared" si="130"/>
        <v>0</v>
      </c>
      <c r="K4115" s="84">
        <f t="shared" si="131"/>
        <v>0</v>
      </c>
      <c r="L4115" s="61" t="e">
        <f>VLOOKUP(K4115,[1]Mapping!$J$3:$Q$351,8,FALSE)</f>
        <v>#N/A</v>
      </c>
      <c r="M4115" t="s">
        <v>83</v>
      </c>
    </row>
    <row r="4116" spans="5:13" hidden="1" x14ac:dyDescent="0.35">
      <c r="E4116" s="81"/>
      <c r="I4116" s="83" t="e">
        <f>VLOOKUP(E4116,[1]Mapping!$A$3:$B$14,2,FALSE)</f>
        <v>#N/A</v>
      </c>
      <c r="J4116" s="84">
        <f t="shared" si="130"/>
        <v>0</v>
      </c>
      <c r="K4116" s="84">
        <f t="shared" si="131"/>
        <v>0</v>
      </c>
      <c r="L4116" s="61" t="e">
        <f>VLOOKUP(K4116,[1]Mapping!$J$3:$Q$351,8,FALSE)</f>
        <v>#N/A</v>
      </c>
      <c r="M4116" t="s">
        <v>83</v>
      </c>
    </row>
    <row r="4117" spans="5:13" hidden="1" x14ac:dyDescent="0.35">
      <c r="E4117" s="81"/>
      <c r="I4117" s="83" t="e">
        <f>VLOOKUP(E4117,[1]Mapping!$A$3:$B$14,2,FALSE)</f>
        <v>#N/A</v>
      </c>
      <c r="J4117" s="84">
        <f t="shared" si="130"/>
        <v>0</v>
      </c>
      <c r="K4117" s="84">
        <f t="shared" si="131"/>
        <v>0</v>
      </c>
      <c r="L4117" s="61" t="e">
        <f>VLOOKUP(K4117,[1]Mapping!$J$3:$Q$351,8,FALSE)</f>
        <v>#N/A</v>
      </c>
      <c r="M4117" t="s">
        <v>83</v>
      </c>
    </row>
    <row r="4118" spans="5:13" hidden="1" x14ac:dyDescent="0.35">
      <c r="E4118" s="81"/>
      <c r="I4118" s="83" t="e">
        <f>VLOOKUP(E4118,[1]Mapping!$A$3:$B$14,2,FALSE)</f>
        <v>#N/A</v>
      </c>
      <c r="J4118" s="84">
        <f t="shared" si="130"/>
        <v>0</v>
      </c>
      <c r="K4118" s="84">
        <f t="shared" si="131"/>
        <v>0</v>
      </c>
      <c r="L4118" s="61" t="e">
        <f>VLOOKUP(K4118,[1]Mapping!$J$3:$Q$351,8,FALSE)</f>
        <v>#N/A</v>
      </c>
      <c r="M4118" t="s">
        <v>83</v>
      </c>
    </row>
    <row r="4119" spans="5:13" hidden="1" x14ac:dyDescent="0.35">
      <c r="E4119" s="81"/>
      <c r="I4119" s="83" t="e">
        <f>VLOOKUP(E4119,[1]Mapping!$A$3:$B$14,2,FALSE)</f>
        <v>#N/A</v>
      </c>
      <c r="J4119" s="84">
        <f t="shared" si="130"/>
        <v>0</v>
      </c>
      <c r="K4119" s="84">
        <f t="shared" si="131"/>
        <v>0</v>
      </c>
      <c r="L4119" s="61" t="e">
        <f>VLOOKUP(K4119,[1]Mapping!$J$3:$Q$351,8,FALSE)</f>
        <v>#N/A</v>
      </c>
      <c r="M4119" t="s">
        <v>83</v>
      </c>
    </row>
    <row r="4120" spans="5:13" hidden="1" x14ac:dyDescent="0.35">
      <c r="E4120" s="81"/>
      <c r="I4120" s="83" t="e">
        <f>VLOOKUP(E4120,[1]Mapping!$A$3:$B$14,2,FALSE)</f>
        <v>#N/A</v>
      </c>
      <c r="J4120" s="84">
        <f t="shared" si="130"/>
        <v>0</v>
      </c>
      <c r="K4120" s="84">
        <f t="shared" si="131"/>
        <v>0</v>
      </c>
      <c r="L4120" s="61" t="e">
        <f>VLOOKUP(K4120,[1]Mapping!$J$3:$Q$351,8,FALSE)</f>
        <v>#N/A</v>
      </c>
      <c r="M4120" t="s">
        <v>83</v>
      </c>
    </row>
    <row r="4121" spans="5:13" hidden="1" x14ac:dyDescent="0.35">
      <c r="E4121" s="81"/>
      <c r="I4121" s="83" t="e">
        <f>VLOOKUP(E4121,[1]Mapping!$A$3:$B$14,2,FALSE)</f>
        <v>#N/A</v>
      </c>
      <c r="J4121" s="84">
        <f t="shared" si="130"/>
        <v>0</v>
      </c>
      <c r="K4121" s="84">
        <f t="shared" si="131"/>
        <v>0</v>
      </c>
      <c r="L4121" s="61" t="e">
        <f>VLOOKUP(K4121,[1]Mapping!$J$3:$Q$351,8,FALSE)</f>
        <v>#N/A</v>
      </c>
      <c r="M4121" t="s">
        <v>83</v>
      </c>
    </row>
    <row r="4122" spans="5:13" hidden="1" x14ac:dyDescent="0.35">
      <c r="E4122" s="81"/>
      <c r="I4122" s="83" t="e">
        <f>VLOOKUP(E4122,[1]Mapping!$A$3:$B$14,2,FALSE)</f>
        <v>#N/A</v>
      </c>
      <c r="J4122" s="84">
        <f t="shared" si="130"/>
        <v>0</v>
      </c>
      <c r="K4122" s="84">
        <f t="shared" si="131"/>
        <v>0</v>
      </c>
      <c r="L4122" s="61" t="e">
        <f>VLOOKUP(K4122,[1]Mapping!$J$3:$Q$351,8,FALSE)</f>
        <v>#N/A</v>
      </c>
      <c r="M4122" t="s">
        <v>83</v>
      </c>
    </row>
    <row r="4123" spans="5:13" hidden="1" x14ac:dyDescent="0.35">
      <c r="E4123" s="81"/>
      <c r="I4123" s="83" t="e">
        <f>VLOOKUP(E4123,[1]Mapping!$A$3:$B$14,2,FALSE)</f>
        <v>#N/A</v>
      </c>
      <c r="J4123" s="84">
        <f t="shared" si="130"/>
        <v>0</v>
      </c>
      <c r="K4123" s="84">
        <f t="shared" si="131"/>
        <v>0</v>
      </c>
      <c r="L4123" s="61" t="e">
        <f>VLOOKUP(K4123,[1]Mapping!$J$3:$Q$351,8,FALSE)</f>
        <v>#N/A</v>
      </c>
      <c r="M4123" t="s">
        <v>83</v>
      </c>
    </row>
    <row r="4124" spans="5:13" hidden="1" x14ac:dyDescent="0.35">
      <c r="E4124" s="81"/>
      <c r="I4124" s="83" t="e">
        <f>VLOOKUP(E4124,[1]Mapping!$A$3:$B$14,2,FALSE)</f>
        <v>#N/A</v>
      </c>
      <c r="J4124" s="84">
        <f t="shared" si="130"/>
        <v>0</v>
      </c>
      <c r="K4124" s="84">
        <f t="shared" si="131"/>
        <v>0</v>
      </c>
      <c r="L4124" s="61" t="e">
        <f>VLOOKUP(K4124,[1]Mapping!$J$3:$Q$351,8,FALSE)</f>
        <v>#N/A</v>
      </c>
      <c r="M4124" t="s">
        <v>83</v>
      </c>
    </row>
    <row r="4125" spans="5:13" hidden="1" x14ac:dyDescent="0.35">
      <c r="E4125" s="81"/>
      <c r="I4125" s="83" t="e">
        <f>VLOOKUP(E4125,[1]Mapping!$A$3:$B$14,2,FALSE)</f>
        <v>#N/A</v>
      </c>
      <c r="J4125" s="84">
        <f t="shared" si="130"/>
        <v>0</v>
      </c>
      <c r="K4125" s="84">
        <f t="shared" si="131"/>
        <v>0</v>
      </c>
      <c r="L4125" s="61" t="e">
        <f>VLOOKUP(K4125,[1]Mapping!$J$3:$Q$351,8,FALSE)</f>
        <v>#N/A</v>
      </c>
      <c r="M4125" t="s">
        <v>83</v>
      </c>
    </row>
    <row r="4126" spans="5:13" hidden="1" x14ac:dyDescent="0.35">
      <c r="E4126" s="81"/>
      <c r="I4126" s="83" t="e">
        <f>VLOOKUP(E4126,[1]Mapping!$A$3:$B$14,2,FALSE)</f>
        <v>#N/A</v>
      </c>
      <c r="J4126" s="84">
        <f t="shared" si="130"/>
        <v>0</v>
      </c>
      <c r="K4126" s="84">
        <f t="shared" si="131"/>
        <v>0</v>
      </c>
      <c r="L4126" s="61" t="e">
        <f>VLOOKUP(K4126,[1]Mapping!$J$3:$Q$351,8,FALSE)</f>
        <v>#N/A</v>
      </c>
      <c r="M4126" t="s">
        <v>83</v>
      </c>
    </row>
    <row r="4127" spans="5:13" hidden="1" x14ac:dyDescent="0.35">
      <c r="E4127" s="81"/>
      <c r="I4127" s="83" t="e">
        <f>VLOOKUP(E4127,[1]Mapping!$A$3:$B$14,2,FALSE)</f>
        <v>#N/A</v>
      </c>
      <c r="J4127" s="84">
        <f t="shared" si="130"/>
        <v>0</v>
      </c>
      <c r="K4127" s="84">
        <f t="shared" si="131"/>
        <v>0</v>
      </c>
      <c r="L4127" s="61" t="e">
        <f>VLOOKUP(K4127,[1]Mapping!$J$3:$Q$351,8,FALSE)</f>
        <v>#N/A</v>
      </c>
      <c r="M4127" t="s">
        <v>83</v>
      </c>
    </row>
    <row r="4128" spans="5:13" hidden="1" x14ac:dyDescent="0.35">
      <c r="E4128" s="81"/>
      <c r="I4128" s="83" t="e">
        <f>VLOOKUP(E4128,[1]Mapping!$A$3:$B$14,2,FALSE)</f>
        <v>#N/A</v>
      </c>
      <c r="J4128" s="84">
        <f t="shared" si="130"/>
        <v>0</v>
      </c>
      <c r="K4128" s="84">
        <f t="shared" si="131"/>
        <v>0</v>
      </c>
      <c r="L4128" s="61" t="e">
        <f>VLOOKUP(K4128,[1]Mapping!$J$3:$Q$351,8,FALSE)</f>
        <v>#N/A</v>
      </c>
      <c r="M4128" t="s">
        <v>83</v>
      </c>
    </row>
    <row r="4129" spans="5:13" hidden="1" x14ac:dyDescent="0.35">
      <c r="E4129" s="81"/>
      <c r="I4129" s="83" t="e">
        <f>VLOOKUP(E4129,[1]Mapping!$A$3:$B$14,2,FALSE)</f>
        <v>#N/A</v>
      </c>
      <c r="J4129" s="84">
        <f t="shared" si="130"/>
        <v>0</v>
      </c>
      <c r="K4129" s="84">
        <f t="shared" si="131"/>
        <v>0</v>
      </c>
      <c r="L4129" s="61" t="e">
        <f>VLOOKUP(K4129,[1]Mapping!$J$3:$Q$351,8,FALSE)</f>
        <v>#N/A</v>
      </c>
      <c r="M4129" t="s">
        <v>83</v>
      </c>
    </row>
    <row r="4130" spans="5:13" hidden="1" x14ac:dyDescent="0.35">
      <c r="E4130" s="81"/>
      <c r="I4130" s="83" t="e">
        <f>VLOOKUP(E4130,[1]Mapping!$A$3:$B$14,2,FALSE)</f>
        <v>#N/A</v>
      </c>
      <c r="J4130" s="84">
        <f t="shared" si="130"/>
        <v>0</v>
      </c>
      <c r="K4130" s="84">
        <f t="shared" si="131"/>
        <v>0</v>
      </c>
      <c r="L4130" s="61" t="e">
        <f>VLOOKUP(K4130,[1]Mapping!$J$3:$Q$351,8,FALSE)</f>
        <v>#N/A</v>
      </c>
      <c r="M4130" t="s">
        <v>83</v>
      </c>
    </row>
    <row r="4131" spans="5:13" hidden="1" x14ac:dyDescent="0.35">
      <c r="E4131" s="81"/>
      <c r="I4131" s="83" t="e">
        <f>VLOOKUP(E4131,[1]Mapping!$A$3:$B$14,2,FALSE)</f>
        <v>#N/A</v>
      </c>
      <c r="J4131" s="84">
        <f t="shared" si="130"/>
        <v>0</v>
      </c>
      <c r="K4131" s="84">
        <f t="shared" si="131"/>
        <v>0</v>
      </c>
      <c r="L4131" s="61" t="e">
        <f>VLOOKUP(K4131,[1]Mapping!$J$3:$Q$351,8,FALSE)</f>
        <v>#N/A</v>
      </c>
      <c r="M4131" t="s">
        <v>83</v>
      </c>
    </row>
    <row r="4132" spans="5:13" hidden="1" x14ac:dyDescent="0.35">
      <c r="E4132" s="81"/>
      <c r="I4132" s="83" t="e">
        <f>VLOOKUP(E4132,[1]Mapping!$A$3:$B$14,2,FALSE)</f>
        <v>#N/A</v>
      </c>
      <c r="J4132" s="84">
        <f t="shared" si="130"/>
        <v>0</v>
      </c>
      <c r="K4132" s="84">
        <f t="shared" si="131"/>
        <v>0</v>
      </c>
      <c r="L4132" s="61" t="e">
        <f>VLOOKUP(K4132,[1]Mapping!$J$3:$Q$351,8,FALSE)</f>
        <v>#N/A</v>
      </c>
      <c r="M4132" t="s">
        <v>83</v>
      </c>
    </row>
    <row r="4133" spans="5:13" hidden="1" x14ac:dyDescent="0.35">
      <c r="E4133" s="81"/>
      <c r="I4133" s="83" t="e">
        <f>VLOOKUP(E4133,[1]Mapping!$A$3:$B$14,2,FALSE)</f>
        <v>#N/A</v>
      </c>
      <c r="J4133" s="84">
        <f t="shared" si="130"/>
        <v>0</v>
      </c>
      <c r="K4133" s="84">
        <f t="shared" si="131"/>
        <v>0</v>
      </c>
      <c r="L4133" s="61" t="e">
        <f>VLOOKUP(K4133,[1]Mapping!$J$3:$Q$351,8,FALSE)</f>
        <v>#N/A</v>
      </c>
      <c r="M4133" t="s">
        <v>83</v>
      </c>
    </row>
    <row r="4134" spans="5:13" hidden="1" x14ac:dyDescent="0.35">
      <c r="E4134" s="81"/>
      <c r="I4134" s="83" t="e">
        <f>VLOOKUP(E4134,[1]Mapping!$A$3:$B$14,2,FALSE)</f>
        <v>#N/A</v>
      </c>
      <c r="J4134" s="84">
        <f t="shared" si="130"/>
        <v>0</v>
      </c>
      <c r="K4134" s="84">
        <f t="shared" si="131"/>
        <v>0</v>
      </c>
      <c r="L4134" s="61" t="e">
        <f>VLOOKUP(K4134,[1]Mapping!$J$3:$Q$351,8,FALSE)</f>
        <v>#N/A</v>
      </c>
      <c r="M4134" t="s">
        <v>83</v>
      </c>
    </row>
    <row r="4135" spans="5:13" hidden="1" x14ac:dyDescent="0.35">
      <c r="E4135" s="81"/>
      <c r="I4135" s="83" t="e">
        <f>VLOOKUP(E4135,[1]Mapping!$A$3:$B$14,2,FALSE)</f>
        <v>#N/A</v>
      </c>
      <c r="J4135" s="84">
        <f t="shared" si="130"/>
        <v>0</v>
      </c>
      <c r="K4135" s="84">
        <f t="shared" si="131"/>
        <v>0</v>
      </c>
      <c r="L4135" s="61" t="e">
        <f>VLOOKUP(K4135,[1]Mapping!$J$3:$Q$351,8,FALSE)</f>
        <v>#N/A</v>
      </c>
      <c r="M4135" t="s">
        <v>83</v>
      </c>
    </row>
    <row r="4136" spans="5:13" hidden="1" x14ac:dyDescent="0.35">
      <c r="E4136" s="81"/>
      <c r="I4136" s="83" t="e">
        <f>VLOOKUP(E4136,[1]Mapping!$A$3:$B$14,2,FALSE)</f>
        <v>#N/A</v>
      </c>
      <c r="J4136" s="84">
        <f t="shared" si="130"/>
        <v>0</v>
      </c>
      <c r="K4136" s="84">
        <f t="shared" si="131"/>
        <v>0</v>
      </c>
      <c r="L4136" s="61" t="e">
        <f>VLOOKUP(K4136,[1]Mapping!$J$3:$Q$351,8,FALSE)</f>
        <v>#N/A</v>
      </c>
      <c r="M4136" t="s">
        <v>83</v>
      </c>
    </row>
    <row r="4137" spans="5:13" hidden="1" x14ac:dyDescent="0.35">
      <c r="E4137" s="81"/>
      <c r="I4137" s="83" t="e">
        <f>VLOOKUP(E4137,[1]Mapping!$A$3:$B$14,2,FALSE)</f>
        <v>#N/A</v>
      </c>
      <c r="J4137" s="84">
        <f t="shared" si="130"/>
        <v>0</v>
      </c>
      <c r="K4137" s="84">
        <f t="shared" si="131"/>
        <v>0</v>
      </c>
      <c r="L4137" s="61" t="e">
        <f>VLOOKUP(K4137,[1]Mapping!$J$3:$Q$351,8,FALSE)</f>
        <v>#N/A</v>
      </c>
      <c r="M4137" t="s">
        <v>83</v>
      </c>
    </row>
    <row r="4138" spans="5:13" hidden="1" x14ac:dyDescent="0.35">
      <c r="E4138" s="81"/>
      <c r="I4138" s="83" t="e">
        <f>VLOOKUP(E4138,[1]Mapping!$A$3:$B$14,2,FALSE)</f>
        <v>#N/A</v>
      </c>
      <c r="J4138" s="84">
        <f t="shared" si="130"/>
        <v>0</v>
      </c>
      <c r="K4138" s="84">
        <f t="shared" si="131"/>
        <v>0</v>
      </c>
      <c r="L4138" s="61" t="e">
        <f>VLOOKUP(K4138,[1]Mapping!$J$3:$Q$351,8,FALSE)</f>
        <v>#N/A</v>
      </c>
      <c r="M4138" t="s">
        <v>83</v>
      </c>
    </row>
    <row r="4139" spans="5:13" hidden="1" x14ac:dyDescent="0.35">
      <c r="E4139" s="81"/>
      <c r="I4139" s="83" t="e">
        <f>VLOOKUP(E4139,[1]Mapping!$A$3:$B$14,2,FALSE)</f>
        <v>#N/A</v>
      </c>
      <c r="J4139" s="84">
        <f t="shared" si="130"/>
        <v>0</v>
      </c>
      <c r="K4139" s="84">
        <f t="shared" si="131"/>
        <v>0</v>
      </c>
      <c r="L4139" s="61" t="e">
        <f>VLOOKUP(K4139,[1]Mapping!$J$3:$Q$351,8,FALSE)</f>
        <v>#N/A</v>
      </c>
      <c r="M4139" t="s">
        <v>83</v>
      </c>
    </row>
    <row r="4140" spans="5:13" hidden="1" x14ac:dyDescent="0.35">
      <c r="E4140" s="81"/>
      <c r="I4140" s="83" t="e">
        <f>VLOOKUP(E4140,[1]Mapping!$A$3:$B$14,2,FALSE)</f>
        <v>#N/A</v>
      </c>
      <c r="J4140" s="84">
        <f t="shared" si="130"/>
        <v>0</v>
      </c>
      <c r="K4140" s="84">
        <f t="shared" si="131"/>
        <v>0</v>
      </c>
      <c r="L4140" s="61" t="e">
        <f>VLOOKUP(K4140,[1]Mapping!$J$3:$Q$351,8,FALSE)</f>
        <v>#N/A</v>
      </c>
      <c r="M4140" t="s">
        <v>83</v>
      </c>
    </row>
    <row r="4141" spans="5:13" hidden="1" x14ac:dyDescent="0.35">
      <c r="E4141" s="81"/>
      <c r="I4141" s="83" t="e">
        <f>VLOOKUP(E4141,[1]Mapping!$A$3:$B$14,2,FALSE)</f>
        <v>#N/A</v>
      </c>
      <c r="J4141" s="84">
        <f t="shared" si="130"/>
        <v>0</v>
      </c>
      <c r="K4141" s="84">
        <f t="shared" si="131"/>
        <v>0</v>
      </c>
      <c r="L4141" s="61" t="e">
        <f>VLOOKUP(K4141,[1]Mapping!$J$3:$Q$351,8,FALSE)</f>
        <v>#N/A</v>
      </c>
      <c r="M4141" t="s">
        <v>83</v>
      </c>
    </row>
    <row r="4142" spans="5:13" hidden="1" x14ac:dyDescent="0.35">
      <c r="E4142" s="81"/>
      <c r="I4142" s="83" t="e">
        <f>VLOOKUP(E4142,[1]Mapping!$A$3:$B$14,2,FALSE)</f>
        <v>#N/A</v>
      </c>
      <c r="J4142" s="84">
        <f t="shared" si="130"/>
        <v>0</v>
      </c>
      <c r="K4142" s="84">
        <f t="shared" si="131"/>
        <v>0</v>
      </c>
      <c r="L4142" s="61" t="e">
        <f>VLOOKUP(K4142,[1]Mapping!$J$3:$Q$351,8,FALSE)</f>
        <v>#N/A</v>
      </c>
      <c r="M4142" t="s">
        <v>83</v>
      </c>
    </row>
    <row r="4143" spans="5:13" hidden="1" x14ac:dyDescent="0.35">
      <c r="E4143" s="81"/>
      <c r="I4143" s="83" t="e">
        <f>VLOOKUP(E4143,[1]Mapping!$A$3:$B$14,2,FALSE)</f>
        <v>#N/A</v>
      </c>
      <c r="J4143" s="84">
        <f t="shared" si="130"/>
        <v>0</v>
      </c>
      <c r="K4143" s="84">
        <f t="shared" si="131"/>
        <v>0</v>
      </c>
      <c r="L4143" s="61" t="e">
        <f>VLOOKUP(K4143,[1]Mapping!$J$3:$Q$351,8,FALSE)</f>
        <v>#N/A</v>
      </c>
      <c r="M4143" t="s">
        <v>83</v>
      </c>
    </row>
    <row r="4144" spans="5:13" hidden="1" x14ac:dyDescent="0.35">
      <c r="E4144" s="81"/>
      <c r="I4144" s="83" t="e">
        <f>VLOOKUP(E4144,[1]Mapping!$A$3:$B$14,2,FALSE)</f>
        <v>#N/A</v>
      </c>
      <c r="J4144" s="84">
        <f t="shared" si="130"/>
        <v>0</v>
      </c>
      <c r="K4144" s="84">
        <f t="shared" si="131"/>
        <v>0</v>
      </c>
      <c r="L4144" s="61" t="e">
        <f>VLOOKUP(K4144,[1]Mapping!$J$3:$Q$351,8,FALSE)</f>
        <v>#N/A</v>
      </c>
      <c r="M4144" t="s">
        <v>83</v>
      </c>
    </row>
    <row r="4145" spans="5:13" hidden="1" x14ac:dyDescent="0.35">
      <c r="E4145" s="81"/>
      <c r="I4145" s="83" t="e">
        <f>VLOOKUP(E4145,[1]Mapping!$A$3:$B$14,2,FALSE)</f>
        <v>#N/A</v>
      </c>
      <c r="J4145" s="84">
        <f t="shared" si="130"/>
        <v>0</v>
      </c>
      <c r="K4145" s="84">
        <f t="shared" si="131"/>
        <v>0</v>
      </c>
      <c r="L4145" s="61" t="e">
        <f>VLOOKUP(K4145,[1]Mapping!$J$3:$Q$351,8,FALSE)</f>
        <v>#N/A</v>
      </c>
      <c r="M4145" t="s">
        <v>83</v>
      </c>
    </row>
    <row r="4146" spans="5:13" hidden="1" x14ac:dyDescent="0.35">
      <c r="E4146" s="81"/>
      <c r="I4146" s="83" t="e">
        <f>VLOOKUP(E4146,[1]Mapping!$A$3:$B$14,2,FALSE)</f>
        <v>#N/A</v>
      </c>
      <c r="J4146" s="84">
        <f t="shared" si="130"/>
        <v>0</v>
      </c>
      <c r="K4146" s="84">
        <f t="shared" si="131"/>
        <v>0</v>
      </c>
      <c r="L4146" s="61" t="e">
        <f>VLOOKUP(K4146,[1]Mapping!$J$3:$Q$351,8,FALSE)</f>
        <v>#N/A</v>
      </c>
      <c r="M4146" t="s">
        <v>83</v>
      </c>
    </row>
    <row r="4147" spans="5:13" hidden="1" x14ac:dyDescent="0.35">
      <c r="E4147" s="81"/>
      <c r="I4147" s="83" t="e">
        <f>VLOOKUP(E4147,[1]Mapping!$A$3:$B$14,2,FALSE)</f>
        <v>#N/A</v>
      </c>
      <c r="J4147" s="84">
        <f t="shared" si="130"/>
        <v>0</v>
      </c>
      <c r="K4147" s="84">
        <f t="shared" si="131"/>
        <v>0</v>
      </c>
      <c r="L4147" s="61" t="e">
        <f>VLOOKUP(K4147,[1]Mapping!$J$3:$Q$351,8,FALSE)</f>
        <v>#N/A</v>
      </c>
      <c r="M4147" t="s">
        <v>83</v>
      </c>
    </row>
    <row r="4148" spans="5:13" hidden="1" x14ac:dyDescent="0.35">
      <c r="E4148" s="81"/>
      <c r="I4148" s="83" t="e">
        <f>VLOOKUP(E4148,[1]Mapping!$A$3:$B$14,2,FALSE)</f>
        <v>#N/A</v>
      </c>
      <c r="J4148" s="84">
        <f t="shared" si="130"/>
        <v>0</v>
      </c>
      <c r="K4148" s="84">
        <f t="shared" si="131"/>
        <v>0</v>
      </c>
      <c r="L4148" s="61" t="e">
        <f>VLOOKUP(K4148,[1]Mapping!$J$3:$Q$351,8,FALSE)</f>
        <v>#N/A</v>
      </c>
      <c r="M4148" t="s">
        <v>83</v>
      </c>
    </row>
    <row r="4149" spans="5:13" hidden="1" x14ac:dyDescent="0.35">
      <c r="E4149" s="81"/>
      <c r="I4149" s="83" t="e">
        <f>VLOOKUP(E4149,[1]Mapping!$A$3:$B$14,2,FALSE)</f>
        <v>#N/A</v>
      </c>
      <c r="J4149" s="84">
        <f t="shared" si="130"/>
        <v>0</v>
      </c>
      <c r="K4149" s="84">
        <f t="shared" si="131"/>
        <v>0</v>
      </c>
      <c r="L4149" s="61" t="e">
        <f>VLOOKUP(K4149,[1]Mapping!$J$3:$Q$351,8,FALSE)</f>
        <v>#N/A</v>
      </c>
      <c r="M4149" t="s">
        <v>83</v>
      </c>
    </row>
    <row r="4150" spans="5:13" hidden="1" x14ac:dyDescent="0.35">
      <c r="E4150" s="81"/>
      <c r="I4150" s="83" t="e">
        <f>VLOOKUP(E4150,[1]Mapping!$A$3:$B$14,2,FALSE)</f>
        <v>#N/A</v>
      </c>
      <c r="J4150" s="84">
        <f t="shared" si="130"/>
        <v>0</v>
      </c>
      <c r="K4150" s="84">
        <f t="shared" si="131"/>
        <v>0</v>
      </c>
      <c r="L4150" s="61" t="e">
        <f>VLOOKUP(K4150,[1]Mapping!$J$3:$Q$351,8,FALSE)</f>
        <v>#N/A</v>
      </c>
      <c r="M4150" t="s">
        <v>83</v>
      </c>
    </row>
    <row r="4151" spans="5:13" hidden="1" x14ac:dyDescent="0.35">
      <c r="E4151" s="81"/>
      <c r="I4151" s="83" t="e">
        <f>VLOOKUP(E4151,[1]Mapping!$A$3:$B$14,2,FALSE)</f>
        <v>#N/A</v>
      </c>
      <c r="J4151" s="84">
        <f t="shared" si="130"/>
        <v>0</v>
      </c>
      <c r="K4151" s="84">
        <f t="shared" si="131"/>
        <v>0</v>
      </c>
      <c r="L4151" s="61" t="e">
        <f>VLOOKUP(K4151,[1]Mapping!$J$3:$Q$351,8,FALSE)</f>
        <v>#N/A</v>
      </c>
      <c r="M4151" t="s">
        <v>83</v>
      </c>
    </row>
    <row r="4152" spans="5:13" hidden="1" x14ac:dyDescent="0.35">
      <c r="E4152" s="81"/>
      <c r="I4152" s="83" t="e">
        <f>VLOOKUP(E4152,[1]Mapping!$A$3:$B$14,2,FALSE)</f>
        <v>#N/A</v>
      </c>
      <c r="J4152" s="84">
        <f t="shared" si="130"/>
        <v>0</v>
      </c>
      <c r="K4152" s="84">
        <f t="shared" si="131"/>
        <v>0</v>
      </c>
      <c r="L4152" s="61" t="e">
        <f>VLOOKUP(K4152,[1]Mapping!$J$3:$Q$351,8,FALSE)</f>
        <v>#N/A</v>
      </c>
      <c r="M4152" t="s">
        <v>83</v>
      </c>
    </row>
    <row r="4153" spans="5:13" hidden="1" x14ac:dyDescent="0.35">
      <c r="E4153" s="81"/>
      <c r="I4153" s="83" t="e">
        <f>VLOOKUP(E4153,[1]Mapping!$A$3:$B$14,2,FALSE)</f>
        <v>#N/A</v>
      </c>
      <c r="J4153" s="84">
        <f t="shared" si="130"/>
        <v>0</v>
      </c>
      <c r="K4153" s="84">
        <f t="shared" si="131"/>
        <v>0</v>
      </c>
      <c r="L4153" s="61" t="e">
        <f>VLOOKUP(K4153,[1]Mapping!$J$3:$Q$351,8,FALSE)</f>
        <v>#N/A</v>
      </c>
      <c r="M4153" t="s">
        <v>83</v>
      </c>
    </row>
    <row r="4154" spans="5:13" hidden="1" x14ac:dyDescent="0.35">
      <c r="E4154" s="81"/>
      <c r="I4154" s="83" t="e">
        <f>VLOOKUP(E4154,[1]Mapping!$A$3:$B$14,2,FALSE)</f>
        <v>#N/A</v>
      </c>
      <c r="J4154" s="84">
        <f t="shared" si="130"/>
        <v>0</v>
      </c>
      <c r="K4154" s="84">
        <f t="shared" si="131"/>
        <v>0</v>
      </c>
      <c r="L4154" s="61" t="e">
        <f>VLOOKUP(K4154,[1]Mapping!$J$3:$Q$351,8,FALSE)</f>
        <v>#N/A</v>
      </c>
      <c r="M4154" t="s">
        <v>83</v>
      </c>
    </row>
    <row r="4155" spans="5:13" hidden="1" x14ac:dyDescent="0.35">
      <c r="E4155" s="81"/>
      <c r="I4155" s="83" t="e">
        <f>VLOOKUP(E4155,[1]Mapping!$A$3:$B$14,2,FALSE)</f>
        <v>#N/A</v>
      </c>
      <c r="J4155" s="84">
        <f t="shared" si="130"/>
        <v>0</v>
      </c>
      <c r="K4155" s="84">
        <f t="shared" si="131"/>
        <v>0</v>
      </c>
      <c r="L4155" s="61" t="e">
        <f>VLOOKUP(K4155,[1]Mapping!$J$3:$Q$351,8,FALSE)</f>
        <v>#N/A</v>
      </c>
      <c r="M4155" t="s">
        <v>83</v>
      </c>
    </row>
    <row r="4156" spans="5:13" hidden="1" x14ac:dyDescent="0.35">
      <c r="E4156" s="81"/>
      <c r="I4156" s="83" t="e">
        <f>VLOOKUP(E4156,[1]Mapping!$A$3:$B$14,2,FALSE)</f>
        <v>#N/A</v>
      </c>
      <c r="J4156" s="84">
        <f t="shared" si="130"/>
        <v>0</v>
      </c>
      <c r="K4156" s="84">
        <f t="shared" si="131"/>
        <v>0</v>
      </c>
      <c r="L4156" s="61" t="e">
        <f>VLOOKUP(K4156,[1]Mapping!$J$3:$Q$351,8,FALSE)</f>
        <v>#N/A</v>
      </c>
      <c r="M4156" t="s">
        <v>83</v>
      </c>
    </row>
    <row r="4157" spans="5:13" hidden="1" x14ac:dyDescent="0.35">
      <c r="E4157" s="81"/>
      <c r="I4157" s="83" t="e">
        <f>VLOOKUP(E4157,[1]Mapping!$A$3:$B$14,2,FALSE)</f>
        <v>#N/A</v>
      </c>
      <c r="J4157" s="84">
        <f t="shared" si="130"/>
        <v>0</v>
      </c>
      <c r="K4157" s="84">
        <f t="shared" si="131"/>
        <v>0</v>
      </c>
      <c r="L4157" s="61" t="e">
        <f>VLOOKUP(K4157,[1]Mapping!$J$3:$Q$351,8,FALSE)</f>
        <v>#N/A</v>
      </c>
      <c r="M4157" t="s">
        <v>83</v>
      </c>
    </row>
    <row r="4158" spans="5:13" hidden="1" x14ac:dyDescent="0.35">
      <c r="E4158" s="81"/>
      <c r="I4158" s="83" t="e">
        <f>VLOOKUP(E4158,[1]Mapping!$A$3:$B$14,2,FALSE)</f>
        <v>#N/A</v>
      </c>
      <c r="J4158" s="84">
        <f t="shared" si="130"/>
        <v>0</v>
      </c>
      <c r="K4158" s="84">
        <f t="shared" si="131"/>
        <v>0</v>
      </c>
      <c r="L4158" s="61" t="e">
        <f>VLOOKUP(K4158,[1]Mapping!$J$3:$Q$351,8,FALSE)</f>
        <v>#N/A</v>
      </c>
      <c r="M4158" t="s">
        <v>83</v>
      </c>
    </row>
    <row r="4159" spans="5:13" hidden="1" x14ac:dyDescent="0.35">
      <c r="E4159" s="81"/>
      <c r="I4159" s="83" t="e">
        <f>VLOOKUP(E4159,[1]Mapping!$A$3:$B$14,2,FALSE)</f>
        <v>#N/A</v>
      </c>
      <c r="J4159" s="84">
        <f t="shared" si="130"/>
        <v>0</v>
      </c>
      <c r="K4159" s="84">
        <f t="shared" si="131"/>
        <v>0</v>
      </c>
      <c r="L4159" s="61" t="e">
        <f>VLOOKUP(K4159,[1]Mapping!$J$3:$Q$351,8,FALSE)</f>
        <v>#N/A</v>
      </c>
      <c r="M4159" t="s">
        <v>83</v>
      </c>
    </row>
    <row r="4160" spans="5:13" hidden="1" x14ac:dyDescent="0.35">
      <c r="E4160" s="81"/>
      <c r="I4160" s="83" t="e">
        <f>VLOOKUP(E4160,[1]Mapping!$A$3:$B$14,2,FALSE)</f>
        <v>#N/A</v>
      </c>
      <c r="J4160" s="84">
        <f t="shared" si="130"/>
        <v>0</v>
      </c>
      <c r="K4160" s="84">
        <f t="shared" si="131"/>
        <v>0</v>
      </c>
      <c r="L4160" s="61" t="e">
        <f>VLOOKUP(K4160,[1]Mapping!$J$3:$Q$351,8,FALSE)</f>
        <v>#N/A</v>
      </c>
      <c r="M4160" t="s">
        <v>83</v>
      </c>
    </row>
    <row r="4161" spans="5:13" hidden="1" x14ac:dyDescent="0.35">
      <c r="E4161" s="81"/>
      <c r="I4161" s="83" t="e">
        <f>VLOOKUP(E4161,[1]Mapping!$A$3:$B$14,2,FALSE)</f>
        <v>#N/A</v>
      </c>
      <c r="J4161" s="84">
        <f t="shared" si="130"/>
        <v>0</v>
      </c>
      <c r="K4161" s="84">
        <f t="shared" si="131"/>
        <v>0</v>
      </c>
      <c r="L4161" s="61" t="e">
        <f>VLOOKUP(K4161,[1]Mapping!$J$3:$Q$351,8,FALSE)</f>
        <v>#N/A</v>
      </c>
      <c r="M4161" t="s">
        <v>83</v>
      </c>
    </row>
    <row r="4162" spans="5:13" hidden="1" x14ac:dyDescent="0.35">
      <c r="E4162" s="81"/>
      <c r="I4162" s="83" t="e">
        <f>VLOOKUP(E4162,[1]Mapping!$A$3:$B$14,2,FALSE)</f>
        <v>#N/A</v>
      </c>
      <c r="J4162" s="84">
        <f t="shared" si="130"/>
        <v>0</v>
      </c>
      <c r="K4162" s="84">
        <f t="shared" si="131"/>
        <v>0</v>
      </c>
      <c r="L4162" s="61" t="e">
        <f>VLOOKUP(K4162,[1]Mapping!$J$3:$Q$351,8,FALSE)</f>
        <v>#N/A</v>
      </c>
      <c r="M4162" t="s">
        <v>83</v>
      </c>
    </row>
    <row r="4163" spans="5:13" hidden="1" x14ac:dyDescent="0.35">
      <c r="E4163" s="81"/>
      <c r="I4163" s="83" t="e">
        <f>VLOOKUP(E4163,[1]Mapping!$A$3:$B$14,2,FALSE)</f>
        <v>#N/A</v>
      </c>
      <c r="J4163" s="84">
        <f t="shared" si="130"/>
        <v>0</v>
      </c>
      <c r="K4163" s="84">
        <f t="shared" si="131"/>
        <v>0</v>
      </c>
      <c r="L4163" s="61" t="e">
        <f>VLOOKUP(K4163,[1]Mapping!$J$3:$Q$351,8,FALSE)</f>
        <v>#N/A</v>
      </c>
      <c r="M4163" t="s">
        <v>83</v>
      </c>
    </row>
    <row r="4164" spans="5:13" hidden="1" x14ac:dyDescent="0.35">
      <c r="E4164" s="81"/>
      <c r="I4164" s="83" t="e">
        <f>VLOOKUP(E4164,[1]Mapping!$A$3:$B$14,2,FALSE)</f>
        <v>#N/A</v>
      </c>
      <c r="J4164" s="84">
        <f t="shared" ref="J4164:J4227" si="132">VALUE(A4164)</f>
        <v>0</v>
      </c>
      <c r="K4164" s="84">
        <f t="shared" ref="K4164:K4227" si="133">VALUE(C4164)</f>
        <v>0</v>
      </c>
      <c r="L4164" s="61" t="e">
        <f>VLOOKUP(K4164,[1]Mapping!$J$3:$Q$351,8,FALSE)</f>
        <v>#N/A</v>
      </c>
      <c r="M4164" t="s">
        <v>83</v>
      </c>
    </row>
    <row r="4165" spans="5:13" hidden="1" x14ac:dyDescent="0.35">
      <c r="E4165" s="81"/>
      <c r="I4165" s="83" t="e">
        <f>VLOOKUP(E4165,[1]Mapping!$A$3:$B$14,2,FALSE)</f>
        <v>#N/A</v>
      </c>
      <c r="J4165" s="84">
        <f t="shared" si="132"/>
        <v>0</v>
      </c>
      <c r="K4165" s="84">
        <f t="shared" si="133"/>
        <v>0</v>
      </c>
      <c r="L4165" s="61" t="e">
        <f>VLOOKUP(K4165,[1]Mapping!$J$3:$Q$351,8,FALSE)</f>
        <v>#N/A</v>
      </c>
      <c r="M4165" t="s">
        <v>83</v>
      </c>
    </row>
    <row r="4166" spans="5:13" hidden="1" x14ac:dyDescent="0.35">
      <c r="E4166" s="81"/>
      <c r="I4166" s="83" t="e">
        <f>VLOOKUP(E4166,[1]Mapping!$A$3:$B$14,2,FALSE)</f>
        <v>#N/A</v>
      </c>
      <c r="J4166" s="84">
        <f t="shared" si="132"/>
        <v>0</v>
      </c>
      <c r="K4166" s="84">
        <f t="shared" si="133"/>
        <v>0</v>
      </c>
      <c r="L4166" s="61" t="e">
        <f>VLOOKUP(K4166,[1]Mapping!$J$3:$Q$351,8,FALSE)</f>
        <v>#N/A</v>
      </c>
      <c r="M4166" t="s">
        <v>83</v>
      </c>
    </row>
    <row r="4167" spans="5:13" hidden="1" x14ac:dyDescent="0.35">
      <c r="E4167" s="81"/>
      <c r="I4167" s="83" t="e">
        <f>VLOOKUP(E4167,[1]Mapping!$A$3:$B$14,2,FALSE)</f>
        <v>#N/A</v>
      </c>
      <c r="J4167" s="84">
        <f t="shared" si="132"/>
        <v>0</v>
      </c>
      <c r="K4167" s="84">
        <f t="shared" si="133"/>
        <v>0</v>
      </c>
      <c r="L4167" s="61" t="e">
        <f>VLOOKUP(K4167,[1]Mapping!$J$3:$Q$351,8,FALSE)</f>
        <v>#N/A</v>
      </c>
      <c r="M4167" t="s">
        <v>83</v>
      </c>
    </row>
    <row r="4168" spans="5:13" hidden="1" x14ac:dyDescent="0.35">
      <c r="E4168" s="81"/>
      <c r="I4168" s="83" t="e">
        <f>VLOOKUP(E4168,[1]Mapping!$A$3:$B$14,2,FALSE)</f>
        <v>#N/A</v>
      </c>
      <c r="J4168" s="84">
        <f t="shared" si="132"/>
        <v>0</v>
      </c>
      <c r="K4168" s="84">
        <f t="shared" si="133"/>
        <v>0</v>
      </c>
      <c r="L4168" s="61" t="e">
        <f>VLOOKUP(K4168,[1]Mapping!$J$3:$Q$351,8,FALSE)</f>
        <v>#N/A</v>
      </c>
      <c r="M4168" t="s">
        <v>83</v>
      </c>
    </row>
    <row r="4169" spans="5:13" hidden="1" x14ac:dyDescent="0.35">
      <c r="E4169" s="81"/>
      <c r="I4169" s="83" t="e">
        <f>VLOOKUP(E4169,[1]Mapping!$A$3:$B$14,2,FALSE)</f>
        <v>#N/A</v>
      </c>
      <c r="J4169" s="84">
        <f t="shared" si="132"/>
        <v>0</v>
      </c>
      <c r="K4169" s="84">
        <f t="shared" si="133"/>
        <v>0</v>
      </c>
      <c r="L4169" s="61" t="e">
        <f>VLOOKUP(K4169,[1]Mapping!$J$3:$Q$351,8,FALSE)</f>
        <v>#N/A</v>
      </c>
      <c r="M4169" t="s">
        <v>83</v>
      </c>
    </row>
    <row r="4170" spans="5:13" hidden="1" x14ac:dyDescent="0.35">
      <c r="E4170" s="81"/>
      <c r="I4170" s="83" t="e">
        <f>VLOOKUP(E4170,[1]Mapping!$A$3:$B$14,2,FALSE)</f>
        <v>#N/A</v>
      </c>
      <c r="J4170" s="84">
        <f t="shared" si="132"/>
        <v>0</v>
      </c>
      <c r="K4170" s="84">
        <f t="shared" si="133"/>
        <v>0</v>
      </c>
      <c r="L4170" s="61" t="e">
        <f>VLOOKUP(K4170,[1]Mapping!$J$3:$Q$351,8,FALSE)</f>
        <v>#N/A</v>
      </c>
      <c r="M4170" t="s">
        <v>83</v>
      </c>
    </row>
    <row r="4171" spans="5:13" hidden="1" x14ac:dyDescent="0.35">
      <c r="E4171" s="81"/>
      <c r="I4171" s="83" t="e">
        <f>VLOOKUP(E4171,[1]Mapping!$A$3:$B$14,2,FALSE)</f>
        <v>#N/A</v>
      </c>
      <c r="J4171" s="84">
        <f t="shared" si="132"/>
        <v>0</v>
      </c>
      <c r="K4171" s="84">
        <f t="shared" si="133"/>
        <v>0</v>
      </c>
      <c r="L4171" s="61" t="e">
        <f>VLOOKUP(K4171,[1]Mapping!$J$3:$Q$351,8,FALSE)</f>
        <v>#N/A</v>
      </c>
      <c r="M4171" t="s">
        <v>83</v>
      </c>
    </row>
    <row r="4172" spans="5:13" hidden="1" x14ac:dyDescent="0.35">
      <c r="E4172" s="81"/>
      <c r="I4172" s="83" t="e">
        <f>VLOOKUP(E4172,[1]Mapping!$A$3:$B$14,2,FALSE)</f>
        <v>#N/A</v>
      </c>
      <c r="J4172" s="84">
        <f t="shared" si="132"/>
        <v>0</v>
      </c>
      <c r="K4172" s="84">
        <f t="shared" si="133"/>
        <v>0</v>
      </c>
      <c r="L4172" s="61" t="e">
        <f>VLOOKUP(K4172,[1]Mapping!$J$3:$Q$351,8,FALSE)</f>
        <v>#N/A</v>
      </c>
      <c r="M4172" t="s">
        <v>83</v>
      </c>
    </row>
    <row r="4173" spans="5:13" hidden="1" x14ac:dyDescent="0.35">
      <c r="E4173" s="81"/>
      <c r="I4173" s="83" t="e">
        <f>VLOOKUP(E4173,[1]Mapping!$A$3:$B$14,2,FALSE)</f>
        <v>#N/A</v>
      </c>
      <c r="J4173" s="84">
        <f t="shared" si="132"/>
        <v>0</v>
      </c>
      <c r="K4173" s="84">
        <f t="shared" si="133"/>
        <v>0</v>
      </c>
      <c r="L4173" s="61" t="e">
        <f>VLOOKUP(K4173,[1]Mapping!$J$3:$Q$351,8,FALSE)</f>
        <v>#N/A</v>
      </c>
      <c r="M4173" t="s">
        <v>83</v>
      </c>
    </row>
    <row r="4174" spans="5:13" hidden="1" x14ac:dyDescent="0.35">
      <c r="E4174" s="81"/>
      <c r="I4174" s="83" t="e">
        <f>VLOOKUP(E4174,[1]Mapping!$A$3:$B$14,2,FALSE)</f>
        <v>#N/A</v>
      </c>
      <c r="J4174" s="84">
        <f t="shared" si="132"/>
        <v>0</v>
      </c>
      <c r="K4174" s="84">
        <f t="shared" si="133"/>
        <v>0</v>
      </c>
      <c r="L4174" s="61" t="e">
        <f>VLOOKUP(K4174,[1]Mapping!$J$3:$Q$351,8,FALSE)</f>
        <v>#N/A</v>
      </c>
      <c r="M4174" t="s">
        <v>83</v>
      </c>
    </row>
    <row r="4175" spans="5:13" hidden="1" x14ac:dyDescent="0.35">
      <c r="E4175" s="81"/>
      <c r="I4175" s="83" t="e">
        <f>VLOOKUP(E4175,[1]Mapping!$A$3:$B$14,2,FALSE)</f>
        <v>#N/A</v>
      </c>
      <c r="J4175" s="84">
        <f t="shared" si="132"/>
        <v>0</v>
      </c>
      <c r="K4175" s="84">
        <f t="shared" si="133"/>
        <v>0</v>
      </c>
      <c r="L4175" s="61" t="e">
        <f>VLOOKUP(K4175,[1]Mapping!$J$3:$Q$351,8,FALSE)</f>
        <v>#N/A</v>
      </c>
      <c r="M4175" t="s">
        <v>83</v>
      </c>
    </row>
    <row r="4176" spans="5:13" hidden="1" x14ac:dyDescent="0.35">
      <c r="E4176" s="81"/>
      <c r="I4176" s="83" t="e">
        <f>VLOOKUP(E4176,[1]Mapping!$A$3:$B$14,2,FALSE)</f>
        <v>#N/A</v>
      </c>
      <c r="J4176" s="84">
        <f t="shared" si="132"/>
        <v>0</v>
      </c>
      <c r="K4176" s="84">
        <f t="shared" si="133"/>
        <v>0</v>
      </c>
      <c r="L4176" s="61" t="e">
        <f>VLOOKUP(K4176,[1]Mapping!$J$3:$Q$351,8,FALSE)</f>
        <v>#N/A</v>
      </c>
      <c r="M4176" t="s">
        <v>83</v>
      </c>
    </row>
    <row r="4177" spans="5:13" hidden="1" x14ac:dyDescent="0.35">
      <c r="E4177" s="81"/>
      <c r="I4177" s="83" t="e">
        <f>VLOOKUP(E4177,[1]Mapping!$A$3:$B$14,2,FALSE)</f>
        <v>#N/A</v>
      </c>
      <c r="J4177" s="84">
        <f t="shared" si="132"/>
        <v>0</v>
      </c>
      <c r="K4177" s="84">
        <f t="shared" si="133"/>
        <v>0</v>
      </c>
      <c r="L4177" s="61" t="e">
        <f>VLOOKUP(K4177,[1]Mapping!$J$3:$Q$351,8,FALSE)</f>
        <v>#N/A</v>
      </c>
      <c r="M4177" t="s">
        <v>83</v>
      </c>
    </row>
    <row r="4178" spans="5:13" hidden="1" x14ac:dyDescent="0.35">
      <c r="E4178" s="81"/>
      <c r="I4178" s="83" t="e">
        <f>VLOOKUP(E4178,[1]Mapping!$A$3:$B$14,2,FALSE)</f>
        <v>#N/A</v>
      </c>
      <c r="J4178" s="84">
        <f t="shared" si="132"/>
        <v>0</v>
      </c>
      <c r="K4178" s="84">
        <f t="shared" si="133"/>
        <v>0</v>
      </c>
      <c r="L4178" s="61" t="e">
        <f>VLOOKUP(K4178,[1]Mapping!$J$3:$Q$351,8,FALSE)</f>
        <v>#N/A</v>
      </c>
      <c r="M4178" t="s">
        <v>83</v>
      </c>
    </row>
    <row r="4179" spans="5:13" hidden="1" x14ac:dyDescent="0.35">
      <c r="E4179" s="81"/>
      <c r="I4179" s="83" t="e">
        <f>VLOOKUP(E4179,[1]Mapping!$A$3:$B$14,2,FALSE)</f>
        <v>#N/A</v>
      </c>
      <c r="J4179" s="84">
        <f t="shared" si="132"/>
        <v>0</v>
      </c>
      <c r="K4179" s="84">
        <f t="shared" si="133"/>
        <v>0</v>
      </c>
      <c r="L4179" s="61" t="e">
        <f>VLOOKUP(K4179,[1]Mapping!$J$3:$Q$351,8,FALSE)</f>
        <v>#N/A</v>
      </c>
      <c r="M4179" t="s">
        <v>83</v>
      </c>
    </row>
    <row r="4180" spans="5:13" hidden="1" x14ac:dyDescent="0.35">
      <c r="E4180" s="81"/>
      <c r="I4180" s="83" t="e">
        <f>VLOOKUP(E4180,[1]Mapping!$A$3:$B$14,2,FALSE)</f>
        <v>#N/A</v>
      </c>
      <c r="J4180" s="84">
        <f t="shared" si="132"/>
        <v>0</v>
      </c>
      <c r="K4180" s="84">
        <f t="shared" si="133"/>
        <v>0</v>
      </c>
      <c r="L4180" s="61" t="e">
        <f>VLOOKUP(K4180,[1]Mapping!$J$3:$Q$351,8,FALSE)</f>
        <v>#N/A</v>
      </c>
      <c r="M4180" t="s">
        <v>83</v>
      </c>
    </row>
    <row r="4181" spans="5:13" hidden="1" x14ac:dyDescent="0.35">
      <c r="E4181" s="81"/>
      <c r="I4181" s="83" t="e">
        <f>VLOOKUP(E4181,[1]Mapping!$A$3:$B$14,2,FALSE)</f>
        <v>#N/A</v>
      </c>
      <c r="J4181" s="84">
        <f t="shared" si="132"/>
        <v>0</v>
      </c>
      <c r="K4181" s="84">
        <f t="shared" si="133"/>
        <v>0</v>
      </c>
      <c r="L4181" s="61" t="e">
        <f>VLOOKUP(K4181,[1]Mapping!$J$3:$Q$351,8,FALSE)</f>
        <v>#N/A</v>
      </c>
      <c r="M4181" t="s">
        <v>83</v>
      </c>
    </row>
    <row r="4182" spans="5:13" hidden="1" x14ac:dyDescent="0.35">
      <c r="E4182" s="81"/>
      <c r="I4182" s="83" t="e">
        <f>VLOOKUP(E4182,[1]Mapping!$A$3:$B$14,2,FALSE)</f>
        <v>#N/A</v>
      </c>
      <c r="J4182" s="84">
        <f t="shared" si="132"/>
        <v>0</v>
      </c>
      <c r="K4182" s="84">
        <f t="shared" si="133"/>
        <v>0</v>
      </c>
      <c r="L4182" s="61" t="e">
        <f>VLOOKUP(K4182,[1]Mapping!$J$3:$Q$351,8,FALSE)</f>
        <v>#N/A</v>
      </c>
      <c r="M4182" t="s">
        <v>83</v>
      </c>
    </row>
    <row r="4183" spans="5:13" hidden="1" x14ac:dyDescent="0.35">
      <c r="E4183" s="81"/>
      <c r="I4183" s="83" t="e">
        <f>VLOOKUP(E4183,[1]Mapping!$A$3:$B$14,2,FALSE)</f>
        <v>#N/A</v>
      </c>
      <c r="J4183" s="84">
        <f t="shared" si="132"/>
        <v>0</v>
      </c>
      <c r="K4183" s="84">
        <f t="shared" si="133"/>
        <v>0</v>
      </c>
      <c r="L4183" s="61" t="e">
        <f>VLOOKUP(K4183,[1]Mapping!$J$3:$Q$351,8,FALSE)</f>
        <v>#N/A</v>
      </c>
      <c r="M4183" t="s">
        <v>83</v>
      </c>
    </row>
    <row r="4184" spans="5:13" hidden="1" x14ac:dyDescent="0.35">
      <c r="E4184" s="81"/>
      <c r="I4184" s="83" t="e">
        <f>VLOOKUP(E4184,[1]Mapping!$A$3:$B$14,2,FALSE)</f>
        <v>#N/A</v>
      </c>
      <c r="J4184" s="84">
        <f t="shared" si="132"/>
        <v>0</v>
      </c>
      <c r="K4184" s="84">
        <f t="shared" si="133"/>
        <v>0</v>
      </c>
      <c r="L4184" s="61" t="e">
        <f>VLOOKUP(K4184,[1]Mapping!$J$3:$Q$351,8,FALSE)</f>
        <v>#N/A</v>
      </c>
      <c r="M4184" t="s">
        <v>83</v>
      </c>
    </row>
    <row r="4185" spans="5:13" hidden="1" x14ac:dyDescent="0.35">
      <c r="E4185" s="81"/>
      <c r="I4185" s="83" t="e">
        <f>VLOOKUP(E4185,[1]Mapping!$A$3:$B$14,2,FALSE)</f>
        <v>#N/A</v>
      </c>
      <c r="J4185" s="84">
        <f t="shared" si="132"/>
        <v>0</v>
      </c>
      <c r="K4185" s="84">
        <f t="shared" si="133"/>
        <v>0</v>
      </c>
      <c r="L4185" s="61" t="e">
        <f>VLOOKUP(K4185,[1]Mapping!$J$3:$Q$351,8,FALSE)</f>
        <v>#N/A</v>
      </c>
      <c r="M4185" t="s">
        <v>83</v>
      </c>
    </row>
    <row r="4186" spans="5:13" hidden="1" x14ac:dyDescent="0.35">
      <c r="E4186" s="81"/>
      <c r="I4186" s="83" t="e">
        <f>VLOOKUP(E4186,[1]Mapping!$A$3:$B$14,2,FALSE)</f>
        <v>#N/A</v>
      </c>
      <c r="J4186" s="84">
        <f t="shared" si="132"/>
        <v>0</v>
      </c>
      <c r="K4186" s="84">
        <f t="shared" si="133"/>
        <v>0</v>
      </c>
      <c r="L4186" s="61" t="e">
        <f>VLOOKUP(K4186,[1]Mapping!$J$3:$Q$351,8,FALSE)</f>
        <v>#N/A</v>
      </c>
      <c r="M4186" t="s">
        <v>83</v>
      </c>
    </row>
    <row r="4187" spans="5:13" hidden="1" x14ac:dyDescent="0.35">
      <c r="E4187" s="81"/>
      <c r="I4187" s="83" t="e">
        <f>VLOOKUP(E4187,[1]Mapping!$A$3:$B$14,2,FALSE)</f>
        <v>#N/A</v>
      </c>
      <c r="J4187" s="84">
        <f t="shared" si="132"/>
        <v>0</v>
      </c>
      <c r="K4187" s="84">
        <f t="shared" si="133"/>
        <v>0</v>
      </c>
      <c r="L4187" s="61" t="e">
        <f>VLOOKUP(K4187,[1]Mapping!$J$3:$Q$351,8,FALSE)</f>
        <v>#N/A</v>
      </c>
      <c r="M4187" t="s">
        <v>83</v>
      </c>
    </row>
    <row r="4188" spans="5:13" hidden="1" x14ac:dyDescent="0.35">
      <c r="E4188" s="81"/>
      <c r="I4188" s="83" t="e">
        <f>VLOOKUP(E4188,[1]Mapping!$A$3:$B$14,2,FALSE)</f>
        <v>#N/A</v>
      </c>
      <c r="J4188" s="84">
        <f t="shared" si="132"/>
        <v>0</v>
      </c>
      <c r="K4188" s="84">
        <f t="shared" si="133"/>
        <v>0</v>
      </c>
      <c r="L4188" s="61" t="e">
        <f>VLOOKUP(K4188,[1]Mapping!$J$3:$Q$351,8,FALSE)</f>
        <v>#N/A</v>
      </c>
      <c r="M4188" t="s">
        <v>83</v>
      </c>
    </row>
    <row r="4189" spans="5:13" hidden="1" x14ac:dyDescent="0.35">
      <c r="E4189" s="81"/>
      <c r="I4189" s="83" t="e">
        <f>VLOOKUP(E4189,[1]Mapping!$A$3:$B$14,2,FALSE)</f>
        <v>#N/A</v>
      </c>
      <c r="J4189" s="84">
        <f t="shared" si="132"/>
        <v>0</v>
      </c>
      <c r="K4189" s="84">
        <f t="shared" si="133"/>
        <v>0</v>
      </c>
      <c r="L4189" s="61" t="e">
        <f>VLOOKUP(K4189,[1]Mapping!$J$3:$Q$351,8,FALSE)</f>
        <v>#N/A</v>
      </c>
      <c r="M4189" t="s">
        <v>83</v>
      </c>
    </row>
    <row r="4190" spans="5:13" hidden="1" x14ac:dyDescent="0.35">
      <c r="E4190" s="81"/>
      <c r="I4190" s="83" t="e">
        <f>VLOOKUP(E4190,[1]Mapping!$A$3:$B$14,2,FALSE)</f>
        <v>#N/A</v>
      </c>
      <c r="J4190" s="84">
        <f t="shared" si="132"/>
        <v>0</v>
      </c>
      <c r="K4190" s="84">
        <f t="shared" si="133"/>
        <v>0</v>
      </c>
      <c r="L4190" s="61" t="e">
        <f>VLOOKUP(K4190,[1]Mapping!$J$3:$Q$351,8,FALSE)</f>
        <v>#N/A</v>
      </c>
      <c r="M4190" t="s">
        <v>83</v>
      </c>
    </row>
    <row r="4191" spans="5:13" hidden="1" x14ac:dyDescent="0.35">
      <c r="E4191" s="81"/>
      <c r="I4191" s="83" t="e">
        <f>VLOOKUP(E4191,[1]Mapping!$A$3:$B$14,2,FALSE)</f>
        <v>#N/A</v>
      </c>
      <c r="J4191" s="84">
        <f t="shared" si="132"/>
        <v>0</v>
      </c>
      <c r="K4191" s="84">
        <f t="shared" si="133"/>
        <v>0</v>
      </c>
      <c r="L4191" s="61" t="e">
        <f>VLOOKUP(K4191,[1]Mapping!$J$3:$Q$351,8,FALSE)</f>
        <v>#N/A</v>
      </c>
      <c r="M4191" t="s">
        <v>83</v>
      </c>
    </row>
    <row r="4192" spans="5:13" hidden="1" x14ac:dyDescent="0.35">
      <c r="E4192" s="81"/>
      <c r="I4192" s="83" t="e">
        <f>VLOOKUP(E4192,[1]Mapping!$A$3:$B$14,2,FALSE)</f>
        <v>#N/A</v>
      </c>
      <c r="J4192" s="84">
        <f t="shared" si="132"/>
        <v>0</v>
      </c>
      <c r="K4192" s="84">
        <f t="shared" si="133"/>
        <v>0</v>
      </c>
      <c r="L4192" s="61" t="e">
        <f>VLOOKUP(K4192,[1]Mapping!$J$3:$Q$351,8,FALSE)</f>
        <v>#N/A</v>
      </c>
      <c r="M4192" t="s">
        <v>83</v>
      </c>
    </row>
    <row r="4193" spans="5:13" hidden="1" x14ac:dyDescent="0.35">
      <c r="E4193" s="81"/>
      <c r="I4193" s="83" t="e">
        <f>VLOOKUP(E4193,[1]Mapping!$A$3:$B$14,2,FALSE)</f>
        <v>#N/A</v>
      </c>
      <c r="J4193" s="84">
        <f t="shared" si="132"/>
        <v>0</v>
      </c>
      <c r="K4193" s="84">
        <f t="shared" si="133"/>
        <v>0</v>
      </c>
      <c r="L4193" s="61" t="e">
        <f>VLOOKUP(K4193,[1]Mapping!$J$3:$Q$351,8,FALSE)</f>
        <v>#N/A</v>
      </c>
      <c r="M4193" t="s">
        <v>83</v>
      </c>
    </row>
    <row r="4194" spans="5:13" hidden="1" x14ac:dyDescent="0.35">
      <c r="E4194" s="81"/>
      <c r="I4194" s="83" t="e">
        <f>VLOOKUP(E4194,[1]Mapping!$A$3:$B$14,2,FALSE)</f>
        <v>#N/A</v>
      </c>
      <c r="J4194" s="84">
        <f t="shared" si="132"/>
        <v>0</v>
      </c>
      <c r="K4194" s="84">
        <f t="shared" si="133"/>
        <v>0</v>
      </c>
      <c r="L4194" s="61" t="e">
        <f>VLOOKUP(K4194,[1]Mapping!$J$3:$Q$351,8,FALSE)</f>
        <v>#N/A</v>
      </c>
      <c r="M4194" t="s">
        <v>83</v>
      </c>
    </row>
    <row r="4195" spans="5:13" hidden="1" x14ac:dyDescent="0.35">
      <c r="E4195" s="81"/>
      <c r="I4195" s="83" t="e">
        <f>VLOOKUP(E4195,[1]Mapping!$A$3:$B$14,2,FALSE)</f>
        <v>#N/A</v>
      </c>
      <c r="J4195" s="84">
        <f t="shared" si="132"/>
        <v>0</v>
      </c>
      <c r="K4195" s="84">
        <f t="shared" si="133"/>
        <v>0</v>
      </c>
      <c r="L4195" s="61" t="e">
        <f>VLOOKUP(K4195,[1]Mapping!$J$3:$Q$351,8,FALSE)</f>
        <v>#N/A</v>
      </c>
      <c r="M4195" t="s">
        <v>83</v>
      </c>
    </row>
    <row r="4196" spans="5:13" hidden="1" x14ac:dyDescent="0.35">
      <c r="E4196" s="81"/>
      <c r="I4196" s="83" t="e">
        <f>VLOOKUP(E4196,[1]Mapping!$A$3:$B$14,2,FALSE)</f>
        <v>#N/A</v>
      </c>
      <c r="J4196" s="84">
        <f t="shared" si="132"/>
        <v>0</v>
      </c>
      <c r="K4196" s="84">
        <f t="shared" si="133"/>
        <v>0</v>
      </c>
      <c r="L4196" s="61" t="e">
        <f>VLOOKUP(K4196,[1]Mapping!$J$3:$Q$351,8,FALSE)</f>
        <v>#N/A</v>
      </c>
      <c r="M4196" t="s">
        <v>83</v>
      </c>
    </row>
    <row r="4197" spans="5:13" hidden="1" x14ac:dyDescent="0.35">
      <c r="E4197" s="81"/>
      <c r="I4197" s="83" t="e">
        <f>VLOOKUP(E4197,[1]Mapping!$A$3:$B$14,2,FALSE)</f>
        <v>#N/A</v>
      </c>
      <c r="J4197" s="84">
        <f t="shared" si="132"/>
        <v>0</v>
      </c>
      <c r="K4197" s="84">
        <f t="shared" si="133"/>
        <v>0</v>
      </c>
      <c r="L4197" s="61" t="e">
        <f>VLOOKUP(K4197,[1]Mapping!$J$3:$Q$351,8,FALSE)</f>
        <v>#N/A</v>
      </c>
      <c r="M4197" t="s">
        <v>83</v>
      </c>
    </row>
    <row r="4198" spans="5:13" hidden="1" x14ac:dyDescent="0.35">
      <c r="E4198" s="81"/>
      <c r="I4198" s="83" t="e">
        <f>VLOOKUP(E4198,[1]Mapping!$A$3:$B$14,2,FALSE)</f>
        <v>#N/A</v>
      </c>
      <c r="J4198" s="84">
        <f t="shared" si="132"/>
        <v>0</v>
      </c>
      <c r="K4198" s="84">
        <f t="shared" si="133"/>
        <v>0</v>
      </c>
      <c r="L4198" s="61" t="e">
        <f>VLOOKUP(K4198,[1]Mapping!$J$3:$Q$351,8,FALSE)</f>
        <v>#N/A</v>
      </c>
      <c r="M4198" t="s">
        <v>83</v>
      </c>
    </row>
    <row r="4199" spans="5:13" hidden="1" x14ac:dyDescent="0.35">
      <c r="E4199" s="81"/>
      <c r="I4199" s="83" t="e">
        <f>VLOOKUP(E4199,[1]Mapping!$A$3:$B$14,2,FALSE)</f>
        <v>#N/A</v>
      </c>
      <c r="J4199" s="84">
        <f t="shared" si="132"/>
        <v>0</v>
      </c>
      <c r="K4199" s="84">
        <f t="shared" si="133"/>
        <v>0</v>
      </c>
      <c r="L4199" s="61" t="e">
        <f>VLOOKUP(K4199,[1]Mapping!$J$3:$Q$351,8,FALSE)</f>
        <v>#N/A</v>
      </c>
      <c r="M4199" t="s">
        <v>83</v>
      </c>
    </row>
    <row r="4200" spans="5:13" hidden="1" x14ac:dyDescent="0.35">
      <c r="E4200" s="81"/>
      <c r="I4200" s="83" t="e">
        <f>VLOOKUP(E4200,[1]Mapping!$A$3:$B$14,2,FALSE)</f>
        <v>#N/A</v>
      </c>
      <c r="J4200" s="84">
        <f t="shared" si="132"/>
        <v>0</v>
      </c>
      <c r="K4200" s="84">
        <f t="shared" si="133"/>
        <v>0</v>
      </c>
      <c r="L4200" s="61" t="e">
        <f>VLOOKUP(K4200,[1]Mapping!$J$3:$Q$351,8,FALSE)</f>
        <v>#N/A</v>
      </c>
      <c r="M4200" t="s">
        <v>83</v>
      </c>
    </row>
    <row r="4201" spans="5:13" hidden="1" x14ac:dyDescent="0.35">
      <c r="E4201" s="81"/>
      <c r="I4201" s="83" t="e">
        <f>VLOOKUP(E4201,[1]Mapping!$A$3:$B$14,2,FALSE)</f>
        <v>#N/A</v>
      </c>
      <c r="J4201" s="84">
        <f t="shared" si="132"/>
        <v>0</v>
      </c>
      <c r="K4201" s="84">
        <f t="shared" si="133"/>
        <v>0</v>
      </c>
      <c r="L4201" s="61" t="e">
        <f>VLOOKUP(K4201,[1]Mapping!$J$3:$Q$351,8,FALSE)</f>
        <v>#N/A</v>
      </c>
      <c r="M4201" t="s">
        <v>83</v>
      </c>
    </row>
    <row r="4202" spans="5:13" hidden="1" x14ac:dyDescent="0.35">
      <c r="E4202" s="81"/>
      <c r="I4202" s="83" t="e">
        <f>VLOOKUP(E4202,[1]Mapping!$A$3:$B$14,2,FALSE)</f>
        <v>#N/A</v>
      </c>
      <c r="J4202" s="84">
        <f t="shared" si="132"/>
        <v>0</v>
      </c>
      <c r="K4202" s="84">
        <f t="shared" si="133"/>
        <v>0</v>
      </c>
      <c r="L4202" s="61" t="e">
        <f>VLOOKUP(K4202,[1]Mapping!$J$3:$Q$351,8,FALSE)</f>
        <v>#N/A</v>
      </c>
      <c r="M4202" t="s">
        <v>83</v>
      </c>
    </row>
    <row r="4203" spans="5:13" hidden="1" x14ac:dyDescent="0.35">
      <c r="E4203" s="81"/>
      <c r="I4203" s="83" t="e">
        <f>VLOOKUP(E4203,[1]Mapping!$A$3:$B$14,2,FALSE)</f>
        <v>#N/A</v>
      </c>
      <c r="J4203" s="84">
        <f t="shared" si="132"/>
        <v>0</v>
      </c>
      <c r="K4203" s="84">
        <f t="shared" si="133"/>
        <v>0</v>
      </c>
      <c r="L4203" s="61" t="e">
        <f>VLOOKUP(K4203,[1]Mapping!$J$3:$Q$351,8,FALSE)</f>
        <v>#N/A</v>
      </c>
      <c r="M4203" t="s">
        <v>83</v>
      </c>
    </row>
    <row r="4204" spans="5:13" hidden="1" x14ac:dyDescent="0.35">
      <c r="E4204" s="81"/>
      <c r="I4204" s="83" t="e">
        <f>VLOOKUP(E4204,[1]Mapping!$A$3:$B$14,2,FALSE)</f>
        <v>#N/A</v>
      </c>
      <c r="J4204" s="84">
        <f t="shared" si="132"/>
        <v>0</v>
      </c>
      <c r="K4204" s="84">
        <f t="shared" si="133"/>
        <v>0</v>
      </c>
      <c r="L4204" s="61" t="e">
        <f>VLOOKUP(K4204,[1]Mapping!$J$3:$Q$351,8,FALSE)</f>
        <v>#N/A</v>
      </c>
      <c r="M4204" t="s">
        <v>83</v>
      </c>
    </row>
    <row r="4205" spans="5:13" hidden="1" x14ac:dyDescent="0.35">
      <c r="E4205" s="81"/>
      <c r="I4205" s="83" t="e">
        <f>VLOOKUP(E4205,[1]Mapping!$A$3:$B$14,2,FALSE)</f>
        <v>#N/A</v>
      </c>
      <c r="J4205" s="84">
        <f t="shared" si="132"/>
        <v>0</v>
      </c>
      <c r="K4205" s="84">
        <f t="shared" si="133"/>
        <v>0</v>
      </c>
      <c r="L4205" s="61" t="e">
        <f>VLOOKUP(K4205,[1]Mapping!$J$3:$Q$351,8,FALSE)</f>
        <v>#N/A</v>
      </c>
      <c r="M4205" t="s">
        <v>83</v>
      </c>
    </row>
    <row r="4206" spans="5:13" hidden="1" x14ac:dyDescent="0.35">
      <c r="E4206" s="81"/>
      <c r="I4206" s="83" t="e">
        <f>VLOOKUP(E4206,[1]Mapping!$A$3:$B$14,2,FALSE)</f>
        <v>#N/A</v>
      </c>
      <c r="J4206" s="84">
        <f t="shared" si="132"/>
        <v>0</v>
      </c>
      <c r="K4206" s="84">
        <f t="shared" si="133"/>
        <v>0</v>
      </c>
      <c r="L4206" s="61" t="e">
        <f>VLOOKUP(K4206,[1]Mapping!$J$3:$Q$351,8,FALSE)</f>
        <v>#N/A</v>
      </c>
      <c r="M4206" t="s">
        <v>83</v>
      </c>
    </row>
    <row r="4207" spans="5:13" hidden="1" x14ac:dyDescent="0.35">
      <c r="E4207" s="81"/>
      <c r="I4207" s="83" t="e">
        <f>VLOOKUP(E4207,[1]Mapping!$A$3:$B$14,2,FALSE)</f>
        <v>#N/A</v>
      </c>
      <c r="J4207" s="84">
        <f t="shared" si="132"/>
        <v>0</v>
      </c>
      <c r="K4207" s="84">
        <f t="shared" si="133"/>
        <v>0</v>
      </c>
      <c r="L4207" s="61" t="e">
        <f>VLOOKUP(K4207,[1]Mapping!$J$3:$Q$351,8,FALSE)</f>
        <v>#N/A</v>
      </c>
      <c r="M4207" t="s">
        <v>83</v>
      </c>
    </row>
    <row r="4208" spans="5:13" hidden="1" x14ac:dyDescent="0.35">
      <c r="E4208" s="81"/>
      <c r="I4208" s="83" t="e">
        <f>VLOOKUP(E4208,[1]Mapping!$A$3:$B$14,2,FALSE)</f>
        <v>#N/A</v>
      </c>
      <c r="J4208" s="84">
        <f t="shared" si="132"/>
        <v>0</v>
      </c>
      <c r="K4208" s="84">
        <f t="shared" si="133"/>
        <v>0</v>
      </c>
      <c r="L4208" s="61" t="e">
        <f>VLOOKUP(K4208,[1]Mapping!$J$3:$Q$351,8,FALSE)</f>
        <v>#N/A</v>
      </c>
      <c r="M4208" t="s">
        <v>83</v>
      </c>
    </row>
    <row r="4209" spans="5:13" hidden="1" x14ac:dyDescent="0.35">
      <c r="E4209" s="81"/>
      <c r="I4209" s="83" t="e">
        <f>VLOOKUP(E4209,[1]Mapping!$A$3:$B$14,2,FALSE)</f>
        <v>#N/A</v>
      </c>
      <c r="J4209" s="84">
        <f t="shared" si="132"/>
        <v>0</v>
      </c>
      <c r="K4209" s="84">
        <f t="shared" si="133"/>
        <v>0</v>
      </c>
      <c r="L4209" s="61" t="e">
        <f>VLOOKUP(K4209,[1]Mapping!$J$3:$Q$351,8,FALSE)</f>
        <v>#N/A</v>
      </c>
      <c r="M4209" t="s">
        <v>83</v>
      </c>
    </row>
    <row r="4210" spans="5:13" hidden="1" x14ac:dyDescent="0.35">
      <c r="E4210" s="81"/>
      <c r="I4210" s="83" t="e">
        <f>VLOOKUP(E4210,[1]Mapping!$A$3:$B$14,2,FALSE)</f>
        <v>#N/A</v>
      </c>
      <c r="J4210" s="84">
        <f t="shared" si="132"/>
        <v>0</v>
      </c>
      <c r="K4210" s="84">
        <f t="shared" si="133"/>
        <v>0</v>
      </c>
      <c r="L4210" s="61" t="e">
        <f>VLOOKUP(K4210,[1]Mapping!$J$3:$Q$351,8,FALSE)</f>
        <v>#N/A</v>
      </c>
      <c r="M4210" t="s">
        <v>83</v>
      </c>
    </row>
    <row r="4211" spans="5:13" hidden="1" x14ac:dyDescent="0.35">
      <c r="E4211" s="81"/>
      <c r="I4211" s="83" t="e">
        <f>VLOOKUP(E4211,[1]Mapping!$A$3:$B$14,2,FALSE)</f>
        <v>#N/A</v>
      </c>
      <c r="J4211" s="84">
        <f t="shared" si="132"/>
        <v>0</v>
      </c>
      <c r="K4211" s="84">
        <f t="shared" si="133"/>
        <v>0</v>
      </c>
      <c r="L4211" s="61" t="e">
        <f>VLOOKUP(K4211,[1]Mapping!$J$3:$Q$351,8,FALSE)</f>
        <v>#N/A</v>
      </c>
      <c r="M4211" t="s">
        <v>83</v>
      </c>
    </row>
    <row r="4212" spans="5:13" hidden="1" x14ac:dyDescent="0.35">
      <c r="E4212" s="81"/>
      <c r="I4212" s="83" t="e">
        <f>VLOOKUP(E4212,[1]Mapping!$A$3:$B$14,2,FALSE)</f>
        <v>#N/A</v>
      </c>
      <c r="J4212" s="84">
        <f t="shared" si="132"/>
        <v>0</v>
      </c>
      <c r="K4212" s="84">
        <f t="shared" si="133"/>
        <v>0</v>
      </c>
      <c r="L4212" s="61" t="e">
        <f>VLOOKUP(K4212,[1]Mapping!$J$3:$Q$351,8,FALSE)</f>
        <v>#N/A</v>
      </c>
      <c r="M4212" t="s">
        <v>83</v>
      </c>
    </row>
    <row r="4213" spans="5:13" hidden="1" x14ac:dyDescent="0.35">
      <c r="E4213" s="81"/>
      <c r="I4213" s="83" t="e">
        <f>VLOOKUP(E4213,[1]Mapping!$A$3:$B$14,2,FALSE)</f>
        <v>#N/A</v>
      </c>
      <c r="J4213" s="84">
        <f t="shared" si="132"/>
        <v>0</v>
      </c>
      <c r="K4213" s="84">
        <f t="shared" si="133"/>
        <v>0</v>
      </c>
      <c r="L4213" s="61" t="e">
        <f>VLOOKUP(K4213,[1]Mapping!$J$3:$Q$351,8,FALSE)</f>
        <v>#N/A</v>
      </c>
      <c r="M4213" t="s">
        <v>83</v>
      </c>
    </row>
    <row r="4214" spans="5:13" hidden="1" x14ac:dyDescent="0.35">
      <c r="E4214" s="81"/>
      <c r="I4214" s="83" t="e">
        <f>VLOOKUP(E4214,[1]Mapping!$A$3:$B$14,2,FALSE)</f>
        <v>#N/A</v>
      </c>
      <c r="J4214" s="84">
        <f t="shared" si="132"/>
        <v>0</v>
      </c>
      <c r="K4214" s="84">
        <f t="shared" si="133"/>
        <v>0</v>
      </c>
      <c r="L4214" s="61" t="e">
        <f>VLOOKUP(K4214,[1]Mapping!$J$3:$Q$351,8,FALSE)</f>
        <v>#N/A</v>
      </c>
      <c r="M4214" t="s">
        <v>83</v>
      </c>
    </row>
    <row r="4215" spans="5:13" hidden="1" x14ac:dyDescent="0.35">
      <c r="E4215" s="81"/>
      <c r="I4215" s="83" t="e">
        <f>VLOOKUP(E4215,[1]Mapping!$A$3:$B$14,2,FALSE)</f>
        <v>#N/A</v>
      </c>
      <c r="J4215" s="84">
        <f t="shared" si="132"/>
        <v>0</v>
      </c>
      <c r="K4215" s="84">
        <f t="shared" si="133"/>
        <v>0</v>
      </c>
      <c r="L4215" s="61" t="e">
        <f>VLOOKUP(K4215,[1]Mapping!$J$3:$Q$351,8,FALSE)</f>
        <v>#N/A</v>
      </c>
      <c r="M4215" t="s">
        <v>83</v>
      </c>
    </row>
    <row r="4216" spans="5:13" hidden="1" x14ac:dyDescent="0.35">
      <c r="E4216" s="81"/>
      <c r="I4216" s="83" t="e">
        <f>VLOOKUP(E4216,[1]Mapping!$A$3:$B$14,2,FALSE)</f>
        <v>#N/A</v>
      </c>
      <c r="J4216" s="84">
        <f t="shared" si="132"/>
        <v>0</v>
      </c>
      <c r="K4216" s="84">
        <f t="shared" si="133"/>
        <v>0</v>
      </c>
      <c r="L4216" s="61" t="e">
        <f>VLOOKUP(K4216,[1]Mapping!$J$3:$Q$351,8,FALSE)</f>
        <v>#N/A</v>
      </c>
      <c r="M4216" t="s">
        <v>83</v>
      </c>
    </row>
    <row r="4217" spans="5:13" hidden="1" x14ac:dyDescent="0.35">
      <c r="E4217" s="81"/>
      <c r="I4217" s="83" t="e">
        <f>VLOOKUP(E4217,[1]Mapping!$A$3:$B$14,2,FALSE)</f>
        <v>#N/A</v>
      </c>
      <c r="J4217" s="84">
        <f t="shared" si="132"/>
        <v>0</v>
      </c>
      <c r="K4217" s="84">
        <f t="shared" si="133"/>
        <v>0</v>
      </c>
      <c r="L4217" s="61" t="e">
        <f>VLOOKUP(K4217,[1]Mapping!$J$3:$Q$351,8,FALSE)</f>
        <v>#N/A</v>
      </c>
      <c r="M4217" t="s">
        <v>83</v>
      </c>
    </row>
    <row r="4218" spans="5:13" hidden="1" x14ac:dyDescent="0.35">
      <c r="E4218" s="81"/>
      <c r="I4218" s="83" t="e">
        <f>VLOOKUP(E4218,[1]Mapping!$A$3:$B$14,2,FALSE)</f>
        <v>#N/A</v>
      </c>
      <c r="J4218" s="84">
        <f t="shared" si="132"/>
        <v>0</v>
      </c>
      <c r="K4218" s="84">
        <f t="shared" si="133"/>
        <v>0</v>
      </c>
      <c r="L4218" s="61" t="e">
        <f>VLOOKUP(K4218,[1]Mapping!$J$3:$Q$351,8,FALSE)</f>
        <v>#N/A</v>
      </c>
      <c r="M4218" t="s">
        <v>83</v>
      </c>
    </row>
    <row r="4219" spans="5:13" hidden="1" x14ac:dyDescent="0.35">
      <c r="E4219" s="81"/>
      <c r="I4219" s="83" t="e">
        <f>VLOOKUP(E4219,[1]Mapping!$A$3:$B$14,2,FALSE)</f>
        <v>#N/A</v>
      </c>
      <c r="J4219" s="84">
        <f t="shared" si="132"/>
        <v>0</v>
      </c>
      <c r="K4219" s="84">
        <f t="shared" si="133"/>
        <v>0</v>
      </c>
      <c r="L4219" s="61" t="e">
        <f>VLOOKUP(K4219,[1]Mapping!$J$3:$Q$351,8,FALSE)</f>
        <v>#N/A</v>
      </c>
      <c r="M4219" t="s">
        <v>83</v>
      </c>
    </row>
    <row r="4220" spans="5:13" hidden="1" x14ac:dyDescent="0.35">
      <c r="E4220" s="81"/>
      <c r="I4220" s="83" t="e">
        <f>VLOOKUP(E4220,[1]Mapping!$A$3:$B$14,2,FALSE)</f>
        <v>#N/A</v>
      </c>
      <c r="J4220" s="84">
        <f t="shared" si="132"/>
        <v>0</v>
      </c>
      <c r="K4220" s="84">
        <f t="shared" si="133"/>
        <v>0</v>
      </c>
      <c r="L4220" s="61" t="e">
        <f>VLOOKUP(K4220,[1]Mapping!$J$3:$Q$351,8,FALSE)</f>
        <v>#N/A</v>
      </c>
      <c r="M4220" t="s">
        <v>83</v>
      </c>
    </row>
    <row r="4221" spans="5:13" hidden="1" x14ac:dyDescent="0.35">
      <c r="E4221" s="81"/>
      <c r="I4221" s="83" t="e">
        <f>VLOOKUP(E4221,[1]Mapping!$A$3:$B$14,2,FALSE)</f>
        <v>#N/A</v>
      </c>
      <c r="J4221" s="84">
        <f t="shared" si="132"/>
        <v>0</v>
      </c>
      <c r="K4221" s="84">
        <f t="shared" si="133"/>
        <v>0</v>
      </c>
      <c r="L4221" s="61" t="e">
        <f>VLOOKUP(K4221,[1]Mapping!$J$3:$Q$351,8,FALSE)</f>
        <v>#N/A</v>
      </c>
      <c r="M4221" t="s">
        <v>83</v>
      </c>
    </row>
    <row r="4222" spans="5:13" hidden="1" x14ac:dyDescent="0.35">
      <c r="E4222" s="81"/>
      <c r="I4222" s="83" t="e">
        <f>VLOOKUP(E4222,[1]Mapping!$A$3:$B$14,2,FALSE)</f>
        <v>#N/A</v>
      </c>
      <c r="J4222" s="84">
        <f t="shared" si="132"/>
        <v>0</v>
      </c>
      <c r="K4222" s="84">
        <f t="shared" si="133"/>
        <v>0</v>
      </c>
      <c r="L4222" s="61" t="e">
        <f>VLOOKUP(K4222,[1]Mapping!$J$3:$Q$351,8,FALSE)</f>
        <v>#N/A</v>
      </c>
      <c r="M4222" t="s">
        <v>83</v>
      </c>
    </row>
    <row r="4223" spans="5:13" hidden="1" x14ac:dyDescent="0.35">
      <c r="E4223" s="81"/>
      <c r="I4223" s="83" t="e">
        <f>VLOOKUP(E4223,[1]Mapping!$A$3:$B$14,2,FALSE)</f>
        <v>#N/A</v>
      </c>
      <c r="J4223" s="84">
        <f t="shared" si="132"/>
        <v>0</v>
      </c>
      <c r="K4223" s="84">
        <f t="shared" si="133"/>
        <v>0</v>
      </c>
      <c r="L4223" s="61" t="e">
        <f>VLOOKUP(K4223,[1]Mapping!$J$3:$Q$351,8,FALSE)</f>
        <v>#N/A</v>
      </c>
      <c r="M4223" t="s">
        <v>83</v>
      </c>
    </row>
    <row r="4224" spans="5:13" hidden="1" x14ac:dyDescent="0.35">
      <c r="E4224" s="81"/>
      <c r="I4224" s="83" t="e">
        <f>VLOOKUP(E4224,[1]Mapping!$A$3:$B$14,2,FALSE)</f>
        <v>#N/A</v>
      </c>
      <c r="J4224" s="84">
        <f t="shared" si="132"/>
        <v>0</v>
      </c>
      <c r="K4224" s="84">
        <f t="shared" si="133"/>
        <v>0</v>
      </c>
      <c r="L4224" s="61" t="e">
        <f>VLOOKUP(K4224,[1]Mapping!$J$3:$Q$351,8,FALSE)</f>
        <v>#N/A</v>
      </c>
      <c r="M4224" t="s">
        <v>83</v>
      </c>
    </row>
    <row r="4225" spans="5:13" hidden="1" x14ac:dyDescent="0.35">
      <c r="E4225" s="81"/>
      <c r="I4225" s="83" t="e">
        <f>VLOOKUP(E4225,[1]Mapping!$A$3:$B$14,2,FALSE)</f>
        <v>#N/A</v>
      </c>
      <c r="J4225" s="84">
        <f t="shared" si="132"/>
        <v>0</v>
      </c>
      <c r="K4225" s="84">
        <f t="shared" si="133"/>
        <v>0</v>
      </c>
      <c r="L4225" s="61" t="e">
        <f>VLOOKUP(K4225,[1]Mapping!$J$3:$Q$351,8,FALSE)</f>
        <v>#N/A</v>
      </c>
      <c r="M4225" t="s">
        <v>83</v>
      </c>
    </row>
    <row r="4226" spans="5:13" hidden="1" x14ac:dyDescent="0.35">
      <c r="E4226" s="81"/>
      <c r="I4226" s="83" t="e">
        <f>VLOOKUP(E4226,[1]Mapping!$A$3:$B$14,2,FALSE)</f>
        <v>#N/A</v>
      </c>
      <c r="J4226" s="84">
        <f t="shared" si="132"/>
        <v>0</v>
      </c>
      <c r="K4226" s="84">
        <f t="shared" si="133"/>
        <v>0</v>
      </c>
      <c r="L4226" s="61" t="e">
        <f>VLOOKUP(K4226,[1]Mapping!$J$3:$Q$351,8,FALSE)</f>
        <v>#N/A</v>
      </c>
      <c r="M4226" t="s">
        <v>83</v>
      </c>
    </row>
    <row r="4227" spans="5:13" hidden="1" x14ac:dyDescent="0.35">
      <c r="E4227" s="81"/>
      <c r="I4227" s="83" t="e">
        <f>VLOOKUP(E4227,[1]Mapping!$A$3:$B$14,2,FALSE)</f>
        <v>#N/A</v>
      </c>
      <c r="J4227" s="84">
        <f t="shared" si="132"/>
        <v>0</v>
      </c>
      <c r="K4227" s="84">
        <f t="shared" si="133"/>
        <v>0</v>
      </c>
      <c r="L4227" s="61" t="e">
        <f>VLOOKUP(K4227,[1]Mapping!$J$3:$Q$351,8,FALSE)</f>
        <v>#N/A</v>
      </c>
      <c r="M4227" t="s">
        <v>83</v>
      </c>
    </row>
    <row r="4228" spans="5:13" hidden="1" x14ac:dyDescent="0.35">
      <c r="E4228" s="81"/>
      <c r="I4228" s="83" t="e">
        <f>VLOOKUP(E4228,[1]Mapping!$A$3:$B$14,2,FALSE)</f>
        <v>#N/A</v>
      </c>
      <c r="J4228" s="84">
        <f t="shared" ref="J4228:J4291" si="134">VALUE(A4228)</f>
        <v>0</v>
      </c>
      <c r="K4228" s="84">
        <f t="shared" ref="K4228:K4291" si="135">VALUE(C4228)</f>
        <v>0</v>
      </c>
      <c r="L4228" s="61" t="e">
        <f>VLOOKUP(K4228,[1]Mapping!$J$3:$Q$351,8,FALSE)</f>
        <v>#N/A</v>
      </c>
      <c r="M4228" t="s">
        <v>83</v>
      </c>
    </row>
    <row r="4229" spans="5:13" hidden="1" x14ac:dyDescent="0.35">
      <c r="E4229" s="81"/>
      <c r="I4229" s="83" t="e">
        <f>VLOOKUP(E4229,[1]Mapping!$A$3:$B$14,2,FALSE)</f>
        <v>#N/A</v>
      </c>
      <c r="J4229" s="84">
        <f t="shared" si="134"/>
        <v>0</v>
      </c>
      <c r="K4229" s="84">
        <f t="shared" si="135"/>
        <v>0</v>
      </c>
      <c r="L4229" s="61" t="e">
        <f>VLOOKUP(K4229,[1]Mapping!$J$3:$Q$351,8,FALSE)</f>
        <v>#N/A</v>
      </c>
      <c r="M4229" t="s">
        <v>83</v>
      </c>
    </row>
    <row r="4230" spans="5:13" hidden="1" x14ac:dyDescent="0.35">
      <c r="E4230" s="81"/>
      <c r="I4230" s="83" t="e">
        <f>VLOOKUP(E4230,[1]Mapping!$A$3:$B$14,2,FALSE)</f>
        <v>#N/A</v>
      </c>
      <c r="J4230" s="84">
        <f t="shared" si="134"/>
        <v>0</v>
      </c>
      <c r="K4230" s="84">
        <f t="shared" si="135"/>
        <v>0</v>
      </c>
      <c r="L4230" s="61" t="e">
        <f>VLOOKUP(K4230,[1]Mapping!$J$3:$Q$351,8,FALSE)</f>
        <v>#N/A</v>
      </c>
      <c r="M4230" t="s">
        <v>83</v>
      </c>
    </row>
    <row r="4231" spans="5:13" hidden="1" x14ac:dyDescent="0.35">
      <c r="E4231" s="81"/>
      <c r="I4231" s="83" t="e">
        <f>VLOOKUP(E4231,[1]Mapping!$A$3:$B$14,2,FALSE)</f>
        <v>#N/A</v>
      </c>
      <c r="J4231" s="84">
        <f t="shared" si="134"/>
        <v>0</v>
      </c>
      <c r="K4231" s="84">
        <f t="shared" si="135"/>
        <v>0</v>
      </c>
      <c r="L4231" s="61" t="e">
        <f>VLOOKUP(K4231,[1]Mapping!$J$3:$Q$351,8,FALSE)</f>
        <v>#N/A</v>
      </c>
      <c r="M4231" t="s">
        <v>83</v>
      </c>
    </row>
    <row r="4232" spans="5:13" hidden="1" x14ac:dyDescent="0.35">
      <c r="E4232" s="81"/>
      <c r="I4232" s="83" t="e">
        <f>VLOOKUP(E4232,[1]Mapping!$A$3:$B$14,2,FALSE)</f>
        <v>#N/A</v>
      </c>
      <c r="J4232" s="84">
        <f t="shared" si="134"/>
        <v>0</v>
      </c>
      <c r="K4232" s="84">
        <f t="shared" si="135"/>
        <v>0</v>
      </c>
      <c r="L4232" s="61" t="e">
        <f>VLOOKUP(K4232,[1]Mapping!$J$3:$Q$351,8,FALSE)</f>
        <v>#N/A</v>
      </c>
      <c r="M4232" t="s">
        <v>83</v>
      </c>
    </row>
    <row r="4233" spans="5:13" hidden="1" x14ac:dyDescent="0.35">
      <c r="E4233" s="81"/>
      <c r="I4233" s="83" t="e">
        <f>VLOOKUP(E4233,[1]Mapping!$A$3:$B$14,2,FALSE)</f>
        <v>#N/A</v>
      </c>
      <c r="J4233" s="84">
        <f t="shared" si="134"/>
        <v>0</v>
      </c>
      <c r="K4233" s="84">
        <f t="shared" si="135"/>
        <v>0</v>
      </c>
      <c r="L4233" s="61" t="e">
        <f>VLOOKUP(K4233,[1]Mapping!$J$3:$Q$351,8,FALSE)</f>
        <v>#N/A</v>
      </c>
      <c r="M4233" t="s">
        <v>83</v>
      </c>
    </row>
    <row r="4234" spans="5:13" hidden="1" x14ac:dyDescent="0.35">
      <c r="E4234" s="81"/>
      <c r="I4234" s="83" t="e">
        <f>VLOOKUP(E4234,[1]Mapping!$A$3:$B$14,2,FALSE)</f>
        <v>#N/A</v>
      </c>
      <c r="J4234" s="84">
        <f t="shared" si="134"/>
        <v>0</v>
      </c>
      <c r="K4234" s="84">
        <f t="shared" si="135"/>
        <v>0</v>
      </c>
      <c r="L4234" s="61" t="e">
        <f>VLOOKUP(K4234,[1]Mapping!$J$3:$Q$351,8,FALSE)</f>
        <v>#N/A</v>
      </c>
      <c r="M4234" t="s">
        <v>83</v>
      </c>
    </row>
    <row r="4235" spans="5:13" hidden="1" x14ac:dyDescent="0.35">
      <c r="E4235" s="81"/>
      <c r="I4235" s="83" t="e">
        <f>VLOOKUP(E4235,[1]Mapping!$A$3:$B$14,2,FALSE)</f>
        <v>#N/A</v>
      </c>
      <c r="J4235" s="84">
        <f t="shared" si="134"/>
        <v>0</v>
      </c>
      <c r="K4235" s="84">
        <f t="shared" si="135"/>
        <v>0</v>
      </c>
      <c r="L4235" s="61" t="e">
        <f>VLOOKUP(K4235,[1]Mapping!$J$3:$Q$351,8,FALSE)</f>
        <v>#N/A</v>
      </c>
      <c r="M4235" t="s">
        <v>83</v>
      </c>
    </row>
    <row r="4236" spans="5:13" hidden="1" x14ac:dyDescent="0.35">
      <c r="E4236" s="81"/>
      <c r="I4236" s="83" t="e">
        <f>VLOOKUP(E4236,[1]Mapping!$A$3:$B$14,2,FALSE)</f>
        <v>#N/A</v>
      </c>
      <c r="J4236" s="84">
        <f t="shared" si="134"/>
        <v>0</v>
      </c>
      <c r="K4236" s="84">
        <f t="shared" si="135"/>
        <v>0</v>
      </c>
      <c r="L4236" s="61" t="e">
        <f>VLOOKUP(K4236,[1]Mapping!$J$3:$Q$351,8,FALSE)</f>
        <v>#N/A</v>
      </c>
      <c r="M4236" t="s">
        <v>83</v>
      </c>
    </row>
    <row r="4237" spans="5:13" hidden="1" x14ac:dyDescent="0.35">
      <c r="E4237" s="81"/>
      <c r="I4237" s="83" t="e">
        <f>VLOOKUP(E4237,[1]Mapping!$A$3:$B$14,2,FALSE)</f>
        <v>#N/A</v>
      </c>
      <c r="J4237" s="84">
        <f t="shared" si="134"/>
        <v>0</v>
      </c>
      <c r="K4237" s="84">
        <f t="shared" si="135"/>
        <v>0</v>
      </c>
      <c r="L4237" s="61" t="e">
        <f>VLOOKUP(K4237,[1]Mapping!$J$3:$Q$351,8,FALSE)</f>
        <v>#N/A</v>
      </c>
      <c r="M4237" t="s">
        <v>83</v>
      </c>
    </row>
    <row r="4238" spans="5:13" hidden="1" x14ac:dyDescent="0.35">
      <c r="E4238" s="81"/>
      <c r="I4238" s="83" t="e">
        <f>VLOOKUP(E4238,[1]Mapping!$A$3:$B$14,2,FALSE)</f>
        <v>#N/A</v>
      </c>
      <c r="J4238" s="84">
        <f t="shared" si="134"/>
        <v>0</v>
      </c>
      <c r="K4238" s="84">
        <f t="shared" si="135"/>
        <v>0</v>
      </c>
      <c r="L4238" s="61" t="e">
        <f>VLOOKUP(K4238,[1]Mapping!$J$3:$Q$351,8,FALSE)</f>
        <v>#N/A</v>
      </c>
      <c r="M4238" t="s">
        <v>83</v>
      </c>
    </row>
    <row r="4239" spans="5:13" hidden="1" x14ac:dyDescent="0.35">
      <c r="E4239" s="81"/>
      <c r="I4239" s="83" t="e">
        <f>VLOOKUP(E4239,[1]Mapping!$A$3:$B$14,2,FALSE)</f>
        <v>#N/A</v>
      </c>
      <c r="J4239" s="84">
        <f t="shared" si="134"/>
        <v>0</v>
      </c>
      <c r="K4239" s="84">
        <f t="shared" si="135"/>
        <v>0</v>
      </c>
      <c r="L4239" s="61" t="e">
        <f>VLOOKUP(K4239,[1]Mapping!$J$3:$Q$351,8,FALSE)</f>
        <v>#N/A</v>
      </c>
      <c r="M4239" t="s">
        <v>83</v>
      </c>
    </row>
    <row r="4240" spans="5:13" hidden="1" x14ac:dyDescent="0.35">
      <c r="E4240" s="81"/>
      <c r="I4240" s="83" t="e">
        <f>VLOOKUP(E4240,[1]Mapping!$A$3:$B$14,2,FALSE)</f>
        <v>#N/A</v>
      </c>
      <c r="J4240" s="84">
        <f t="shared" si="134"/>
        <v>0</v>
      </c>
      <c r="K4240" s="84">
        <f t="shared" si="135"/>
        <v>0</v>
      </c>
      <c r="L4240" s="61" t="e">
        <f>VLOOKUP(K4240,[1]Mapping!$J$3:$Q$351,8,FALSE)</f>
        <v>#N/A</v>
      </c>
      <c r="M4240" t="s">
        <v>83</v>
      </c>
    </row>
    <row r="4241" spans="5:13" hidden="1" x14ac:dyDescent="0.35">
      <c r="E4241" s="81"/>
      <c r="I4241" s="83" t="e">
        <f>VLOOKUP(E4241,[1]Mapping!$A$3:$B$14,2,FALSE)</f>
        <v>#N/A</v>
      </c>
      <c r="J4241" s="84">
        <f t="shared" si="134"/>
        <v>0</v>
      </c>
      <c r="K4241" s="84">
        <f t="shared" si="135"/>
        <v>0</v>
      </c>
      <c r="L4241" s="61" t="e">
        <f>VLOOKUP(K4241,[1]Mapping!$J$3:$Q$351,8,FALSE)</f>
        <v>#N/A</v>
      </c>
      <c r="M4241" t="s">
        <v>83</v>
      </c>
    </row>
    <row r="4242" spans="5:13" hidden="1" x14ac:dyDescent="0.35">
      <c r="E4242" s="81"/>
      <c r="I4242" s="83" t="e">
        <f>VLOOKUP(E4242,[1]Mapping!$A$3:$B$14,2,FALSE)</f>
        <v>#N/A</v>
      </c>
      <c r="J4242" s="84">
        <f t="shared" si="134"/>
        <v>0</v>
      </c>
      <c r="K4242" s="84">
        <f t="shared" si="135"/>
        <v>0</v>
      </c>
      <c r="L4242" s="61" t="e">
        <f>VLOOKUP(K4242,[1]Mapping!$J$3:$Q$351,8,FALSE)</f>
        <v>#N/A</v>
      </c>
      <c r="M4242" t="s">
        <v>83</v>
      </c>
    </row>
    <row r="4243" spans="5:13" hidden="1" x14ac:dyDescent="0.35">
      <c r="E4243" s="81"/>
      <c r="I4243" s="83" t="e">
        <f>VLOOKUP(E4243,[1]Mapping!$A$3:$B$14,2,FALSE)</f>
        <v>#N/A</v>
      </c>
      <c r="J4243" s="84">
        <f t="shared" si="134"/>
        <v>0</v>
      </c>
      <c r="K4243" s="84">
        <f t="shared" si="135"/>
        <v>0</v>
      </c>
      <c r="L4243" s="61" t="e">
        <f>VLOOKUP(K4243,[1]Mapping!$J$3:$Q$351,8,FALSE)</f>
        <v>#N/A</v>
      </c>
      <c r="M4243" t="s">
        <v>83</v>
      </c>
    </row>
    <row r="4244" spans="5:13" hidden="1" x14ac:dyDescent="0.35">
      <c r="E4244" s="81"/>
      <c r="I4244" s="83" t="e">
        <f>VLOOKUP(E4244,[1]Mapping!$A$3:$B$14,2,FALSE)</f>
        <v>#N/A</v>
      </c>
      <c r="J4244" s="84">
        <f t="shared" si="134"/>
        <v>0</v>
      </c>
      <c r="K4244" s="84">
        <f t="shared" si="135"/>
        <v>0</v>
      </c>
      <c r="L4244" s="61" t="e">
        <f>VLOOKUP(K4244,[1]Mapping!$J$3:$Q$351,8,FALSE)</f>
        <v>#N/A</v>
      </c>
      <c r="M4244" t="s">
        <v>83</v>
      </c>
    </row>
    <row r="4245" spans="5:13" hidden="1" x14ac:dyDescent="0.35">
      <c r="E4245" s="81"/>
      <c r="I4245" s="83" t="e">
        <f>VLOOKUP(E4245,[1]Mapping!$A$3:$B$14,2,FALSE)</f>
        <v>#N/A</v>
      </c>
      <c r="J4245" s="84">
        <f t="shared" si="134"/>
        <v>0</v>
      </c>
      <c r="K4245" s="84">
        <f t="shared" si="135"/>
        <v>0</v>
      </c>
      <c r="L4245" s="61" t="e">
        <f>VLOOKUP(K4245,[1]Mapping!$J$3:$Q$351,8,FALSE)</f>
        <v>#N/A</v>
      </c>
      <c r="M4245" t="s">
        <v>83</v>
      </c>
    </row>
    <row r="4246" spans="5:13" hidden="1" x14ac:dyDescent="0.35">
      <c r="E4246" s="81"/>
      <c r="I4246" s="83" t="e">
        <f>VLOOKUP(E4246,[1]Mapping!$A$3:$B$14,2,FALSE)</f>
        <v>#N/A</v>
      </c>
      <c r="J4246" s="84">
        <f t="shared" si="134"/>
        <v>0</v>
      </c>
      <c r="K4246" s="84">
        <f t="shared" si="135"/>
        <v>0</v>
      </c>
      <c r="L4246" s="61" t="e">
        <f>VLOOKUP(K4246,[1]Mapping!$J$3:$Q$351,8,FALSE)</f>
        <v>#N/A</v>
      </c>
      <c r="M4246" t="s">
        <v>83</v>
      </c>
    </row>
    <row r="4247" spans="5:13" hidden="1" x14ac:dyDescent="0.35">
      <c r="E4247" s="81"/>
      <c r="I4247" s="83" t="e">
        <f>VLOOKUP(E4247,[1]Mapping!$A$3:$B$14,2,FALSE)</f>
        <v>#N/A</v>
      </c>
      <c r="J4247" s="84">
        <f t="shared" si="134"/>
        <v>0</v>
      </c>
      <c r="K4247" s="84">
        <f t="shared" si="135"/>
        <v>0</v>
      </c>
      <c r="L4247" s="61" t="e">
        <f>VLOOKUP(K4247,[1]Mapping!$J$3:$Q$351,8,FALSE)</f>
        <v>#N/A</v>
      </c>
      <c r="M4247" t="s">
        <v>83</v>
      </c>
    </row>
    <row r="4248" spans="5:13" hidden="1" x14ac:dyDescent="0.35">
      <c r="E4248" s="81"/>
      <c r="I4248" s="83" t="e">
        <f>VLOOKUP(E4248,[1]Mapping!$A$3:$B$14,2,FALSE)</f>
        <v>#N/A</v>
      </c>
      <c r="J4248" s="84">
        <f t="shared" si="134"/>
        <v>0</v>
      </c>
      <c r="K4248" s="84">
        <f t="shared" si="135"/>
        <v>0</v>
      </c>
      <c r="L4248" s="61" t="e">
        <f>VLOOKUP(K4248,[1]Mapping!$J$3:$Q$351,8,FALSE)</f>
        <v>#N/A</v>
      </c>
      <c r="M4248" t="s">
        <v>83</v>
      </c>
    </row>
    <row r="4249" spans="5:13" hidden="1" x14ac:dyDescent="0.35">
      <c r="E4249" s="81"/>
      <c r="I4249" s="83" t="e">
        <f>VLOOKUP(E4249,[1]Mapping!$A$3:$B$14,2,FALSE)</f>
        <v>#N/A</v>
      </c>
      <c r="J4249" s="84">
        <f t="shared" si="134"/>
        <v>0</v>
      </c>
      <c r="K4249" s="84">
        <f t="shared" si="135"/>
        <v>0</v>
      </c>
      <c r="L4249" s="61" t="e">
        <f>VLOOKUP(K4249,[1]Mapping!$J$3:$Q$351,8,FALSE)</f>
        <v>#N/A</v>
      </c>
      <c r="M4249" t="s">
        <v>83</v>
      </c>
    </row>
    <row r="4250" spans="5:13" hidden="1" x14ac:dyDescent="0.35">
      <c r="E4250" s="81"/>
      <c r="I4250" s="83" t="e">
        <f>VLOOKUP(E4250,[1]Mapping!$A$3:$B$14,2,FALSE)</f>
        <v>#N/A</v>
      </c>
      <c r="J4250" s="84">
        <f t="shared" si="134"/>
        <v>0</v>
      </c>
      <c r="K4250" s="84">
        <f t="shared" si="135"/>
        <v>0</v>
      </c>
      <c r="L4250" s="61" t="e">
        <f>VLOOKUP(K4250,[1]Mapping!$J$3:$Q$351,8,FALSE)</f>
        <v>#N/A</v>
      </c>
      <c r="M4250" t="s">
        <v>83</v>
      </c>
    </row>
    <row r="4251" spans="5:13" hidden="1" x14ac:dyDescent="0.35">
      <c r="E4251" s="81"/>
      <c r="I4251" s="83" t="e">
        <f>VLOOKUP(E4251,[1]Mapping!$A$3:$B$14,2,FALSE)</f>
        <v>#N/A</v>
      </c>
      <c r="J4251" s="84">
        <f t="shared" si="134"/>
        <v>0</v>
      </c>
      <c r="K4251" s="84">
        <f t="shared" si="135"/>
        <v>0</v>
      </c>
      <c r="L4251" s="61" t="e">
        <f>VLOOKUP(K4251,[1]Mapping!$J$3:$Q$351,8,FALSE)</f>
        <v>#N/A</v>
      </c>
      <c r="M4251" t="s">
        <v>83</v>
      </c>
    </row>
    <row r="4252" spans="5:13" hidden="1" x14ac:dyDescent="0.35">
      <c r="E4252" s="81"/>
      <c r="I4252" s="83" t="e">
        <f>VLOOKUP(E4252,[1]Mapping!$A$3:$B$14,2,FALSE)</f>
        <v>#N/A</v>
      </c>
      <c r="J4252" s="84">
        <f t="shared" si="134"/>
        <v>0</v>
      </c>
      <c r="K4252" s="84">
        <f t="shared" si="135"/>
        <v>0</v>
      </c>
      <c r="L4252" s="61" t="e">
        <f>VLOOKUP(K4252,[1]Mapping!$J$3:$Q$351,8,FALSE)</f>
        <v>#N/A</v>
      </c>
      <c r="M4252" t="s">
        <v>83</v>
      </c>
    </row>
    <row r="4253" spans="5:13" hidden="1" x14ac:dyDescent="0.35">
      <c r="E4253" s="81"/>
      <c r="I4253" s="83" t="e">
        <f>VLOOKUP(E4253,[1]Mapping!$A$3:$B$14,2,FALSE)</f>
        <v>#N/A</v>
      </c>
      <c r="J4253" s="84">
        <f t="shared" si="134"/>
        <v>0</v>
      </c>
      <c r="K4253" s="84">
        <f t="shared" si="135"/>
        <v>0</v>
      </c>
      <c r="L4253" s="61" t="e">
        <f>VLOOKUP(K4253,[1]Mapping!$J$3:$Q$351,8,FALSE)</f>
        <v>#N/A</v>
      </c>
      <c r="M4253" t="s">
        <v>83</v>
      </c>
    </row>
    <row r="4254" spans="5:13" hidden="1" x14ac:dyDescent="0.35">
      <c r="E4254" s="81"/>
      <c r="I4254" s="83" t="e">
        <f>VLOOKUP(E4254,[1]Mapping!$A$3:$B$14,2,FALSE)</f>
        <v>#N/A</v>
      </c>
      <c r="J4254" s="84">
        <f t="shared" si="134"/>
        <v>0</v>
      </c>
      <c r="K4254" s="84">
        <f t="shared" si="135"/>
        <v>0</v>
      </c>
      <c r="L4254" s="61" t="e">
        <f>VLOOKUP(K4254,[1]Mapping!$J$3:$Q$351,8,FALSE)</f>
        <v>#N/A</v>
      </c>
      <c r="M4254" t="s">
        <v>83</v>
      </c>
    </row>
    <row r="4255" spans="5:13" hidden="1" x14ac:dyDescent="0.35">
      <c r="E4255" s="81"/>
      <c r="I4255" s="83" t="e">
        <f>VLOOKUP(E4255,[1]Mapping!$A$3:$B$14,2,FALSE)</f>
        <v>#N/A</v>
      </c>
      <c r="J4255" s="84">
        <f t="shared" si="134"/>
        <v>0</v>
      </c>
      <c r="K4255" s="84">
        <f t="shared" si="135"/>
        <v>0</v>
      </c>
      <c r="L4255" s="61" t="e">
        <f>VLOOKUP(K4255,[1]Mapping!$J$3:$Q$351,8,FALSE)</f>
        <v>#N/A</v>
      </c>
      <c r="M4255" t="s">
        <v>83</v>
      </c>
    </row>
    <row r="4256" spans="5:13" hidden="1" x14ac:dyDescent="0.35">
      <c r="E4256" s="81"/>
      <c r="I4256" s="83" t="e">
        <f>VLOOKUP(E4256,[1]Mapping!$A$3:$B$14,2,FALSE)</f>
        <v>#N/A</v>
      </c>
      <c r="J4256" s="84">
        <f t="shared" si="134"/>
        <v>0</v>
      </c>
      <c r="K4256" s="84">
        <f t="shared" si="135"/>
        <v>0</v>
      </c>
      <c r="L4256" s="61" t="e">
        <f>VLOOKUP(K4256,[1]Mapping!$J$3:$Q$351,8,FALSE)</f>
        <v>#N/A</v>
      </c>
      <c r="M4256" t="s">
        <v>83</v>
      </c>
    </row>
    <row r="4257" spans="5:13" hidden="1" x14ac:dyDescent="0.35">
      <c r="E4257" s="81"/>
      <c r="I4257" s="83" t="e">
        <f>VLOOKUP(E4257,[1]Mapping!$A$3:$B$14,2,FALSE)</f>
        <v>#N/A</v>
      </c>
      <c r="J4257" s="84">
        <f t="shared" si="134"/>
        <v>0</v>
      </c>
      <c r="K4257" s="84">
        <f t="shared" si="135"/>
        <v>0</v>
      </c>
      <c r="L4257" s="61" t="e">
        <f>VLOOKUP(K4257,[1]Mapping!$J$3:$Q$351,8,FALSE)</f>
        <v>#N/A</v>
      </c>
      <c r="M4257" t="s">
        <v>83</v>
      </c>
    </row>
    <row r="4258" spans="5:13" hidden="1" x14ac:dyDescent="0.35">
      <c r="E4258" s="81"/>
      <c r="I4258" s="83" t="e">
        <f>VLOOKUP(E4258,[1]Mapping!$A$3:$B$14,2,FALSE)</f>
        <v>#N/A</v>
      </c>
      <c r="J4258" s="84">
        <f t="shared" si="134"/>
        <v>0</v>
      </c>
      <c r="K4258" s="84">
        <f t="shared" si="135"/>
        <v>0</v>
      </c>
      <c r="L4258" s="61" t="e">
        <f>VLOOKUP(K4258,[1]Mapping!$J$3:$Q$351,8,FALSE)</f>
        <v>#N/A</v>
      </c>
      <c r="M4258" t="s">
        <v>83</v>
      </c>
    </row>
    <row r="4259" spans="5:13" hidden="1" x14ac:dyDescent="0.35">
      <c r="E4259" s="81"/>
      <c r="I4259" s="83" t="e">
        <f>VLOOKUP(E4259,[1]Mapping!$A$3:$B$14,2,FALSE)</f>
        <v>#N/A</v>
      </c>
      <c r="J4259" s="84">
        <f t="shared" si="134"/>
        <v>0</v>
      </c>
      <c r="K4259" s="84">
        <f t="shared" si="135"/>
        <v>0</v>
      </c>
      <c r="L4259" s="61" t="e">
        <f>VLOOKUP(K4259,[1]Mapping!$J$3:$Q$351,8,FALSE)</f>
        <v>#N/A</v>
      </c>
      <c r="M4259" t="s">
        <v>83</v>
      </c>
    </row>
    <row r="4260" spans="5:13" hidden="1" x14ac:dyDescent="0.35">
      <c r="E4260" s="81"/>
      <c r="I4260" s="83" t="e">
        <f>VLOOKUP(E4260,[1]Mapping!$A$3:$B$14,2,FALSE)</f>
        <v>#N/A</v>
      </c>
      <c r="J4260" s="84">
        <f t="shared" si="134"/>
        <v>0</v>
      </c>
      <c r="K4260" s="84">
        <f t="shared" si="135"/>
        <v>0</v>
      </c>
      <c r="L4260" s="61" t="e">
        <f>VLOOKUP(K4260,[1]Mapping!$J$3:$Q$351,8,FALSE)</f>
        <v>#N/A</v>
      </c>
      <c r="M4260" t="s">
        <v>83</v>
      </c>
    </row>
    <row r="4261" spans="5:13" hidden="1" x14ac:dyDescent="0.35">
      <c r="E4261" s="81"/>
      <c r="I4261" s="83" t="e">
        <f>VLOOKUP(E4261,[1]Mapping!$A$3:$B$14,2,FALSE)</f>
        <v>#N/A</v>
      </c>
      <c r="J4261" s="84">
        <f t="shared" si="134"/>
        <v>0</v>
      </c>
      <c r="K4261" s="84">
        <f t="shared" si="135"/>
        <v>0</v>
      </c>
      <c r="L4261" s="61" t="e">
        <f>VLOOKUP(K4261,[1]Mapping!$J$3:$Q$351,8,FALSE)</f>
        <v>#N/A</v>
      </c>
      <c r="M4261" t="s">
        <v>83</v>
      </c>
    </row>
    <row r="4262" spans="5:13" hidden="1" x14ac:dyDescent="0.35">
      <c r="E4262" s="81"/>
      <c r="I4262" s="83" t="e">
        <f>VLOOKUP(E4262,[1]Mapping!$A$3:$B$14,2,FALSE)</f>
        <v>#N/A</v>
      </c>
      <c r="J4262" s="84">
        <f t="shared" si="134"/>
        <v>0</v>
      </c>
      <c r="K4262" s="84">
        <f t="shared" si="135"/>
        <v>0</v>
      </c>
      <c r="L4262" s="61" t="e">
        <f>VLOOKUP(K4262,[1]Mapping!$J$3:$Q$351,8,FALSE)</f>
        <v>#N/A</v>
      </c>
      <c r="M4262" t="s">
        <v>83</v>
      </c>
    </row>
    <row r="4263" spans="5:13" hidden="1" x14ac:dyDescent="0.35">
      <c r="E4263" s="81"/>
      <c r="I4263" s="83" t="e">
        <f>VLOOKUP(E4263,[1]Mapping!$A$3:$B$14,2,FALSE)</f>
        <v>#N/A</v>
      </c>
      <c r="J4263" s="84">
        <f t="shared" si="134"/>
        <v>0</v>
      </c>
      <c r="K4263" s="84">
        <f t="shared" si="135"/>
        <v>0</v>
      </c>
      <c r="L4263" s="61" t="e">
        <f>VLOOKUP(K4263,[1]Mapping!$J$3:$Q$351,8,FALSE)</f>
        <v>#N/A</v>
      </c>
      <c r="M4263" t="s">
        <v>83</v>
      </c>
    </row>
    <row r="4264" spans="5:13" hidden="1" x14ac:dyDescent="0.35">
      <c r="E4264" s="81"/>
      <c r="I4264" s="83" t="e">
        <f>VLOOKUP(E4264,[1]Mapping!$A$3:$B$14,2,FALSE)</f>
        <v>#N/A</v>
      </c>
      <c r="J4264" s="84">
        <f t="shared" si="134"/>
        <v>0</v>
      </c>
      <c r="K4264" s="84">
        <f t="shared" si="135"/>
        <v>0</v>
      </c>
      <c r="L4264" s="61" t="e">
        <f>VLOOKUP(K4264,[1]Mapping!$J$3:$Q$351,8,FALSE)</f>
        <v>#N/A</v>
      </c>
      <c r="M4264" t="s">
        <v>83</v>
      </c>
    </row>
    <row r="4265" spans="5:13" hidden="1" x14ac:dyDescent="0.35">
      <c r="E4265" s="81"/>
      <c r="I4265" s="83" t="e">
        <f>VLOOKUP(E4265,[1]Mapping!$A$3:$B$14,2,FALSE)</f>
        <v>#N/A</v>
      </c>
      <c r="J4265" s="84">
        <f t="shared" si="134"/>
        <v>0</v>
      </c>
      <c r="K4265" s="84">
        <f t="shared" si="135"/>
        <v>0</v>
      </c>
      <c r="L4265" s="61" t="e">
        <f>VLOOKUP(K4265,[1]Mapping!$J$3:$Q$351,8,FALSE)</f>
        <v>#N/A</v>
      </c>
      <c r="M4265" t="s">
        <v>83</v>
      </c>
    </row>
    <row r="4266" spans="5:13" hidden="1" x14ac:dyDescent="0.35">
      <c r="E4266" s="81"/>
      <c r="I4266" s="83" t="e">
        <f>VLOOKUP(E4266,[1]Mapping!$A$3:$B$14,2,FALSE)</f>
        <v>#N/A</v>
      </c>
      <c r="J4266" s="84">
        <f t="shared" si="134"/>
        <v>0</v>
      </c>
      <c r="K4266" s="84">
        <f t="shared" si="135"/>
        <v>0</v>
      </c>
      <c r="L4266" s="61" t="e">
        <f>VLOOKUP(K4266,[1]Mapping!$J$3:$Q$351,8,FALSE)</f>
        <v>#N/A</v>
      </c>
      <c r="M4266" t="s">
        <v>83</v>
      </c>
    </row>
    <row r="4267" spans="5:13" hidden="1" x14ac:dyDescent="0.35">
      <c r="E4267" s="81"/>
      <c r="I4267" s="83" t="e">
        <f>VLOOKUP(E4267,[1]Mapping!$A$3:$B$14,2,FALSE)</f>
        <v>#N/A</v>
      </c>
      <c r="J4267" s="84">
        <f t="shared" si="134"/>
        <v>0</v>
      </c>
      <c r="K4267" s="84">
        <f t="shared" si="135"/>
        <v>0</v>
      </c>
      <c r="L4267" s="61" t="e">
        <f>VLOOKUP(K4267,[1]Mapping!$J$3:$Q$351,8,FALSE)</f>
        <v>#N/A</v>
      </c>
      <c r="M4267" t="s">
        <v>83</v>
      </c>
    </row>
    <row r="4268" spans="5:13" hidden="1" x14ac:dyDescent="0.35">
      <c r="E4268" s="81"/>
      <c r="I4268" s="83" t="e">
        <f>VLOOKUP(E4268,[1]Mapping!$A$3:$B$14,2,FALSE)</f>
        <v>#N/A</v>
      </c>
      <c r="J4268" s="84">
        <f t="shared" si="134"/>
        <v>0</v>
      </c>
      <c r="K4268" s="84">
        <f t="shared" si="135"/>
        <v>0</v>
      </c>
      <c r="L4268" s="61" t="e">
        <f>VLOOKUP(K4268,[1]Mapping!$J$3:$Q$351,8,FALSE)</f>
        <v>#N/A</v>
      </c>
      <c r="M4268" t="s">
        <v>83</v>
      </c>
    </row>
    <row r="4269" spans="5:13" hidden="1" x14ac:dyDescent="0.35">
      <c r="E4269" s="81"/>
      <c r="I4269" s="83" t="e">
        <f>VLOOKUP(E4269,[1]Mapping!$A$3:$B$14,2,FALSE)</f>
        <v>#N/A</v>
      </c>
      <c r="J4269" s="84">
        <f t="shared" si="134"/>
        <v>0</v>
      </c>
      <c r="K4269" s="84">
        <f t="shared" si="135"/>
        <v>0</v>
      </c>
      <c r="L4269" s="61" t="e">
        <f>VLOOKUP(K4269,[1]Mapping!$J$3:$Q$351,8,FALSE)</f>
        <v>#N/A</v>
      </c>
      <c r="M4269" t="s">
        <v>83</v>
      </c>
    </row>
    <row r="4270" spans="5:13" hidden="1" x14ac:dyDescent="0.35">
      <c r="E4270" s="81"/>
      <c r="I4270" s="83" t="e">
        <f>VLOOKUP(E4270,[1]Mapping!$A$3:$B$14,2,FALSE)</f>
        <v>#N/A</v>
      </c>
      <c r="J4270" s="84">
        <f t="shared" si="134"/>
        <v>0</v>
      </c>
      <c r="K4270" s="84">
        <f t="shared" si="135"/>
        <v>0</v>
      </c>
      <c r="L4270" s="61" t="e">
        <f>VLOOKUP(K4270,[1]Mapping!$J$3:$Q$351,8,FALSE)</f>
        <v>#N/A</v>
      </c>
      <c r="M4270" t="s">
        <v>83</v>
      </c>
    </row>
    <row r="4271" spans="5:13" hidden="1" x14ac:dyDescent="0.35">
      <c r="E4271" s="81"/>
      <c r="I4271" s="83" t="e">
        <f>VLOOKUP(E4271,[1]Mapping!$A$3:$B$14,2,FALSE)</f>
        <v>#N/A</v>
      </c>
      <c r="J4271" s="84">
        <f t="shared" si="134"/>
        <v>0</v>
      </c>
      <c r="K4271" s="84">
        <f t="shared" si="135"/>
        <v>0</v>
      </c>
      <c r="L4271" s="61" t="e">
        <f>VLOOKUP(K4271,[1]Mapping!$J$3:$Q$351,8,FALSE)</f>
        <v>#N/A</v>
      </c>
      <c r="M4271" t="s">
        <v>83</v>
      </c>
    </row>
    <row r="4272" spans="5:13" hidden="1" x14ac:dyDescent="0.35">
      <c r="E4272" s="81"/>
      <c r="I4272" s="83" t="e">
        <f>VLOOKUP(E4272,[1]Mapping!$A$3:$B$14,2,FALSE)</f>
        <v>#N/A</v>
      </c>
      <c r="J4272" s="84">
        <f t="shared" si="134"/>
        <v>0</v>
      </c>
      <c r="K4272" s="84">
        <f t="shared" si="135"/>
        <v>0</v>
      </c>
      <c r="L4272" s="61" t="e">
        <f>VLOOKUP(K4272,[1]Mapping!$J$3:$Q$351,8,FALSE)</f>
        <v>#N/A</v>
      </c>
      <c r="M4272" t="s">
        <v>83</v>
      </c>
    </row>
    <row r="4273" spans="5:13" hidden="1" x14ac:dyDescent="0.35">
      <c r="E4273" s="81"/>
      <c r="I4273" s="83" t="e">
        <f>VLOOKUP(E4273,[1]Mapping!$A$3:$B$14,2,FALSE)</f>
        <v>#N/A</v>
      </c>
      <c r="J4273" s="84">
        <f t="shared" si="134"/>
        <v>0</v>
      </c>
      <c r="K4273" s="84">
        <f t="shared" si="135"/>
        <v>0</v>
      </c>
      <c r="L4273" s="61" t="e">
        <f>VLOOKUP(K4273,[1]Mapping!$J$3:$Q$351,8,FALSE)</f>
        <v>#N/A</v>
      </c>
      <c r="M4273" t="s">
        <v>83</v>
      </c>
    </row>
    <row r="4274" spans="5:13" hidden="1" x14ac:dyDescent="0.35">
      <c r="E4274" s="81"/>
      <c r="I4274" s="83" t="e">
        <f>VLOOKUP(E4274,[1]Mapping!$A$3:$B$14,2,FALSE)</f>
        <v>#N/A</v>
      </c>
      <c r="J4274" s="84">
        <f t="shared" si="134"/>
        <v>0</v>
      </c>
      <c r="K4274" s="84">
        <f t="shared" si="135"/>
        <v>0</v>
      </c>
      <c r="L4274" s="61" t="e">
        <f>VLOOKUP(K4274,[1]Mapping!$J$3:$Q$351,8,FALSE)</f>
        <v>#N/A</v>
      </c>
      <c r="M4274" t="s">
        <v>83</v>
      </c>
    </row>
    <row r="4275" spans="5:13" hidden="1" x14ac:dyDescent="0.35">
      <c r="E4275" s="81"/>
      <c r="I4275" s="83" t="e">
        <f>VLOOKUP(E4275,[1]Mapping!$A$3:$B$14,2,FALSE)</f>
        <v>#N/A</v>
      </c>
      <c r="J4275" s="84">
        <f t="shared" si="134"/>
        <v>0</v>
      </c>
      <c r="K4275" s="84">
        <f t="shared" si="135"/>
        <v>0</v>
      </c>
      <c r="L4275" s="61" t="e">
        <f>VLOOKUP(K4275,[1]Mapping!$J$3:$Q$351,8,FALSE)</f>
        <v>#N/A</v>
      </c>
      <c r="M4275" t="s">
        <v>83</v>
      </c>
    </row>
    <row r="4276" spans="5:13" hidden="1" x14ac:dyDescent="0.35">
      <c r="E4276" s="81"/>
      <c r="I4276" s="83" t="e">
        <f>VLOOKUP(E4276,[1]Mapping!$A$3:$B$14,2,FALSE)</f>
        <v>#N/A</v>
      </c>
      <c r="J4276" s="84">
        <f t="shared" si="134"/>
        <v>0</v>
      </c>
      <c r="K4276" s="84">
        <f t="shared" si="135"/>
        <v>0</v>
      </c>
      <c r="L4276" s="61" t="e">
        <f>VLOOKUP(K4276,[1]Mapping!$J$3:$Q$351,8,FALSE)</f>
        <v>#N/A</v>
      </c>
      <c r="M4276" t="s">
        <v>83</v>
      </c>
    </row>
    <row r="4277" spans="5:13" hidden="1" x14ac:dyDescent="0.35">
      <c r="E4277" s="81"/>
      <c r="I4277" s="83" t="e">
        <f>VLOOKUP(E4277,[1]Mapping!$A$3:$B$14,2,FALSE)</f>
        <v>#N/A</v>
      </c>
      <c r="J4277" s="84">
        <f t="shared" si="134"/>
        <v>0</v>
      </c>
      <c r="K4277" s="84">
        <f t="shared" si="135"/>
        <v>0</v>
      </c>
      <c r="L4277" s="61" t="e">
        <f>VLOOKUP(K4277,[1]Mapping!$J$3:$Q$351,8,FALSE)</f>
        <v>#N/A</v>
      </c>
      <c r="M4277" t="s">
        <v>83</v>
      </c>
    </row>
    <row r="4278" spans="5:13" hidden="1" x14ac:dyDescent="0.35">
      <c r="E4278" s="81"/>
      <c r="I4278" s="83" t="e">
        <f>VLOOKUP(E4278,[1]Mapping!$A$3:$B$14,2,FALSE)</f>
        <v>#N/A</v>
      </c>
      <c r="J4278" s="84">
        <f t="shared" si="134"/>
        <v>0</v>
      </c>
      <c r="K4278" s="84">
        <f t="shared" si="135"/>
        <v>0</v>
      </c>
      <c r="L4278" s="61" t="e">
        <f>VLOOKUP(K4278,[1]Mapping!$J$3:$Q$351,8,FALSE)</f>
        <v>#N/A</v>
      </c>
      <c r="M4278" t="s">
        <v>83</v>
      </c>
    </row>
    <row r="4279" spans="5:13" hidden="1" x14ac:dyDescent="0.35">
      <c r="E4279" s="81"/>
      <c r="I4279" s="83" t="e">
        <f>VLOOKUP(E4279,[1]Mapping!$A$3:$B$14,2,FALSE)</f>
        <v>#N/A</v>
      </c>
      <c r="J4279" s="84">
        <f t="shared" si="134"/>
        <v>0</v>
      </c>
      <c r="K4279" s="84">
        <f t="shared" si="135"/>
        <v>0</v>
      </c>
      <c r="L4279" s="61" t="e">
        <f>VLOOKUP(K4279,[1]Mapping!$J$3:$Q$351,8,FALSE)</f>
        <v>#N/A</v>
      </c>
      <c r="M4279" t="s">
        <v>83</v>
      </c>
    </row>
    <row r="4280" spans="5:13" hidden="1" x14ac:dyDescent="0.35">
      <c r="E4280" s="81"/>
      <c r="I4280" s="83" t="e">
        <f>VLOOKUP(E4280,[1]Mapping!$A$3:$B$14,2,FALSE)</f>
        <v>#N/A</v>
      </c>
      <c r="J4280" s="84">
        <f t="shared" si="134"/>
        <v>0</v>
      </c>
      <c r="K4280" s="84">
        <f t="shared" si="135"/>
        <v>0</v>
      </c>
      <c r="L4280" s="61" t="e">
        <f>VLOOKUP(K4280,[1]Mapping!$J$3:$Q$351,8,FALSE)</f>
        <v>#N/A</v>
      </c>
      <c r="M4280" t="s">
        <v>83</v>
      </c>
    </row>
    <row r="4281" spans="5:13" hidden="1" x14ac:dyDescent="0.35">
      <c r="E4281" s="81"/>
      <c r="I4281" s="83" t="e">
        <f>VLOOKUP(E4281,[1]Mapping!$A$3:$B$14,2,FALSE)</f>
        <v>#N/A</v>
      </c>
      <c r="J4281" s="84">
        <f t="shared" si="134"/>
        <v>0</v>
      </c>
      <c r="K4281" s="84">
        <f t="shared" si="135"/>
        <v>0</v>
      </c>
      <c r="L4281" s="61" t="e">
        <f>VLOOKUP(K4281,[1]Mapping!$J$3:$Q$351,8,FALSE)</f>
        <v>#N/A</v>
      </c>
      <c r="M4281" t="s">
        <v>83</v>
      </c>
    </row>
    <row r="4282" spans="5:13" hidden="1" x14ac:dyDescent="0.35">
      <c r="E4282" s="81"/>
      <c r="I4282" s="83" t="e">
        <f>VLOOKUP(E4282,[1]Mapping!$A$3:$B$14,2,FALSE)</f>
        <v>#N/A</v>
      </c>
      <c r="J4282" s="84">
        <f t="shared" si="134"/>
        <v>0</v>
      </c>
      <c r="K4282" s="84">
        <f t="shared" si="135"/>
        <v>0</v>
      </c>
      <c r="L4282" s="61" t="e">
        <f>VLOOKUP(K4282,[1]Mapping!$J$3:$Q$351,8,FALSE)</f>
        <v>#N/A</v>
      </c>
      <c r="M4282" t="s">
        <v>83</v>
      </c>
    </row>
    <row r="4283" spans="5:13" hidden="1" x14ac:dyDescent="0.35">
      <c r="E4283" s="81"/>
      <c r="I4283" s="83" t="e">
        <f>VLOOKUP(E4283,[1]Mapping!$A$3:$B$14,2,FALSE)</f>
        <v>#N/A</v>
      </c>
      <c r="J4283" s="84">
        <f t="shared" si="134"/>
        <v>0</v>
      </c>
      <c r="K4283" s="84">
        <f t="shared" si="135"/>
        <v>0</v>
      </c>
      <c r="L4283" s="61" t="e">
        <f>VLOOKUP(K4283,[1]Mapping!$J$3:$Q$351,8,FALSE)</f>
        <v>#N/A</v>
      </c>
      <c r="M4283" t="s">
        <v>83</v>
      </c>
    </row>
    <row r="4284" spans="5:13" hidden="1" x14ac:dyDescent="0.35">
      <c r="E4284" s="81"/>
      <c r="I4284" s="83" t="e">
        <f>VLOOKUP(E4284,[1]Mapping!$A$3:$B$14,2,FALSE)</f>
        <v>#N/A</v>
      </c>
      <c r="J4284" s="84">
        <f t="shared" si="134"/>
        <v>0</v>
      </c>
      <c r="K4284" s="84">
        <f t="shared" si="135"/>
        <v>0</v>
      </c>
      <c r="L4284" s="61" t="e">
        <f>VLOOKUP(K4284,[1]Mapping!$J$3:$Q$351,8,FALSE)</f>
        <v>#N/A</v>
      </c>
      <c r="M4284" t="s">
        <v>83</v>
      </c>
    </row>
    <row r="4285" spans="5:13" hidden="1" x14ac:dyDescent="0.35">
      <c r="E4285" s="81"/>
      <c r="I4285" s="83" t="e">
        <f>VLOOKUP(E4285,[1]Mapping!$A$3:$B$14,2,FALSE)</f>
        <v>#N/A</v>
      </c>
      <c r="J4285" s="84">
        <f t="shared" si="134"/>
        <v>0</v>
      </c>
      <c r="K4285" s="84">
        <f t="shared" si="135"/>
        <v>0</v>
      </c>
      <c r="L4285" s="61" t="e">
        <f>VLOOKUP(K4285,[1]Mapping!$J$3:$Q$351,8,FALSE)</f>
        <v>#N/A</v>
      </c>
      <c r="M4285" t="s">
        <v>83</v>
      </c>
    </row>
    <row r="4286" spans="5:13" hidden="1" x14ac:dyDescent="0.35">
      <c r="E4286" s="81"/>
      <c r="I4286" s="83" t="e">
        <f>VLOOKUP(E4286,[1]Mapping!$A$3:$B$14,2,FALSE)</f>
        <v>#N/A</v>
      </c>
      <c r="J4286" s="84">
        <f t="shared" si="134"/>
        <v>0</v>
      </c>
      <c r="K4286" s="84">
        <f t="shared" si="135"/>
        <v>0</v>
      </c>
      <c r="L4286" s="61" t="e">
        <f>VLOOKUP(K4286,[1]Mapping!$J$3:$Q$351,8,FALSE)</f>
        <v>#N/A</v>
      </c>
      <c r="M4286" t="s">
        <v>83</v>
      </c>
    </row>
    <row r="4287" spans="5:13" hidden="1" x14ac:dyDescent="0.35">
      <c r="E4287" s="81"/>
      <c r="I4287" s="83" t="e">
        <f>VLOOKUP(E4287,[1]Mapping!$A$3:$B$14,2,FALSE)</f>
        <v>#N/A</v>
      </c>
      <c r="J4287" s="84">
        <f t="shared" si="134"/>
        <v>0</v>
      </c>
      <c r="K4287" s="84">
        <f t="shared" si="135"/>
        <v>0</v>
      </c>
      <c r="L4287" s="61" t="e">
        <f>VLOOKUP(K4287,[1]Mapping!$J$3:$Q$351,8,FALSE)</f>
        <v>#N/A</v>
      </c>
      <c r="M4287" t="s">
        <v>83</v>
      </c>
    </row>
    <row r="4288" spans="5:13" hidden="1" x14ac:dyDescent="0.35">
      <c r="E4288" s="81"/>
      <c r="I4288" s="83" t="e">
        <f>VLOOKUP(E4288,[1]Mapping!$A$3:$B$14,2,FALSE)</f>
        <v>#N/A</v>
      </c>
      <c r="J4288" s="84">
        <f t="shared" si="134"/>
        <v>0</v>
      </c>
      <c r="K4288" s="84">
        <f t="shared" si="135"/>
        <v>0</v>
      </c>
      <c r="L4288" s="61" t="e">
        <f>VLOOKUP(K4288,[1]Mapping!$J$3:$Q$351,8,FALSE)</f>
        <v>#N/A</v>
      </c>
      <c r="M4288" t="s">
        <v>83</v>
      </c>
    </row>
    <row r="4289" spans="5:13" hidden="1" x14ac:dyDescent="0.35">
      <c r="E4289" s="81"/>
      <c r="I4289" s="83" t="e">
        <f>VLOOKUP(E4289,[1]Mapping!$A$3:$B$14,2,FALSE)</f>
        <v>#N/A</v>
      </c>
      <c r="J4289" s="84">
        <f t="shared" si="134"/>
        <v>0</v>
      </c>
      <c r="K4289" s="84">
        <f t="shared" si="135"/>
        <v>0</v>
      </c>
      <c r="L4289" s="61" t="e">
        <f>VLOOKUP(K4289,[1]Mapping!$J$3:$Q$351,8,FALSE)</f>
        <v>#N/A</v>
      </c>
      <c r="M4289" t="s">
        <v>83</v>
      </c>
    </row>
    <row r="4290" spans="5:13" hidden="1" x14ac:dyDescent="0.35">
      <c r="E4290" s="81"/>
      <c r="I4290" s="83" t="e">
        <f>VLOOKUP(E4290,[1]Mapping!$A$3:$B$14,2,FALSE)</f>
        <v>#N/A</v>
      </c>
      <c r="J4290" s="84">
        <f t="shared" si="134"/>
        <v>0</v>
      </c>
      <c r="K4290" s="84">
        <f t="shared" si="135"/>
        <v>0</v>
      </c>
      <c r="L4290" s="61" t="e">
        <f>VLOOKUP(K4290,[1]Mapping!$J$3:$Q$351,8,FALSE)</f>
        <v>#N/A</v>
      </c>
      <c r="M4290" t="s">
        <v>83</v>
      </c>
    </row>
    <row r="4291" spans="5:13" hidden="1" x14ac:dyDescent="0.35">
      <c r="E4291" s="81"/>
      <c r="I4291" s="83" t="e">
        <f>VLOOKUP(E4291,[1]Mapping!$A$3:$B$14,2,FALSE)</f>
        <v>#N/A</v>
      </c>
      <c r="J4291" s="84">
        <f t="shared" si="134"/>
        <v>0</v>
      </c>
      <c r="K4291" s="84">
        <f t="shared" si="135"/>
        <v>0</v>
      </c>
      <c r="L4291" s="61" t="e">
        <f>VLOOKUP(K4291,[1]Mapping!$J$3:$Q$351,8,FALSE)</f>
        <v>#N/A</v>
      </c>
      <c r="M4291" t="s">
        <v>83</v>
      </c>
    </row>
    <row r="4292" spans="5:13" hidden="1" x14ac:dyDescent="0.35">
      <c r="E4292" s="81"/>
      <c r="I4292" s="83" t="e">
        <f>VLOOKUP(E4292,[1]Mapping!$A$3:$B$14,2,FALSE)</f>
        <v>#N/A</v>
      </c>
      <c r="J4292" s="84">
        <f t="shared" ref="J4292:J4320" si="136">VALUE(A4292)</f>
        <v>0</v>
      </c>
      <c r="K4292" s="84">
        <f t="shared" ref="K4292:K4320" si="137">VALUE(C4292)</f>
        <v>0</v>
      </c>
      <c r="L4292" s="61" t="e">
        <f>VLOOKUP(K4292,[1]Mapping!$J$3:$Q$351,8,FALSE)</f>
        <v>#N/A</v>
      </c>
      <c r="M4292" t="s">
        <v>83</v>
      </c>
    </row>
    <row r="4293" spans="5:13" hidden="1" x14ac:dyDescent="0.35">
      <c r="E4293" s="81"/>
      <c r="I4293" s="83" t="e">
        <f>VLOOKUP(E4293,[1]Mapping!$A$3:$B$14,2,FALSE)</f>
        <v>#N/A</v>
      </c>
      <c r="J4293" s="84">
        <f t="shared" si="136"/>
        <v>0</v>
      </c>
      <c r="K4293" s="84">
        <f t="shared" si="137"/>
        <v>0</v>
      </c>
      <c r="L4293" s="61" t="e">
        <f>VLOOKUP(K4293,[1]Mapping!$J$3:$Q$351,8,FALSE)</f>
        <v>#N/A</v>
      </c>
      <c r="M4293" t="s">
        <v>83</v>
      </c>
    </row>
    <row r="4294" spans="5:13" hidden="1" x14ac:dyDescent="0.35">
      <c r="E4294" s="81"/>
      <c r="I4294" s="83" t="e">
        <f>VLOOKUP(E4294,[1]Mapping!$A$3:$B$14,2,FALSE)</f>
        <v>#N/A</v>
      </c>
      <c r="J4294" s="84">
        <f t="shared" si="136"/>
        <v>0</v>
      </c>
      <c r="K4294" s="84">
        <f t="shared" si="137"/>
        <v>0</v>
      </c>
      <c r="L4294" s="61" t="e">
        <f>VLOOKUP(K4294,[1]Mapping!$J$3:$Q$351,8,FALSE)</f>
        <v>#N/A</v>
      </c>
      <c r="M4294" t="s">
        <v>83</v>
      </c>
    </row>
    <row r="4295" spans="5:13" hidden="1" x14ac:dyDescent="0.35">
      <c r="E4295" s="81"/>
      <c r="I4295" s="83" t="e">
        <f>VLOOKUP(E4295,[1]Mapping!$A$3:$B$14,2,FALSE)</f>
        <v>#N/A</v>
      </c>
      <c r="J4295" s="84">
        <f t="shared" si="136"/>
        <v>0</v>
      </c>
      <c r="K4295" s="84">
        <f t="shared" si="137"/>
        <v>0</v>
      </c>
      <c r="L4295" s="61" t="e">
        <f>VLOOKUP(K4295,[1]Mapping!$J$3:$Q$351,8,FALSE)</f>
        <v>#N/A</v>
      </c>
      <c r="M4295" t="s">
        <v>83</v>
      </c>
    </row>
    <row r="4296" spans="5:13" hidden="1" x14ac:dyDescent="0.35">
      <c r="E4296" s="81"/>
      <c r="I4296" s="83" t="e">
        <f>VLOOKUP(E4296,[1]Mapping!$A$3:$B$14,2,FALSE)</f>
        <v>#N/A</v>
      </c>
      <c r="J4296" s="84">
        <f t="shared" si="136"/>
        <v>0</v>
      </c>
      <c r="K4296" s="84">
        <f t="shared" si="137"/>
        <v>0</v>
      </c>
      <c r="L4296" s="61" t="e">
        <f>VLOOKUP(K4296,[1]Mapping!$J$3:$Q$351,8,FALSE)</f>
        <v>#N/A</v>
      </c>
      <c r="M4296" t="s">
        <v>83</v>
      </c>
    </row>
    <row r="4297" spans="5:13" hidden="1" x14ac:dyDescent="0.35">
      <c r="E4297" s="81"/>
      <c r="I4297" s="83" t="e">
        <f>VLOOKUP(E4297,[1]Mapping!$A$3:$B$14,2,FALSE)</f>
        <v>#N/A</v>
      </c>
      <c r="J4297" s="84">
        <f t="shared" si="136"/>
        <v>0</v>
      </c>
      <c r="K4297" s="84">
        <f t="shared" si="137"/>
        <v>0</v>
      </c>
      <c r="L4297" s="61" t="e">
        <f>VLOOKUP(K4297,[1]Mapping!$J$3:$Q$351,8,FALSE)</f>
        <v>#N/A</v>
      </c>
      <c r="M4297" t="s">
        <v>83</v>
      </c>
    </row>
    <row r="4298" spans="5:13" hidden="1" x14ac:dyDescent="0.35">
      <c r="E4298" s="81"/>
      <c r="I4298" s="83" t="e">
        <f>VLOOKUP(E4298,[1]Mapping!$A$3:$B$14,2,FALSE)</f>
        <v>#N/A</v>
      </c>
      <c r="J4298" s="84">
        <f t="shared" si="136"/>
        <v>0</v>
      </c>
      <c r="K4298" s="84">
        <f t="shared" si="137"/>
        <v>0</v>
      </c>
      <c r="L4298" s="61" t="e">
        <f>VLOOKUP(K4298,[1]Mapping!$J$3:$Q$351,8,FALSE)</f>
        <v>#N/A</v>
      </c>
      <c r="M4298" t="s">
        <v>83</v>
      </c>
    </row>
    <row r="4299" spans="5:13" hidden="1" x14ac:dyDescent="0.35">
      <c r="E4299" s="81"/>
      <c r="I4299" s="83" t="e">
        <f>VLOOKUP(E4299,[1]Mapping!$A$3:$B$14,2,FALSE)</f>
        <v>#N/A</v>
      </c>
      <c r="J4299" s="84">
        <f t="shared" si="136"/>
        <v>0</v>
      </c>
      <c r="K4299" s="84">
        <f t="shared" si="137"/>
        <v>0</v>
      </c>
      <c r="L4299" s="61" t="e">
        <f>VLOOKUP(K4299,[1]Mapping!$J$3:$Q$351,8,FALSE)</f>
        <v>#N/A</v>
      </c>
      <c r="M4299" t="s">
        <v>83</v>
      </c>
    </row>
    <row r="4300" spans="5:13" hidden="1" x14ac:dyDescent="0.35">
      <c r="E4300" s="81"/>
      <c r="I4300" s="83" t="e">
        <f>VLOOKUP(E4300,[1]Mapping!$A$3:$B$14,2,FALSE)</f>
        <v>#N/A</v>
      </c>
      <c r="J4300" s="84">
        <f t="shared" si="136"/>
        <v>0</v>
      </c>
      <c r="K4300" s="84">
        <f t="shared" si="137"/>
        <v>0</v>
      </c>
      <c r="L4300" s="61" t="e">
        <f>VLOOKUP(K4300,[1]Mapping!$J$3:$Q$351,8,FALSE)</f>
        <v>#N/A</v>
      </c>
      <c r="M4300" t="s">
        <v>83</v>
      </c>
    </row>
    <row r="4301" spans="5:13" hidden="1" x14ac:dyDescent="0.35">
      <c r="E4301" s="81"/>
      <c r="I4301" s="83" t="e">
        <f>VLOOKUP(E4301,[1]Mapping!$A$3:$B$14,2,FALSE)</f>
        <v>#N/A</v>
      </c>
      <c r="J4301" s="84">
        <v>1002023001</v>
      </c>
      <c r="K4301" s="84">
        <v>600021</v>
      </c>
      <c r="L4301" s="61" t="s">
        <v>21</v>
      </c>
      <c r="M4301" t="s">
        <v>83</v>
      </c>
    </row>
    <row r="4302" spans="5:13" hidden="1" x14ac:dyDescent="0.35">
      <c r="E4302" s="81"/>
      <c r="I4302" s="83" t="e">
        <f>VLOOKUP(E4302,[1]Mapping!$A$3:$B$14,2,FALSE)</f>
        <v>#N/A</v>
      </c>
      <c r="J4302" s="84">
        <v>1002023001</v>
      </c>
      <c r="K4302" s="84">
        <v>600021</v>
      </c>
      <c r="L4302" s="61" t="s">
        <v>21</v>
      </c>
      <c r="M4302" t="s">
        <v>83</v>
      </c>
    </row>
    <row r="4303" spans="5:13" hidden="1" x14ac:dyDescent="0.35">
      <c r="E4303" s="81"/>
      <c r="I4303" s="83" t="e">
        <f>VLOOKUP(E4303,[1]Mapping!$A$3:$B$14,2,FALSE)</f>
        <v>#N/A</v>
      </c>
      <c r="J4303" s="84">
        <v>1002023001</v>
      </c>
      <c r="K4303" s="84">
        <v>600021</v>
      </c>
      <c r="L4303" s="61" t="s">
        <v>21</v>
      </c>
      <c r="M4303" t="s">
        <v>83</v>
      </c>
    </row>
    <row r="4304" spans="5:13" hidden="1" x14ac:dyDescent="0.35">
      <c r="E4304" s="81"/>
      <c r="I4304" s="83" t="e">
        <f>VLOOKUP(E4304,[1]Mapping!$A$3:$B$14,2,FALSE)</f>
        <v>#N/A</v>
      </c>
      <c r="J4304" s="84">
        <f t="shared" ref="J4304:J4367" si="138">VALUE(A4304)</f>
        <v>0</v>
      </c>
      <c r="K4304" s="84">
        <f t="shared" ref="K4304:K4367" si="139">VALUE(C4304)</f>
        <v>0</v>
      </c>
      <c r="L4304" s="61" t="e">
        <f>VLOOKUP(K4304,[1]Mapping!$J$3:$Q$351,8,FALSE)</f>
        <v>#N/A</v>
      </c>
      <c r="M4304" t="s">
        <v>83</v>
      </c>
    </row>
    <row r="4305" spans="5:13" hidden="1" x14ac:dyDescent="0.35">
      <c r="E4305" s="81"/>
      <c r="I4305" s="83" t="e">
        <f>VLOOKUP(E4305,[1]Mapping!$A$3:$B$14,2,FALSE)</f>
        <v>#N/A</v>
      </c>
      <c r="J4305" s="84">
        <f t="shared" si="138"/>
        <v>0</v>
      </c>
      <c r="K4305" s="84">
        <f t="shared" si="139"/>
        <v>0</v>
      </c>
      <c r="L4305" s="61" t="e">
        <f>VLOOKUP(K4305,[1]Mapping!$J$3:$Q$351,8,FALSE)</f>
        <v>#N/A</v>
      </c>
      <c r="M4305" t="s">
        <v>83</v>
      </c>
    </row>
    <row r="4306" spans="5:13" hidden="1" x14ac:dyDescent="0.35">
      <c r="E4306" s="81"/>
      <c r="I4306" s="83" t="e">
        <f>VLOOKUP(E4306,[1]Mapping!$A$3:$B$14,2,FALSE)</f>
        <v>#N/A</v>
      </c>
      <c r="J4306" s="84">
        <f t="shared" si="138"/>
        <v>0</v>
      </c>
      <c r="K4306" s="84">
        <f t="shared" si="139"/>
        <v>0</v>
      </c>
      <c r="L4306" s="61" t="e">
        <f>VLOOKUP(K4306,[1]Mapping!$J$3:$Q$351,8,FALSE)</f>
        <v>#N/A</v>
      </c>
      <c r="M4306" t="s">
        <v>83</v>
      </c>
    </row>
    <row r="4307" spans="5:13" hidden="1" x14ac:dyDescent="0.35">
      <c r="E4307" s="81"/>
      <c r="I4307" s="83" t="e">
        <f>VLOOKUP(E4307,[1]Mapping!$A$3:$B$14,2,FALSE)</f>
        <v>#N/A</v>
      </c>
      <c r="J4307" s="84">
        <f t="shared" si="138"/>
        <v>0</v>
      </c>
      <c r="K4307" s="84">
        <f t="shared" si="139"/>
        <v>0</v>
      </c>
      <c r="L4307" s="61" t="e">
        <f>VLOOKUP(K4307,[1]Mapping!$J$3:$Q$351,8,FALSE)</f>
        <v>#N/A</v>
      </c>
      <c r="M4307" t="s">
        <v>83</v>
      </c>
    </row>
    <row r="4308" spans="5:13" hidden="1" x14ac:dyDescent="0.35">
      <c r="E4308" s="81"/>
      <c r="I4308" s="83" t="e">
        <f>VLOOKUP(E4308,[1]Mapping!$A$3:$B$14,2,FALSE)</f>
        <v>#N/A</v>
      </c>
      <c r="J4308" s="84">
        <f t="shared" si="138"/>
        <v>0</v>
      </c>
      <c r="K4308" s="84">
        <f t="shared" si="139"/>
        <v>0</v>
      </c>
      <c r="L4308" s="61" t="e">
        <f>VLOOKUP(K4308,[1]Mapping!$J$3:$Q$351,8,FALSE)</f>
        <v>#N/A</v>
      </c>
      <c r="M4308" t="s">
        <v>83</v>
      </c>
    </row>
    <row r="4309" spans="5:13" hidden="1" x14ac:dyDescent="0.35">
      <c r="E4309" s="81"/>
      <c r="I4309" s="83" t="e">
        <f>VLOOKUP(E4309,[1]Mapping!$A$3:$B$14,2,FALSE)</f>
        <v>#N/A</v>
      </c>
      <c r="J4309" s="84">
        <f t="shared" si="138"/>
        <v>0</v>
      </c>
      <c r="K4309" s="84">
        <f t="shared" si="139"/>
        <v>0</v>
      </c>
      <c r="L4309" s="61" t="e">
        <f>VLOOKUP(K4309,[1]Mapping!$J$3:$Q$351,8,FALSE)</f>
        <v>#N/A</v>
      </c>
      <c r="M4309" t="s">
        <v>83</v>
      </c>
    </row>
    <row r="4310" spans="5:13" hidden="1" x14ac:dyDescent="0.35">
      <c r="E4310" s="81"/>
      <c r="I4310" s="83" t="e">
        <f>VLOOKUP(E4310,[1]Mapping!$A$3:$B$14,2,FALSE)</f>
        <v>#N/A</v>
      </c>
      <c r="J4310" s="84">
        <f t="shared" si="138"/>
        <v>0</v>
      </c>
      <c r="K4310" s="84">
        <f t="shared" si="139"/>
        <v>0</v>
      </c>
      <c r="L4310" s="61" t="e">
        <f>VLOOKUP(K4310,[1]Mapping!$J$3:$Q$351,8,FALSE)</f>
        <v>#N/A</v>
      </c>
      <c r="M4310" t="s">
        <v>83</v>
      </c>
    </row>
    <row r="4311" spans="5:13" hidden="1" x14ac:dyDescent="0.35">
      <c r="E4311" s="81"/>
      <c r="I4311" s="83" t="e">
        <f>VLOOKUP(E4311,[1]Mapping!$A$3:$B$14,2,FALSE)</f>
        <v>#N/A</v>
      </c>
      <c r="J4311" s="84">
        <f t="shared" si="138"/>
        <v>0</v>
      </c>
      <c r="K4311" s="84">
        <f t="shared" si="139"/>
        <v>0</v>
      </c>
      <c r="L4311" s="61" t="e">
        <f>VLOOKUP(K4311,[1]Mapping!$J$3:$Q$351,8,FALSE)</f>
        <v>#N/A</v>
      </c>
      <c r="M4311" t="s">
        <v>83</v>
      </c>
    </row>
    <row r="4312" spans="5:13" hidden="1" x14ac:dyDescent="0.35">
      <c r="E4312" s="81"/>
      <c r="I4312" s="83" t="e">
        <f>VLOOKUP(E4312,[1]Mapping!$A$3:$B$14,2,FALSE)</f>
        <v>#N/A</v>
      </c>
      <c r="J4312" s="84">
        <f t="shared" si="138"/>
        <v>0</v>
      </c>
      <c r="K4312" s="84">
        <f t="shared" si="139"/>
        <v>0</v>
      </c>
      <c r="L4312" s="61" t="e">
        <f>VLOOKUP(K4312,[1]Mapping!$J$3:$Q$351,8,FALSE)</f>
        <v>#N/A</v>
      </c>
      <c r="M4312" t="s">
        <v>83</v>
      </c>
    </row>
    <row r="4313" spans="5:13" hidden="1" x14ac:dyDescent="0.35">
      <c r="E4313" s="81"/>
      <c r="I4313" s="83" t="e">
        <f>VLOOKUP(E4313,[1]Mapping!$A$3:$B$14,2,FALSE)</f>
        <v>#N/A</v>
      </c>
      <c r="J4313" s="84">
        <f t="shared" si="138"/>
        <v>0</v>
      </c>
      <c r="K4313" s="84">
        <f t="shared" si="139"/>
        <v>0</v>
      </c>
      <c r="L4313" s="61" t="e">
        <f>VLOOKUP(K4313,[1]Mapping!$J$3:$Q$351,8,FALSE)</f>
        <v>#N/A</v>
      </c>
      <c r="M4313" t="s">
        <v>83</v>
      </c>
    </row>
    <row r="4314" spans="5:13" hidden="1" x14ac:dyDescent="0.35">
      <c r="E4314" s="81"/>
      <c r="I4314" s="83" t="e">
        <f>VLOOKUP(E4314,[1]Mapping!$A$3:$B$14,2,FALSE)</f>
        <v>#N/A</v>
      </c>
      <c r="J4314" s="84">
        <f t="shared" si="138"/>
        <v>0</v>
      </c>
      <c r="K4314" s="84">
        <f t="shared" si="139"/>
        <v>0</v>
      </c>
      <c r="L4314" s="61" t="e">
        <f>VLOOKUP(K4314,[1]Mapping!$J$3:$Q$351,8,FALSE)</f>
        <v>#N/A</v>
      </c>
      <c r="M4314" t="s">
        <v>83</v>
      </c>
    </row>
    <row r="4315" spans="5:13" hidden="1" x14ac:dyDescent="0.35">
      <c r="E4315" s="81"/>
      <c r="I4315" s="83" t="e">
        <f>VLOOKUP(E4315,[1]Mapping!$A$3:$B$14,2,FALSE)</f>
        <v>#N/A</v>
      </c>
      <c r="J4315" s="84">
        <f t="shared" si="138"/>
        <v>0</v>
      </c>
      <c r="K4315" s="84">
        <f t="shared" si="139"/>
        <v>0</v>
      </c>
      <c r="L4315" s="61" t="e">
        <f>VLOOKUP(K4315,[1]Mapping!$J$3:$Q$351,8,FALSE)</f>
        <v>#N/A</v>
      </c>
      <c r="M4315" t="s">
        <v>83</v>
      </c>
    </row>
    <row r="4316" spans="5:13" hidden="1" x14ac:dyDescent="0.35">
      <c r="E4316" s="81"/>
      <c r="I4316" s="83" t="e">
        <f>VLOOKUP(E4316,[1]Mapping!$A$3:$B$14,2,FALSE)</f>
        <v>#N/A</v>
      </c>
      <c r="J4316" s="84">
        <f t="shared" si="138"/>
        <v>0</v>
      </c>
      <c r="K4316" s="84">
        <f t="shared" si="139"/>
        <v>0</v>
      </c>
      <c r="L4316" s="61" t="e">
        <f>VLOOKUP(K4316,[1]Mapping!$J$3:$Q$351,8,FALSE)</f>
        <v>#N/A</v>
      </c>
      <c r="M4316" t="s">
        <v>83</v>
      </c>
    </row>
    <row r="4317" spans="5:13" hidden="1" x14ac:dyDescent="0.35">
      <c r="E4317" s="81"/>
      <c r="I4317" s="83" t="e">
        <f>VLOOKUP(E4317,[1]Mapping!$A$3:$B$14,2,FALSE)</f>
        <v>#N/A</v>
      </c>
      <c r="J4317" s="84">
        <f t="shared" si="138"/>
        <v>0</v>
      </c>
      <c r="K4317" s="84">
        <f t="shared" si="139"/>
        <v>0</v>
      </c>
      <c r="L4317" s="61" t="e">
        <f>VLOOKUP(K4317,[1]Mapping!$J$3:$Q$351,8,FALSE)</f>
        <v>#N/A</v>
      </c>
      <c r="M4317" t="s">
        <v>83</v>
      </c>
    </row>
    <row r="4318" spans="5:13" hidden="1" x14ac:dyDescent="0.35">
      <c r="E4318" s="81"/>
      <c r="I4318" s="83" t="e">
        <f>VLOOKUP(E4318,[1]Mapping!$A$3:$B$14,2,FALSE)</f>
        <v>#N/A</v>
      </c>
      <c r="J4318" s="84">
        <f t="shared" si="138"/>
        <v>0</v>
      </c>
      <c r="K4318" s="84">
        <f t="shared" si="139"/>
        <v>0</v>
      </c>
      <c r="L4318" s="61" t="e">
        <f>VLOOKUP(K4318,[1]Mapping!$J$3:$Q$351,8,FALSE)</f>
        <v>#N/A</v>
      </c>
      <c r="M4318" t="s">
        <v>83</v>
      </c>
    </row>
    <row r="4319" spans="5:13" hidden="1" x14ac:dyDescent="0.35">
      <c r="E4319" s="81"/>
      <c r="I4319" s="83" t="e">
        <f>VLOOKUP(E4319,[1]Mapping!$A$3:$B$14,2,FALSE)</f>
        <v>#N/A</v>
      </c>
      <c r="J4319" s="84">
        <f t="shared" si="138"/>
        <v>0</v>
      </c>
      <c r="K4319" s="84">
        <f t="shared" si="139"/>
        <v>0</v>
      </c>
      <c r="L4319" s="61" t="e">
        <f>VLOOKUP(K4319,[1]Mapping!$J$3:$Q$351,8,FALSE)</f>
        <v>#N/A</v>
      </c>
      <c r="M4319" t="s">
        <v>83</v>
      </c>
    </row>
    <row r="4320" spans="5:13" hidden="1" x14ac:dyDescent="0.35">
      <c r="E4320" s="81"/>
      <c r="I4320" s="83" t="e">
        <f>VLOOKUP(E4320,[1]Mapping!$A$3:$B$14,2,FALSE)</f>
        <v>#N/A</v>
      </c>
      <c r="J4320" s="84">
        <f t="shared" si="138"/>
        <v>0</v>
      </c>
      <c r="K4320" s="84">
        <f t="shared" si="139"/>
        <v>0</v>
      </c>
      <c r="L4320" s="61" t="e">
        <f>VLOOKUP(K4320,[1]Mapping!$J$3:$Q$351,8,FALSE)</f>
        <v>#N/A</v>
      </c>
      <c r="M4320" t="s">
        <v>83</v>
      </c>
    </row>
    <row r="4321" spans="5:13" hidden="1" x14ac:dyDescent="0.35">
      <c r="E4321" s="81"/>
      <c r="I4321" s="83" t="e">
        <f>VLOOKUP(E4321,[1]Mapping!$A$3:$B$14,2,FALSE)</f>
        <v>#N/A</v>
      </c>
      <c r="J4321" s="84">
        <f t="shared" si="138"/>
        <v>0</v>
      </c>
      <c r="K4321" s="84">
        <f t="shared" si="139"/>
        <v>0</v>
      </c>
      <c r="L4321" s="61" t="e">
        <f>VLOOKUP(K4321,[1]Mapping!$J$3:$Q$351,8,FALSE)</f>
        <v>#N/A</v>
      </c>
      <c r="M4321" t="s">
        <v>83</v>
      </c>
    </row>
    <row r="4322" spans="5:13" hidden="1" x14ac:dyDescent="0.35">
      <c r="E4322" s="81"/>
      <c r="I4322" s="83" t="e">
        <f>VLOOKUP(E4322,[1]Mapping!$A$3:$B$14,2,FALSE)</f>
        <v>#N/A</v>
      </c>
      <c r="J4322" s="84">
        <f t="shared" si="138"/>
        <v>0</v>
      </c>
      <c r="K4322" s="84">
        <f t="shared" si="139"/>
        <v>0</v>
      </c>
      <c r="L4322" s="61" t="e">
        <f>VLOOKUP(K4322,[1]Mapping!$J$3:$Q$351,8,FALSE)</f>
        <v>#N/A</v>
      </c>
      <c r="M4322" t="s">
        <v>83</v>
      </c>
    </row>
    <row r="4323" spans="5:13" hidden="1" x14ac:dyDescent="0.35">
      <c r="E4323" s="81"/>
      <c r="I4323" s="83" t="e">
        <f>VLOOKUP(E4323,[1]Mapping!$A$3:$B$14,2,FALSE)</f>
        <v>#N/A</v>
      </c>
      <c r="J4323" s="84">
        <f t="shared" si="138"/>
        <v>0</v>
      </c>
      <c r="K4323" s="84">
        <f t="shared" si="139"/>
        <v>0</v>
      </c>
      <c r="L4323" s="61" t="e">
        <f>VLOOKUP(K4323,[1]Mapping!$J$3:$Q$351,8,FALSE)</f>
        <v>#N/A</v>
      </c>
      <c r="M4323" t="s">
        <v>83</v>
      </c>
    </row>
    <row r="4324" spans="5:13" hidden="1" x14ac:dyDescent="0.35">
      <c r="E4324" s="81"/>
      <c r="I4324" s="83" t="e">
        <f>VLOOKUP(E4324,[1]Mapping!$A$3:$B$14,2,FALSE)</f>
        <v>#N/A</v>
      </c>
      <c r="J4324" s="84">
        <f t="shared" si="138"/>
        <v>0</v>
      </c>
      <c r="K4324" s="84">
        <f t="shared" si="139"/>
        <v>0</v>
      </c>
      <c r="L4324" s="61" t="e">
        <f>VLOOKUP(K4324,[1]Mapping!$J$3:$Q$351,8,FALSE)</f>
        <v>#N/A</v>
      </c>
      <c r="M4324" t="s">
        <v>83</v>
      </c>
    </row>
    <row r="4325" spans="5:13" hidden="1" x14ac:dyDescent="0.35">
      <c r="E4325" s="81"/>
      <c r="I4325" s="83" t="e">
        <f>VLOOKUP(E4325,[1]Mapping!$A$3:$B$14,2,FALSE)</f>
        <v>#N/A</v>
      </c>
      <c r="J4325" s="84">
        <f t="shared" si="138"/>
        <v>0</v>
      </c>
      <c r="K4325" s="84">
        <f t="shared" si="139"/>
        <v>0</v>
      </c>
      <c r="L4325" s="61" t="e">
        <f>VLOOKUP(K4325,[1]Mapping!$J$3:$Q$351,8,FALSE)</f>
        <v>#N/A</v>
      </c>
      <c r="M4325" t="s">
        <v>83</v>
      </c>
    </row>
    <row r="4326" spans="5:13" hidden="1" x14ac:dyDescent="0.35">
      <c r="E4326" s="81"/>
      <c r="I4326" s="83" t="e">
        <f>VLOOKUP(E4326,[1]Mapping!$A$3:$B$14,2,FALSE)</f>
        <v>#N/A</v>
      </c>
      <c r="J4326" s="84">
        <f t="shared" si="138"/>
        <v>0</v>
      </c>
      <c r="K4326" s="84">
        <f t="shared" si="139"/>
        <v>0</v>
      </c>
      <c r="L4326" s="61" t="e">
        <f>VLOOKUP(K4326,[1]Mapping!$J$3:$Q$351,8,FALSE)</f>
        <v>#N/A</v>
      </c>
      <c r="M4326" t="s">
        <v>83</v>
      </c>
    </row>
    <row r="4327" spans="5:13" hidden="1" x14ac:dyDescent="0.35">
      <c r="E4327" s="81"/>
      <c r="I4327" s="83" t="e">
        <f>VLOOKUP(E4327,[1]Mapping!$A$3:$B$14,2,FALSE)</f>
        <v>#N/A</v>
      </c>
      <c r="J4327" s="84">
        <f t="shared" si="138"/>
        <v>0</v>
      </c>
      <c r="K4327" s="84">
        <f t="shared" si="139"/>
        <v>0</v>
      </c>
      <c r="L4327" s="61" t="e">
        <f>VLOOKUP(K4327,[1]Mapping!$J$3:$Q$351,8,FALSE)</f>
        <v>#N/A</v>
      </c>
      <c r="M4327" t="s">
        <v>83</v>
      </c>
    </row>
    <row r="4328" spans="5:13" hidden="1" x14ac:dyDescent="0.35">
      <c r="E4328" s="81"/>
      <c r="I4328" s="83" t="e">
        <f>VLOOKUP(E4328,[1]Mapping!$A$3:$B$14,2,FALSE)</f>
        <v>#N/A</v>
      </c>
      <c r="J4328" s="84">
        <f t="shared" si="138"/>
        <v>0</v>
      </c>
      <c r="K4328" s="84">
        <f t="shared" si="139"/>
        <v>0</v>
      </c>
      <c r="L4328" s="61" t="e">
        <f>VLOOKUP(K4328,[1]Mapping!$J$3:$Q$351,8,FALSE)</f>
        <v>#N/A</v>
      </c>
      <c r="M4328" t="s">
        <v>83</v>
      </c>
    </row>
    <row r="4329" spans="5:13" hidden="1" x14ac:dyDescent="0.35">
      <c r="E4329" s="81"/>
      <c r="I4329" s="83" t="e">
        <f>VLOOKUP(E4329,[1]Mapping!$A$3:$B$14,2,FALSE)</f>
        <v>#N/A</v>
      </c>
      <c r="J4329" s="84">
        <f t="shared" si="138"/>
        <v>0</v>
      </c>
      <c r="K4329" s="84">
        <f t="shared" si="139"/>
        <v>0</v>
      </c>
      <c r="L4329" s="61" t="e">
        <f>VLOOKUP(K4329,[1]Mapping!$J$3:$Q$351,8,FALSE)</f>
        <v>#N/A</v>
      </c>
      <c r="M4329" t="s">
        <v>83</v>
      </c>
    </row>
    <row r="4330" spans="5:13" hidden="1" x14ac:dyDescent="0.35">
      <c r="E4330" s="81"/>
      <c r="I4330" s="83" t="e">
        <f>VLOOKUP(E4330,[1]Mapping!$A$3:$B$14,2,FALSE)</f>
        <v>#N/A</v>
      </c>
      <c r="J4330" s="84">
        <f t="shared" si="138"/>
        <v>0</v>
      </c>
      <c r="K4330" s="84">
        <f t="shared" si="139"/>
        <v>0</v>
      </c>
      <c r="L4330" s="61" t="e">
        <f>VLOOKUP(K4330,[1]Mapping!$J$3:$Q$351,8,FALSE)</f>
        <v>#N/A</v>
      </c>
      <c r="M4330" t="s">
        <v>83</v>
      </c>
    </row>
    <row r="4331" spans="5:13" hidden="1" x14ac:dyDescent="0.35">
      <c r="E4331" s="81"/>
      <c r="I4331" s="83" t="e">
        <f>VLOOKUP(E4331,[1]Mapping!$A$3:$B$14,2,FALSE)</f>
        <v>#N/A</v>
      </c>
      <c r="J4331" s="84">
        <f t="shared" si="138"/>
        <v>0</v>
      </c>
      <c r="K4331" s="84">
        <f t="shared" si="139"/>
        <v>0</v>
      </c>
      <c r="L4331" s="61" t="e">
        <f>VLOOKUP(K4331,[1]Mapping!$J$3:$Q$351,8,FALSE)</f>
        <v>#N/A</v>
      </c>
      <c r="M4331" t="s">
        <v>83</v>
      </c>
    </row>
    <row r="4332" spans="5:13" hidden="1" x14ac:dyDescent="0.35">
      <c r="E4332" s="81"/>
      <c r="I4332" s="83" t="e">
        <f>VLOOKUP(E4332,[1]Mapping!$A$3:$B$14,2,FALSE)</f>
        <v>#N/A</v>
      </c>
      <c r="J4332" s="84">
        <f t="shared" si="138"/>
        <v>0</v>
      </c>
      <c r="K4332" s="84">
        <f t="shared" si="139"/>
        <v>0</v>
      </c>
      <c r="L4332" s="61" t="e">
        <f>VLOOKUP(K4332,[1]Mapping!$J$3:$Q$351,8,FALSE)</f>
        <v>#N/A</v>
      </c>
      <c r="M4332" t="s">
        <v>83</v>
      </c>
    </row>
    <row r="4333" spans="5:13" hidden="1" x14ac:dyDescent="0.35">
      <c r="E4333" s="81"/>
      <c r="I4333" s="83" t="e">
        <f>VLOOKUP(E4333,[1]Mapping!$A$3:$B$14,2,FALSE)</f>
        <v>#N/A</v>
      </c>
      <c r="J4333" s="84">
        <f t="shared" si="138"/>
        <v>0</v>
      </c>
      <c r="K4333" s="84">
        <f t="shared" si="139"/>
        <v>0</v>
      </c>
      <c r="L4333" s="61" t="e">
        <f>VLOOKUP(K4333,[1]Mapping!$J$3:$Q$351,8,FALSE)</f>
        <v>#N/A</v>
      </c>
      <c r="M4333" t="s">
        <v>83</v>
      </c>
    </row>
    <row r="4334" spans="5:13" hidden="1" x14ac:dyDescent="0.35">
      <c r="E4334" s="81"/>
      <c r="I4334" s="83" t="e">
        <f>VLOOKUP(E4334,[1]Mapping!$A$3:$B$14,2,FALSE)</f>
        <v>#N/A</v>
      </c>
      <c r="J4334" s="84">
        <f t="shared" si="138"/>
        <v>0</v>
      </c>
      <c r="K4334" s="84">
        <f t="shared" si="139"/>
        <v>0</v>
      </c>
      <c r="L4334" s="61" t="e">
        <f>VLOOKUP(K4334,[1]Mapping!$J$3:$Q$351,8,FALSE)</f>
        <v>#N/A</v>
      </c>
      <c r="M4334" t="s">
        <v>83</v>
      </c>
    </row>
    <row r="4335" spans="5:13" hidden="1" x14ac:dyDescent="0.35">
      <c r="E4335" s="81"/>
      <c r="I4335" s="83" t="e">
        <f>VLOOKUP(E4335,[1]Mapping!$A$3:$B$14,2,FALSE)</f>
        <v>#N/A</v>
      </c>
      <c r="J4335" s="84">
        <f t="shared" si="138"/>
        <v>0</v>
      </c>
      <c r="K4335" s="84">
        <f t="shared" si="139"/>
        <v>0</v>
      </c>
      <c r="L4335" s="61" t="e">
        <f>VLOOKUP(K4335,[1]Mapping!$J$3:$Q$351,8,FALSE)</f>
        <v>#N/A</v>
      </c>
      <c r="M4335" t="s">
        <v>83</v>
      </c>
    </row>
    <row r="4336" spans="5:13" hidden="1" x14ac:dyDescent="0.35">
      <c r="E4336" s="81"/>
      <c r="I4336" s="83" t="e">
        <f>VLOOKUP(E4336,[1]Mapping!$A$3:$B$14,2,FALSE)</f>
        <v>#N/A</v>
      </c>
      <c r="J4336" s="84">
        <f t="shared" si="138"/>
        <v>0</v>
      </c>
      <c r="K4336" s="84">
        <f t="shared" si="139"/>
        <v>0</v>
      </c>
      <c r="L4336" s="61" t="e">
        <f>VLOOKUP(K4336,[1]Mapping!$J$3:$Q$351,8,FALSE)</f>
        <v>#N/A</v>
      </c>
      <c r="M4336" t="s">
        <v>83</v>
      </c>
    </row>
    <row r="4337" spans="5:13" hidden="1" x14ac:dyDescent="0.35">
      <c r="E4337" s="81"/>
      <c r="I4337" s="83" t="e">
        <f>VLOOKUP(E4337,[1]Mapping!$A$3:$B$14,2,FALSE)</f>
        <v>#N/A</v>
      </c>
      <c r="J4337" s="84">
        <f t="shared" si="138"/>
        <v>0</v>
      </c>
      <c r="K4337" s="84">
        <f t="shared" si="139"/>
        <v>0</v>
      </c>
      <c r="L4337" s="61" t="e">
        <f>VLOOKUP(K4337,[1]Mapping!$J$3:$Q$351,8,FALSE)</f>
        <v>#N/A</v>
      </c>
      <c r="M4337" t="s">
        <v>83</v>
      </c>
    </row>
    <row r="4338" spans="5:13" hidden="1" x14ac:dyDescent="0.35">
      <c r="E4338" s="81"/>
      <c r="I4338" s="83" t="e">
        <f>VLOOKUP(E4338,[1]Mapping!$A$3:$B$14,2,FALSE)</f>
        <v>#N/A</v>
      </c>
      <c r="J4338" s="84">
        <f t="shared" si="138"/>
        <v>0</v>
      </c>
      <c r="K4338" s="84">
        <f t="shared" si="139"/>
        <v>0</v>
      </c>
      <c r="L4338" s="61" t="e">
        <f>VLOOKUP(K4338,[1]Mapping!$J$3:$Q$351,8,FALSE)</f>
        <v>#N/A</v>
      </c>
      <c r="M4338" t="s">
        <v>83</v>
      </c>
    </row>
    <row r="4339" spans="5:13" hidden="1" x14ac:dyDescent="0.35">
      <c r="E4339" s="81"/>
      <c r="I4339" s="83" t="e">
        <f>VLOOKUP(E4339,[1]Mapping!$A$3:$B$14,2,FALSE)</f>
        <v>#N/A</v>
      </c>
      <c r="J4339" s="84">
        <f t="shared" si="138"/>
        <v>0</v>
      </c>
      <c r="K4339" s="84">
        <f t="shared" si="139"/>
        <v>0</v>
      </c>
      <c r="L4339" s="61" t="e">
        <f>VLOOKUP(K4339,[1]Mapping!$J$3:$Q$351,8,FALSE)</f>
        <v>#N/A</v>
      </c>
      <c r="M4339" t="s">
        <v>83</v>
      </c>
    </row>
    <row r="4340" spans="5:13" hidden="1" x14ac:dyDescent="0.35">
      <c r="E4340" s="81"/>
      <c r="I4340" s="83" t="e">
        <f>VLOOKUP(E4340,[1]Mapping!$A$3:$B$14,2,FALSE)</f>
        <v>#N/A</v>
      </c>
      <c r="J4340" s="84">
        <f t="shared" si="138"/>
        <v>0</v>
      </c>
      <c r="K4340" s="84">
        <f t="shared" si="139"/>
        <v>0</v>
      </c>
      <c r="L4340" s="61" t="e">
        <f>VLOOKUP(K4340,[1]Mapping!$J$3:$Q$351,8,FALSE)</f>
        <v>#N/A</v>
      </c>
      <c r="M4340" t="s">
        <v>83</v>
      </c>
    </row>
    <row r="4341" spans="5:13" hidden="1" x14ac:dyDescent="0.35">
      <c r="E4341" s="81"/>
      <c r="I4341" s="83" t="e">
        <f>VLOOKUP(E4341,[1]Mapping!$A$3:$B$14,2,FALSE)</f>
        <v>#N/A</v>
      </c>
      <c r="J4341" s="84">
        <f t="shared" si="138"/>
        <v>0</v>
      </c>
      <c r="K4341" s="84">
        <f t="shared" si="139"/>
        <v>0</v>
      </c>
      <c r="L4341" s="61" t="e">
        <f>VLOOKUP(K4341,[1]Mapping!$J$3:$Q$351,8,FALSE)</f>
        <v>#N/A</v>
      </c>
      <c r="M4341" t="s">
        <v>83</v>
      </c>
    </row>
    <row r="4342" spans="5:13" hidden="1" x14ac:dyDescent="0.35">
      <c r="E4342" s="81"/>
      <c r="I4342" s="83" t="e">
        <f>VLOOKUP(E4342,[1]Mapping!$A$3:$B$14,2,FALSE)</f>
        <v>#N/A</v>
      </c>
      <c r="J4342" s="84">
        <f t="shared" si="138"/>
        <v>0</v>
      </c>
      <c r="K4342" s="84">
        <f t="shared" si="139"/>
        <v>0</v>
      </c>
      <c r="L4342" s="61" t="e">
        <f>VLOOKUP(K4342,[1]Mapping!$J$3:$Q$351,8,FALSE)</f>
        <v>#N/A</v>
      </c>
      <c r="M4342" t="s">
        <v>83</v>
      </c>
    </row>
    <row r="4343" spans="5:13" hidden="1" x14ac:dyDescent="0.35">
      <c r="E4343" s="81"/>
      <c r="I4343" s="83" t="e">
        <f>VLOOKUP(E4343,[1]Mapping!$A$3:$B$14,2,FALSE)</f>
        <v>#N/A</v>
      </c>
      <c r="J4343" s="84">
        <f t="shared" si="138"/>
        <v>0</v>
      </c>
      <c r="K4343" s="84">
        <f t="shared" si="139"/>
        <v>0</v>
      </c>
      <c r="L4343" s="61" t="e">
        <f>VLOOKUP(K4343,[1]Mapping!$J$3:$Q$351,8,FALSE)</f>
        <v>#N/A</v>
      </c>
      <c r="M4343" t="s">
        <v>83</v>
      </c>
    </row>
    <row r="4344" spans="5:13" hidden="1" x14ac:dyDescent="0.35">
      <c r="E4344" s="81"/>
      <c r="I4344" s="83" t="e">
        <f>VLOOKUP(E4344,[1]Mapping!$A$3:$B$14,2,FALSE)</f>
        <v>#N/A</v>
      </c>
      <c r="J4344" s="84">
        <f t="shared" si="138"/>
        <v>0</v>
      </c>
      <c r="K4344" s="84">
        <f t="shared" si="139"/>
        <v>0</v>
      </c>
      <c r="L4344" s="61" t="e">
        <f>VLOOKUP(K4344,[1]Mapping!$J$3:$Q$351,8,FALSE)</f>
        <v>#N/A</v>
      </c>
      <c r="M4344" t="s">
        <v>83</v>
      </c>
    </row>
    <row r="4345" spans="5:13" hidden="1" x14ac:dyDescent="0.35">
      <c r="E4345" s="81"/>
      <c r="I4345" s="83" t="e">
        <f>VLOOKUP(E4345,[1]Mapping!$A$3:$B$14,2,FALSE)</f>
        <v>#N/A</v>
      </c>
      <c r="J4345" s="84">
        <f t="shared" si="138"/>
        <v>0</v>
      </c>
      <c r="K4345" s="84">
        <f t="shared" si="139"/>
        <v>0</v>
      </c>
      <c r="L4345" s="61" t="e">
        <f>VLOOKUP(K4345,[1]Mapping!$J$3:$Q$351,8,FALSE)</f>
        <v>#N/A</v>
      </c>
      <c r="M4345" t="s">
        <v>83</v>
      </c>
    </row>
    <row r="4346" spans="5:13" hidden="1" x14ac:dyDescent="0.35">
      <c r="E4346" s="81"/>
      <c r="I4346" s="83" t="e">
        <f>VLOOKUP(E4346,[1]Mapping!$A$3:$B$14,2,FALSE)</f>
        <v>#N/A</v>
      </c>
      <c r="J4346" s="84">
        <f t="shared" si="138"/>
        <v>0</v>
      </c>
      <c r="K4346" s="84">
        <f t="shared" si="139"/>
        <v>0</v>
      </c>
      <c r="L4346" s="61" t="e">
        <f>VLOOKUP(K4346,[1]Mapping!$J$3:$Q$351,8,FALSE)</f>
        <v>#N/A</v>
      </c>
      <c r="M4346" t="s">
        <v>83</v>
      </c>
    </row>
    <row r="4347" spans="5:13" hidden="1" x14ac:dyDescent="0.35">
      <c r="E4347" s="81"/>
      <c r="I4347" s="83" t="e">
        <f>VLOOKUP(E4347,[1]Mapping!$A$3:$B$14,2,FALSE)</f>
        <v>#N/A</v>
      </c>
      <c r="J4347" s="84">
        <f t="shared" si="138"/>
        <v>0</v>
      </c>
      <c r="K4347" s="84">
        <f t="shared" si="139"/>
        <v>0</v>
      </c>
      <c r="L4347" s="61" t="e">
        <f>VLOOKUP(K4347,[1]Mapping!$J$3:$Q$351,8,FALSE)</f>
        <v>#N/A</v>
      </c>
      <c r="M4347" t="s">
        <v>83</v>
      </c>
    </row>
    <row r="4348" spans="5:13" hidden="1" x14ac:dyDescent="0.35">
      <c r="E4348" s="81"/>
      <c r="I4348" s="83" t="e">
        <f>VLOOKUP(E4348,[1]Mapping!$A$3:$B$14,2,FALSE)</f>
        <v>#N/A</v>
      </c>
      <c r="J4348" s="84">
        <f t="shared" si="138"/>
        <v>0</v>
      </c>
      <c r="K4348" s="84">
        <f t="shared" si="139"/>
        <v>0</v>
      </c>
      <c r="L4348" s="61" t="e">
        <f>VLOOKUP(K4348,[1]Mapping!$J$3:$Q$351,8,FALSE)</f>
        <v>#N/A</v>
      </c>
      <c r="M4348" t="s">
        <v>83</v>
      </c>
    </row>
    <row r="4349" spans="5:13" hidden="1" x14ac:dyDescent="0.35">
      <c r="E4349" s="81"/>
      <c r="I4349" s="83" t="e">
        <f>VLOOKUP(E4349,[1]Mapping!$A$3:$B$14,2,FALSE)</f>
        <v>#N/A</v>
      </c>
      <c r="J4349" s="84">
        <f t="shared" si="138"/>
        <v>0</v>
      </c>
      <c r="K4349" s="84">
        <f t="shared" si="139"/>
        <v>0</v>
      </c>
      <c r="L4349" s="61" t="e">
        <f>VLOOKUP(K4349,[1]Mapping!$J$3:$Q$351,8,FALSE)</f>
        <v>#N/A</v>
      </c>
      <c r="M4349" t="s">
        <v>83</v>
      </c>
    </row>
    <row r="4350" spans="5:13" hidden="1" x14ac:dyDescent="0.35">
      <c r="E4350" s="81"/>
      <c r="I4350" s="83" t="e">
        <f>VLOOKUP(E4350,[1]Mapping!$A$3:$B$14,2,FALSE)</f>
        <v>#N/A</v>
      </c>
      <c r="J4350" s="84">
        <f t="shared" si="138"/>
        <v>0</v>
      </c>
      <c r="K4350" s="84">
        <f t="shared" si="139"/>
        <v>0</v>
      </c>
      <c r="L4350" s="61" t="e">
        <f>VLOOKUP(K4350,[1]Mapping!$J$3:$Q$351,8,FALSE)</f>
        <v>#N/A</v>
      </c>
      <c r="M4350" t="s">
        <v>83</v>
      </c>
    </row>
    <row r="4351" spans="5:13" hidden="1" x14ac:dyDescent="0.35">
      <c r="E4351" s="81"/>
      <c r="I4351" s="83" t="e">
        <f>VLOOKUP(E4351,[1]Mapping!$A$3:$B$14,2,FALSE)</f>
        <v>#N/A</v>
      </c>
      <c r="J4351" s="84">
        <f t="shared" si="138"/>
        <v>0</v>
      </c>
      <c r="K4351" s="84">
        <f t="shared" si="139"/>
        <v>0</v>
      </c>
      <c r="L4351" s="61" t="e">
        <f>VLOOKUP(K4351,[1]Mapping!$J$3:$Q$351,8,FALSE)</f>
        <v>#N/A</v>
      </c>
      <c r="M4351" t="s">
        <v>83</v>
      </c>
    </row>
    <row r="4352" spans="5:13" hidden="1" x14ac:dyDescent="0.35">
      <c r="E4352" s="81"/>
      <c r="I4352" s="83" t="e">
        <f>VLOOKUP(E4352,[1]Mapping!$A$3:$B$14,2,FALSE)</f>
        <v>#N/A</v>
      </c>
      <c r="J4352" s="84">
        <f t="shared" si="138"/>
        <v>0</v>
      </c>
      <c r="K4352" s="84">
        <f t="shared" si="139"/>
        <v>0</v>
      </c>
      <c r="L4352" s="61" t="e">
        <f>VLOOKUP(K4352,[1]Mapping!$J$3:$Q$351,8,FALSE)</f>
        <v>#N/A</v>
      </c>
      <c r="M4352" t="s">
        <v>83</v>
      </c>
    </row>
    <row r="4353" spans="5:13" hidden="1" x14ac:dyDescent="0.35">
      <c r="E4353" s="81"/>
      <c r="I4353" s="83" t="e">
        <f>VLOOKUP(E4353,[1]Mapping!$A$3:$B$14,2,FALSE)</f>
        <v>#N/A</v>
      </c>
      <c r="J4353" s="84">
        <f t="shared" si="138"/>
        <v>0</v>
      </c>
      <c r="K4353" s="84">
        <f t="shared" si="139"/>
        <v>0</v>
      </c>
      <c r="L4353" s="61" t="e">
        <f>VLOOKUP(K4353,[1]Mapping!$J$3:$Q$351,8,FALSE)</f>
        <v>#N/A</v>
      </c>
      <c r="M4353" t="s">
        <v>83</v>
      </c>
    </row>
    <row r="4354" spans="5:13" hidden="1" x14ac:dyDescent="0.35">
      <c r="E4354" s="81"/>
      <c r="I4354" s="83" t="e">
        <f>VLOOKUP(E4354,[1]Mapping!$A$3:$B$14,2,FALSE)</f>
        <v>#N/A</v>
      </c>
      <c r="J4354" s="84">
        <f t="shared" si="138"/>
        <v>0</v>
      </c>
      <c r="K4354" s="84">
        <f t="shared" si="139"/>
        <v>0</v>
      </c>
      <c r="L4354" s="61" t="e">
        <f>VLOOKUP(K4354,[1]Mapping!$J$3:$Q$351,8,FALSE)</f>
        <v>#N/A</v>
      </c>
      <c r="M4354" t="s">
        <v>83</v>
      </c>
    </row>
    <row r="4355" spans="5:13" hidden="1" x14ac:dyDescent="0.35">
      <c r="E4355" s="81"/>
      <c r="I4355" s="83" t="e">
        <f>VLOOKUP(E4355,[1]Mapping!$A$3:$B$14,2,FALSE)</f>
        <v>#N/A</v>
      </c>
      <c r="J4355" s="84">
        <f t="shared" si="138"/>
        <v>0</v>
      </c>
      <c r="K4355" s="84">
        <f t="shared" si="139"/>
        <v>0</v>
      </c>
      <c r="L4355" s="61" t="e">
        <f>VLOOKUP(K4355,[1]Mapping!$J$3:$Q$351,8,FALSE)</f>
        <v>#N/A</v>
      </c>
      <c r="M4355" t="s">
        <v>83</v>
      </c>
    </row>
    <row r="4356" spans="5:13" hidden="1" x14ac:dyDescent="0.35">
      <c r="E4356" s="81"/>
      <c r="I4356" s="83" t="e">
        <f>VLOOKUP(E4356,[1]Mapping!$A$3:$B$14,2,FALSE)</f>
        <v>#N/A</v>
      </c>
      <c r="J4356" s="84">
        <f t="shared" si="138"/>
        <v>0</v>
      </c>
      <c r="K4356" s="84">
        <f t="shared" si="139"/>
        <v>0</v>
      </c>
      <c r="L4356" s="61" t="e">
        <f>VLOOKUP(K4356,[1]Mapping!$J$3:$Q$351,8,FALSE)</f>
        <v>#N/A</v>
      </c>
      <c r="M4356" t="s">
        <v>83</v>
      </c>
    </row>
    <row r="4357" spans="5:13" hidden="1" x14ac:dyDescent="0.35">
      <c r="E4357" s="81"/>
      <c r="I4357" s="83" t="e">
        <f>VLOOKUP(E4357,[1]Mapping!$A$3:$B$14,2,FALSE)</f>
        <v>#N/A</v>
      </c>
      <c r="J4357" s="84">
        <f t="shared" si="138"/>
        <v>0</v>
      </c>
      <c r="K4357" s="84">
        <f t="shared" si="139"/>
        <v>0</v>
      </c>
      <c r="L4357" s="61" t="e">
        <f>VLOOKUP(K4357,[1]Mapping!$J$3:$Q$351,8,FALSE)</f>
        <v>#N/A</v>
      </c>
      <c r="M4357" t="s">
        <v>83</v>
      </c>
    </row>
    <row r="4358" spans="5:13" hidden="1" x14ac:dyDescent="0.35">
      <c r="E4358" s="81"/>
      <c r="I4358" s="83" t="e">
        <f>VLOOKUP(E4358,[1]Mapping!$A$3:$B$14,2,FALSE)</f>
        <v>#N/A</v>
      </c>
      <c r="J4358" s="84">
        <f t="shared" si="138"/>
        <v>0</v>
      </c>
      <c r="K4358" s="84">
        <f t="shared" si="139"/>
        <v>0</v>
      </c>
      <c r="L4358" s="61" t="e">
        <f>VLOOKUP(K4358,[1]Mapping!$J$3:$Q$351,8,FALSE)</f>
        <v>#N/A</v>
      </c>
      <c r="M4358" t="s">
        <v>83</v>
      </c>
    </row>
    <row r="4359" spans="5:13" hidden="1" x14ac:dyDescent="0.35">
      <c r="E4359" s="81"/>
      <c r="I4359" s="83" t="e">
        <f>VLOOKUP(E4359,[1]Mapping!$A$3:$B$14,2,FALSE)</f>
        <v>#N/A</v>
      </c>
      <c r="J4359" s="84">
        <f t="shared" si="138"/>
        <v>0</v>
      </c>
      <c r="K4359" s="84">
        <f t="shared" si="139"/>
        <v>0</v>
      </c>
      <c r="L4359" s="61" t="e">
        <f>VLOOKUP(K4359,[1]Mapping!$J$3:$Q$351,8,FALSE)</f>
        <v>#N/A</v>
      </c>
      <c r="M4359" t="s">
        <v>83</v>
      </c>
    </row>
    <row r="4360" spans="5:13" hidden="1" x14ac:dyDescent="0.35">
      <c r="E4360" s="81"/>
      <c r="I4360" s="83" t="e">
        <f>VLOOKUP(E4360,[1]Mapping!$A$3:$B$14,2,FALSE)</f>
        <v>#N/A</v>
      </c>
      <c r="J4360" s="84">
        <f t="shared" si="138"/>
        <v>0</v>
      </c>
      <c r="K4360" s="84">
        <f t="shared" si="139"/>
        <v>0</v>
      </c>
      <c r="L4360" s="61" t="e">
        <f>VLOOKUP(K4360,[1]Mapping!$J$3:$Q$351,8,FALSE)</f>
        <v>#N/A</v>
      </c>
      <c r="M4360" t="s">
        <v>83</v>
      </c>
    </row>
    <row r="4361" spans="5:13" hidden="1" x14ac:dyDescent="0.35">
      <c r="E4361" s="81"/>
      <c r="I4361" s="83" t="e">
        <f>VLOOKUP(E4361,[1]Mapping!$A$3:$B$14,2,FALSE)</f>
        <v>#N/A</v>
      </c>
      <c r="J4361" s="84">
        <f t="shared" si="138"/>
        <v>0</v>
      </c>
      <c r="K4361" s="84">
        <f t="shared" si="139"/>
        <v>0</v>
      </c>
      <c r="L4361" s="61" t="e">
        <f>VLOOKUP(K4361,[1]Mapping!$J$3:$Q$351,8,FALSE)</f>
        <v>#N/A</v>
      </c>
      <c r="M4361" t="s">
        <v>83</v>
      </c>
    </row>
    <row r="4362" spans="5:13" hidden="1" x14ac:dyDescent="0.35">
      <c r="E4362" s="81"/>
      <c r="I4362" s="83" t="e">
        <f>VLOOKUP(E4362,[1]Mapping!$A$3:$B$14,2,FALSE)</f>
        <v>#N/A</v>
      </c>
      <c r="J4362" s="84">
        <f t="shared" si="138"/>
        <v>0</v>
      </c>
      <c r="K4362" s="84">
        <f t="shared" si="139"/>
        <v>0</v>
      </c>
      <c r="L4362" s="61" t="e">
        <f>VLOOKUP(K4362,[1]Mapping!$J$3:$Q$351,8,FALSE)</f>
        <v>#N/A</v>
      </c>
      <c r="M4362" t="s">
        <v>83</v>
      </c>
    </row>
    <row r="4363" spans="5:13" hidden="1" x14ac:dyDescent="0.35">
      <c r="E4363" s="81"/>
      <c r="I4363" s="83" t="e">
        <f>VLOOKUP(E4363,[1]Mapping!$A$3:$B$14,2,FALSE)</f>
        <v>#N/A</v>
      </c>
      <c r="J4363" s="84">
        <f t="shared" si="138"/>
        <v>0</v>
      </c>
      <c r="K4363" s="84">
        <f t="shared" si="139"/>
        <v>0</v>
      </c>
      <c r="L4363" s="61" t="e">
        <f>VLOOKUP(K4363,[1]Mapping!$J$3:$Q$351,8,FALSE)</f>
        <v>#N/A</v>
      </c>
      <c r="M4363" t="s">
        <v>83</v>
      </c>
    </row>
    <row r="4364" spans="5:13" hidden="1" x14ac:dyDescent="0.35">
      <c r="E4364" s="81"/>
      <c r="I4364" s="83" t="e">
        <f>VLOOKUP(E4364,[1]Mapping!$A$3:$B$14,2,FALSE)</f>
        <v>#N/A</v>
      </c>
      <c r="J4364" s="84">
        <f t="shared" si="138"/>
        <v>0</v>
      </c>
      <c r="K4364" s="84">
        <f t="shared" si="139"/>
        <v>0</v>
      </c>
      <c r="L4364" s="61" t="e">
        <f>VLOOKUP(K4364,[1]Mapping!$J$3:$Q$351,8,FALSE)</f>
        <v>#N/A</v>
      </c>
      <c r="M4364" t="s">
        <v>83</v>
      </c>
    </row>
    <row r="4365" spans="5:13" hidden="1" x14ac:dyDescent="0.35">
      <c r="E4365" s="81"/>
      <c r="I4365" s="83" t="e">
        <f>VLOOKUP(E4365,[1]Mapping!$A$3:$B$14,2,FALSE)</f>
        <v>#N/A</v>
      </c>
      <c r="J4365" s="84">
        <f t="shared" si="138"/>
        <v>0</v>
      </c>
      <c r="K4365" s="84">
        <f t="shared" si="139"/>
        <v>0</v>
      </c>
      <c r="L4365" s="61" t="e">
        <f>VLOOKUP(K4365,[1]Mapping!$J$3:$Q$351,8,FALSE)</f>
        <v>#N/A</v>
      </c>
      <c r="M4365" t="s">
        <v>83</v>
      </c>
    </row>
    <row r="4366" spans="5:13" hidden="1" x14ac:dyDescent="0.35">
      <c r="E4366" s="81"/>
      <c r="I4366" s="83" t="e">
        <f>VLOOKUP(E4366,[1]Mapping!$A$3:$B$14,2,FALSE)</f>
        <v>#N/A</v>
      </c>
      <c r="J4366" s="84">
        <f t="shared" si="138"/>
        <v>0</v>
      </c>
      <c r="K4366" s="84">
        <f t="shared" si="139"/>
        <v>0</v>
      </c>
      <c r="L4366" s="61" t="e">
        <f>VLOOKUP(K4366,[1]Mapping!$J$3:$Q$351,8,FALSE)</f>
        <v>#N/A</v>
      </c>
      <c r="M4366" t="s">
        <v>83</v>
      </c>
    </row>
    <row r="4367" spans="5:13" hidden="1" x14ac:dyDescent="0.35">
      <c r="E4367" s="81"/>
      <c r="I4367" s="83" t="e">
        <f>VLOOKUP(E4367,[1]Mapping!$A$3:$B$14,2,FALSE)</f>
        <v>#N/A</v>
      </c>
      <c r="J4367" s="84">
        <f t="shared" si="138"/>
        <v>0</v>
      </c>
      <c r="K4367" s="84">
        <f t="shared" si="139"/>
        <v>0</v>
      </c>
      <c r="L4367" s="61" t="e">
        <f>VLOOKUP(K4367,[1]Mapping!$J$3:$Q$351,8,FALSE)</f>
        <v>#N/A</v>
      </c>
      <c r="M4367" t="s">
        <v>83</v>
      </c>
    </row>
    <row r="4368" spans="5:13" hidden="1" x14ac:dyDescent="0.35">
      <c r="E4368" s="81"/>
      <c r="I4368" s="83" t="e">
        <f>VLOOKUP(E4368,[1]Mapping!$A$3:$B$14,2,FALSE)</f>
        <v>#N/A</v>
      </c>
      <c r="J4368" s="84">
        <f t="shared" ref="J4368:J4431" si="140">VALUE(A4368)</f>
        <v>0</v>
      </c>
      <c r="K4368" s="84">
        <f t="shared" ref="K4368:K4431" si="141">VALUE(C4368)</f>
        <v>0</v>
      </c>
      <c r="L4368" s="61" t="e">
        <f>VLOOKUP(K4368,[1]Mapping!$J$3:$Q$351,8,FALSE)</f>
        <v>#N/A</v>
      </c>
      <c r="M4368" t="s">
        <v>83</v>
      </c>
    </row>
    <row r="4369" spans="5:13" hidden="1" x14ac:dyDescent="0.35">
      <c r="E4369" s="81"/>
      <c r="I4369" s="83" t="e">
        <f>VLOOKUP(E4369,[1]Mapping!$A$3:$B$14,2,FALSE)</f>
        <v>#N/A</v>
      </c>
      <c r="J4369" s="84">
        <f t="shared" si="140"/>
        <v>0</v>
      </c>
      <c r="K4369" s="84">
        <f t="shared" si="141"/>
        <v>0</v>
      </c>
      <c r="L4369" s="61" t="e">
        <f>VLOOKUP(K4369,[1]Mapping!$J$3:$Q$351,8,FALSE)</f>
        <v>#N/A</v>
      </c>
      <c r="M4369" t="s">
        <v>83</v>
      </c>
    </row>
    <row r="4370" spans="5:13" hidden="1" x14ac:dyDescent="0.35">
      <c r="E4370" s="81"/>
      <c r="I4370" s="83" t="e">
        <f>VLOOKUP(E4370,[1]Mapping!$A$3:$B$14,2,FALSE)</f>
        <v>#N/A</v>
      </c>
      <c r="J4370" s="84">
        <f t="shared" si="140"/>
        <v>0</v>
      </c>
      <c r="K4370" s="84">
        <f t="shared" si="141"/>
        <v>0</v>
      </c>
      <c r="L4370" s="61" t="e">
        <f>VLOOKUP(K4370,[1]Mapping!$J$3:$Q$351,8,FALSE)</f>
        <v>#N/A</v>
      </c>
      <c r="M4370" t="s">
        <v>83</v>
      </c>
    </row>
    <row r="4371" spans="5:13" hidden="1" x14ac:dyDescent="0.35">
      <c r="E4371" s="81"/>
      <c r="I4371" s="83" t="e">
        <f>VLOOKUP(E4371,[1]Mapping!$A$3:$B$14,2,FALSE)</f>
        <v>#N/A</v>
      </c>
      <c r="J4371" s="84">
        <f t="shared" si="140"/>
        <v>0</v>
      </c>
      <c r="K4371" s="84">
        <f t="shared" si="141"/>
        <v>0</v>
      </c>
      <c r="L4371" s="61" t="e">
        <f>VLOOKUP(K4371,[1]Mapping!$J$3:$Q$351,8,FALSE)</f>
        <v>#N/A</v>
      </c>
      <c r="M4371" t="s">
        <v>83</v>
      </c>
    </row>
    <row r="4372" spans="5:13" hidden="1" x14ac:dyDescent="0.35">
      <c r="E4372" s="81"/>
      <c r="I4372" s="83" t="e">
        <f>VLOOKUP(E4372,[1]Mapping!$A$3:$B$14,2,FALSE)</f>
        <v>#N/A</v>
      </c>
      <c r="J4372" s="84">
        <f t="shared" si="140"/>
        <v>0</v>
      </c>
      <c r="K4372" s="84">
        <f t="shared" si="141"/>
        <v>0</v>
      </c>
      <c r="L4372" s="61" t="e">
        <f>VLOOKUP(K4372,[1]Mapping!$J$3:$Q$351,8,FALSE)</f>
        <v>#N/A</v>
      </c>
      <c r="M4372" t="s">
        <v>83</v>
      </c>
    </row>
    <row r="4373" spans="5:13" hidden="1" x14ac:dyDescent="0.35">
      <c r="E4373" s="81"/>
      <c r="I4373" s="83" t="e">
        <f>VLOOKUP(E4373,[1]Mapping!$A$3:$B$14,2,FALSE)</f>
        <v>#N/A</v>
      </c>
      <c r="J4373" s="84">
        <f t="shared" si="140"/>
        <v>0</v>
      </c>
      <c r="K4373" s="84">
        <f t="shared" si="141"/>
        <v>0</v>
      </c>
      <c r="L4373" s="61" t="e">
        <f>VLOOKUP(K4373,[1]Mapping!$J$3:$Q$351,8,FALSE)</f>
        <v>#N/A</v>
      </c>
      <c r="M4373" t="s">
        <v>83</v>
      </c>
    </row>
    <row r="4374" spans="5:13" hidden="1" x14ac:dyDescent="0.35">
      <c r="E4374" s="81"/>
      <c r="I4374" s="83" t="e">
        <f>VLOOKUP(E4374,[1]Mapping!$A$3:$B$14,2,FALSE)</f>
        <v>#N/A</v>
      </c>
      <c r="J4374" s="84">
        <f t="shared" si="140"/>
        <v>0</v>
      </c>
      <c r="K4374" s="84">
        <f t="shared" si="141"/>
        <v>0</v>
      </c>
      <c r="L4374" s="61" t="e">
        <f>VLOOKUP(K4374,[1]Mapping!$J$3:$Q$351,8,FALSE)</f>
        <v>#N/A</v>
      </c>
      <c r="M4374" t="s">
        <v>83</v>
      </c>
    </row>
    <row r="4375" spans="5:13" hidden="1" x14ac:dyDescent="0.35">
      <c r="E4375" s="81"/>
      <c r="I4375" s="83" t="e">
        <f>VLOOKUP(E4375,[1]Mapping!$A$3:$B$14,2,FALSE)</f>
        <v>#N/A</v>
      </c>
      <c r="J4375" s="84">
        <f t="shared" si="140"/>
        <v>0</v>
      </c>
      <c r="K4375" s="84">
        <f t="shared" si="141"/>
        <v>0</v>
      </c>
      <c r="L4375" s="61" t="e">
        <f>VLOOKUP(K4375,[1]Mapping!$J$3:$Q$351,8,FALSE)</f>
        <v>#N/A</v>
      </c>
      <c r="M4375" t="s">
        <v>83</v>
      </c>
    </row>
    <row r="4376" spans="5:13" hidden="1" x14ac:dyDescent="0.35">
      <c r="E4376" s="81"/>
      <c r="I4376" s="83" t="e">
        <f>VLOOKUP(E4376,[1]Mapping!$A$3:$B$14,2,FALSE)</f>
        <v>#N/A</v>
      </c>
      <c r="J4376" s="84">
        <f t="shared" si="140"/>
        <v>0</v>
      </c>
      <c r="K4376" s="84">
        <f t="shared" si="141"/>
        <v>0</v>
      </c>
      <c r="L4376" s="61" t="e">
        <f>VLOOKUP(K4376,[1]Mapping!$J$3:$Q$351,8,FALSE)</f>
        <v>#N/A</v>
      </c>
      <c r="M4376" t="s">
        <v>83</v>
      </c>
    </row>
    <row r="4377" spans="5:13" hidden="1" x14ac:dyDescent="0.35">
      <c r="E4377" s="81"/>
      <c r="I4377" s="83" t="e">
        <f>VLOOKUP(E4377,[1]Mapping!$A$3:$B$14,2,FALSE)</f>
        <v>#N/A</v>
      </c>
      <c r="J4377" s="84">
        <f t="shared" si="140"/>
        <v>0</v>
      </c>
      <c r="K4377" s="84">
        <f t="shared" si="141"/>
        <v>0</v>
      </c>
      <c r="L4377" s="61" t="e">
        <f>VLOOKUP(K4377,[1]Mapping!$J$3:$Q$351,8,FALSE)</f>
        <v>#N/A</v>
      </c>
      <c r="M4377" t="s">
        <v>83</v>
      </c>
    </row>
    <row r="4378" spans="5:13" hidden="1" x14ac:dyDescent="0.35">
      <c r="E4378" s="81"/>
      <c r="I4378" s="83" t="e">
        <f>VLOOKUP(E4378,[1]Mapping!$A$3:$B$14,2,FALSE)</f>
        <v>#N/A</v>
      </c>
      <c r="J4378" s="84">
        <f t="shared" si="140"/>
        <v>0</v>
      </c>
      <c r="K4378" s="84">
        <f t="shared" si="141"/>
        <v>0</v>
      </c>
      <c r="L4378" s="61" t="e">
        <f>VLOOKUP(K4378,[1]Mapping!$J$3:$Q$351,8,FALSE)</f>
        <v>#N/A</v>
      </c>
      <c r="M4378" t="s">
        <v>83</v>
      </c>
    </row>
    <row r="4379" spans="5:13" hidden="1" x14ac:dyDescent="0.35">
      <c r="E4379" s="81"/>
      <c r="I4379" s="83" t="e">
        <f>VLOOKUP(E4379,[1]Mapping!$A$3:$B$14,2,FALSE)</f>
        <v>#N/A</v>
      </c>
      <c r="J4379" s="84">
        <f t="shared" si="140"/>
        <v>0</v>
      </c>
      <c r="K4379" s="84">
        <f t="shared" si="141"/>
        <v>0</v>
      </c>
      <c r="L4379" s="61" t="e">
        <f>VLOOKUP(K4379,[1]Mapping!$J$3:$Q$351,8,FALSE)</f>
        <v>#N/A</v>
      </c>
      <c r="M4379" t="s">
        <v>83</v>
      </c>
    </row>
    <row r="4380" spans="5:13" hidden="1" x14ac:dyDescent="0.35">
      <c r="E4380" s="81"/>
      <c r="I4380" s="83" t="e">
        <f>VLOOKUP(E4380,[1]Mapping!$A$3:$B$14,2,FALSE)</f>
        <v>#N/A</v>
      </c>
      <c r="J4380" s="84">
        <f t="shared" si="140"/>
        <v>0</v>
      </c>
      <c r="K4380" s="84">
        <f t="shared" si="141"/>
        <v>0</v>
      </c>
      <c r="L4380" s="61" t="e">
        <f>VLOOKUP(K4380,[1]Mapping!$J$3:$Q$351,8,FALSE)</f>
        <v>#N/A</v>
      </c>
      <c r="M4380" t="s">
        <v>83</v>
      </c>
    </row>
    <row r="4381" spans="5:13" hidden="1" x14ac:dyDescent="0.35">
      <c r="E4381" s="81"/>
      <c r="I4381" s="83" t="e">
        <f>VLOOKUP(E4381,[1]Mapping!$A$3:$B$14,2,FALSE)</f>
        <v>#N/A</v>
      </c>
      <c r="J4381" s="84">
        <f t="shared" si="140"/>
        <v>0</v>
      </c>
      <c r="K4381" s="84">
        <f t="shared" si="141"/>
        <v>0</v>
      </c>
      <c r="L4381" s="61" t="e">
        <f>VLOOKUP(K4381,[1]Mapping!$J$3:$Q$351,8,FALSE)</f>
        <v>#N/A</v>
      </c>
      <c r="M4381" t="s">
        <v>83</v>
      </c>
    </row>
    <row r="4382" spans="5:13" hidden="1" x14ac:dyDescent="0.35">
      <c r="E4382" s="81"/>
      <c r="I4382" s="83" t="e">
        <f>VLOOKUP(E4382,[1]Mapping!$A$3:$B$14,2,FALSE)</f>
        <v>#N/A</v>
      </c>
      <c r="J4382" s="84">
        <f t="shared" si="140"/>
        <v>0</v>
      </c>
      <c r="K4382" s="84">
        <f t="shared" si="141"/>
        <v>0</v>
      </c>
      <c r="L4382" s="61" t="e">
        <f>VLOOKUP(K4382,[1]Mapping!$J$3:$Q$351,8,FALSE)</f>
        <v>#N/A</v>
      </c>
      <c r="M4382" t="s">
        <v>83</v>
      </c>
    </row>
    <row r="4383" spans="5:13" hidden="1" x14ac:dyDescent="0.35">
      <c r="E4383" s="81"/>
      <c r="I4383" s="83" t="e">
        <f>VLOOKUP(E4383,[1]Mapping!$A$3:$B$14,2,FALSE)</f>
        <v>#N/A</v>
      </c>
      <c r="J4383" s="84">
        <f t="shared" si="140"/>
        <v>0</v>
      </c>
      <c r="K4383" s="84">
        <f t="shared" si="141"/>
        <v>0</v>
      </c>
      <c r="L4383" s="61" t="e">
        <f>VLOOKUP(K4383,[1]Mapping!$J$3:$Q$351,8,FALSE)</f>
        <v>#N/A</v>
      </c>
      <c r="M4383" t="s">
        <v>83</v>
      </c>
    </row>
    <row r="4384" spans="5:13" hidden="1" x14ac:dyDescent="0.35">
      <c r="E4384" s="81"/>
      <c r="I4384" s="83" t="e">
        <f>VLOOKUP(E4384,[1]Mapping!$A$3:$B$14,2,FALSE)</f>
        <v>#N/A</v>
      </c>
      <c r="J4384" s="84">
        <f t="shared" si="140"/>
        <v>0</v>
      </c>
      <c r="K4384" s="84">
        <f t="shared" si="141"/>
        <v>0</v>
      </c>
      <c r="L4384" s="61" t="e">
        <f>VLOOKUP(K4384,[1]Mapping!$J$3:$Q$351,8,FALSE)</f>
        <v>#N/A</v>
      </c>
      <c r="M4384" t="s">
        <v>83</v>
      </c>
    </row>
    <row r="4385" spans="5:13" hidden="1" x14ac:dyDescent="0.35">
      <c r="E4385" s="81"/>
      <c r="I4385" s="83" t="e">
        <f>VLOOKUP(E4385,[1]Mapping!$A$3:$B$14,2,FALSE)</f>
        <v>#N/A</v>
      </c>
      <c r="J4385" s="84">
        <f t="shared" si="140"/>
        <v>0</v>
      </c>
      <c r="K4385" s="84">
        <f t="shared" si="141"/>
        <v>0</v>
      </c>
      <c r="L4385" s="61" t="e">
        <f>VLOOKUP(K4385,[1]Mapping!$J$3:$Q$351,8,FALSE)</f>
        <v>#N/A</v>
      </c>
      <c r="M4385" t="s">
        <v>83</v>
      </c>
    </row>
    <row r="4386" spans="5:13" hidden="1" x14ac:dyDescent="0.35">
      <c r="E4386" s="81"/>
      <c r="I4386" s="83" t="e">
        <f>VLOOKUP(E4386,[1]Mapping!$A$3:$B$14,2,FALSE)</f>
        <v>#N/A</v>
      </c>
      <c r="J4386" s="84">
        <f t="shared" si="140"/>
        <v>0</v>
      </c>
      <c r="K4386" s="84">
        <f t="shared" si="141"/>
        <v>0</v>
      </c>
      <c r="L4386" s="61" t="e">
        <f>VLOOKUP(K4386,[1]Mapping!$J$3:$Q$351,8,FALSE)</f>
        <v>#N/A</v>
      </c>
      <c r="M4386" t="s">
        <v>83</v>
      </c>
    </row>
    <row r="4387" spans="5:13" hidden="1" x14ac:dyDescent="0.35">
      <c r="E4387" s="81"/>
      <c r="I4387" s="83" t="e">
        <f>VLOOKUP(E4387,[1]Mapping!$A$3:$B$14,2,FALSE)</f>
        <v>#N/A</v>
      </c>
      <c r="J4387" s="84">
        <f t="shared" si="140"/>
        <v>0</v>
      </c>
      <c r="K4387" s="84">
        <f t="shared" si="141"/>
        <v>0</v>
      </c>
      <c r="L4387" s="61" t="e">
        <f>VLOOKUP(K4387,[1]Mapping!$J$3:$Q$351,8,FALSE)</f>
        <v>#N/A</v>
      </c>
      <c r="M4387" t="s">
        <v>83</v>
      </c>
    </row>
    <row r="4388" spans="5:13" hidden="1" x14ac:dyDescent="0.35">
      <c r="E4388" s="81"/>
      <c r="I4388" s="83" t="e">
        <f>VLOOKUP(E4388,[1]Mapping!$A$3:$B$14,2,FALSE)</f>
        <v>#N/A</v>
      </c>
      <c r="J4388" s="84">
        <f t="shared" si="140"/>
        <v>0</v>
      </c>
      <c r="K4388" s="84">
        <f t="shared" si="141"/>
        <v>0</v>
      </c>
      <c r="L4388" s="61" t="e">
        <f>VLOOKUP(K4388,[1]Mapping!$J$3:$Q$351,8,FALSE)</f>
        <v>#N/A</v>
      </c>
      <c r="M4388" t="s">
        <v>83</v>
      </c>
    </row>
    <row r="4389" spans="5:13" hidden="1" x14ac:dyDescent="0.35">
      <c r="E4389" s="81"/>
      <c r="I4389" s="83" t="e">
        <f>VLOOKUP(E4389,[1]Mapping!$A$3:$B$14,2,FALSE)</f>
        <v>#N/A</v>
      </c>
      <c r="J4389" s="84">
        <f t="shared" si="140"/>
        <v>0</v>
      </c>
      <c r="K4389" s="84">
        <f t="shared" si="141"/>
        <v>0</v>
      </c>
      <c r="L4389" s="61" t="e">
        <f>VLOOKUP(K4389,[1]Mapping!$J$3:$Q$351,8,FALSE)</f>
        <v>#N/A</v>
      </c>
      <c r="M4389" t="s">
        <v>83</v>
      </c>
    </row>
    <row r="4390" spans="5:13" hidden="1" x14ac:dyDescent="0.35">
      <c r="E4390" s="81"/>
      <c r="I4390" s="83" t="e">
        <f>VLOOKUP(E4390,[1]Mapping!$A$3:$B$14,2,FALSE)</f>
        <v>#N/A</v>
      </c>
      <c r="J4390" s="84">
        <f t="shared" si="140"/>
        <v>0</v>
      </c>
      <c r="K4390" s="84">
        <f t="shared" si="141"/>
        <v>0</v>
      </c>
      <c r="L4390" s="61" t="e">
        <f>VLOOKUP(K4390,[1]Mapping!$J$3:$Q$351,8,FALSE)</f>
        <v>#N/A</v>
      </c>
      <c r="M4390" t="s">
        <v>83</v>
      </c>
    </row>
    <row r="4391" spans="5:13" hidden="1" x14ac:dyDescent="0.35">
      <c r="E4391" s="81"/>
      <c r="I4391" s="83" t="e">
        <f>VLOOKUP(E4391,[1]Mapping!$A$3:$B$14,2,FALSE)</f>
        <v>#N/A</v>
      </c>
      <c r="J4391" s="84">
        <f t="shared" si="140"/>
        <v>0</v>
      </c>
      <c r="K4391" s="84">
        <f t="shared" si="141"/>
        <v>0</v>
      </c>
      <c r="L4391" s="61" t="e">
        <f>VLOOKUP(K4391,[1]Mapping!$J$3:$Q$351,8,FALSE)</f>
        <v>#N/A</v>
      </c>
      <c r="M4391" t="s">
        <v>83</v>
      </c>
    </row>
    <row r="4392" spans="5:13" hidden="1" x14ac:dyDescent="0.35">
      <c r="E4392" s="81"/>
      <c r="I4392" s="83" t="e">
        <f>VLOOKUP(E4392,[1]Mapping!$A$3:$B$14,2,FALSE)</f>
        <v>#N/A</v>
      </c>
      <c r="J4392" s="84">
        <f t="shared" si="140"/>
        <v>0</v>
      </c>
      <c r="K4392" s="84">
        <f t="shared" si="141"/>
        <v>0</v>
      </c>
      <c r="L4392" s="61" t="e">
        <f>VLOOKUP(K4392,[1]Mapping!$J$3:$Q$351,8,FALSE)</f>
        <v>#N/A</v>
      </c>
      <c r="M4392" t="s">
        <v>83</v>
      </c>
    </row>
    <row r="4393" spans="5:13" hidden="1" x14ac:dyDescent="0.35">
      <c r="E4393" s="81"/>
      <c r="I4393" s="83" t="e">
        <f>VLOOKUP(E4393,[1]Mapping!$A$3:$B$14,2,FALSE)</f>
        <v>#N/A</v>
      </c>
      <c r="J4393" s="84">
        <f t="shared" si="140"/>
        <v>0</v>
      </c>
      <c r="K4393" s="84">
        <f t="shared" si="141"/>
        <v>0</v>
      </c>
      <c r="L4393" s="61" t="e">
        <f>VLOOKUP(K4393,[1]Mapping!$J$3:$Q$351,8,FALSE)</f>
        <v>#N/A</v>
      </c>
      <c r="M4393" t="s">
        <v>83</v>
      </c>
    </row>
    <row r="4394" spans="5:13" hidden="1" x14ac:dyDescent="0.35">
      <c r="E4394" s="81"/>
      <c r="I4394" s="83" t="e">
        <f>VLOOKUP(E4394,[1]Mapping!$A$3:$B$14,2,FALSE)</f>
        <v>#N/A</v>
      </c>
      <c r="J4394" s="84">
        <f t="shared" si="140"/>
        <v>0</v>
      </c>
      <c r="K4394" s="84">
        <f t="shared" si="141"/>
        <v>0</v>
      </c>
      <c r="L4394" s="61" t="e">
        <f>VLOOKUP(K4394,[1]Mapping!$J$3:$Q$351,8,FALSE)</f>
        <v>#N/A</v>
      </c>
    </row>
    <row r="4395" spans="5:13" hidden="1" x14ac:dyDescent="0.35">
      <c r="E4395" s="81"/>
      <c r="I4395" s="83" t="e">
        <f>VLOOKUP(E4395,[1]Mapping!$A$3:$B$14,2,FALSE)</f>
        <v>#N/A</v>
      </c>
      <c r="J4395" s="84">
        <f t="shared" si="140"/>
        <v>0</v>
      </c>
      <c r="K4395" s="84">
        <f t="shared" si="141"/>
        <v>0</v>
      </c>
      <c r="L4395" s="61" t="e">
        <f>VLOOKUP(K4395,[1]Mapping!$J$3:$Q$351,8,FALSE)</f>
        <v>#N/A</v>
      </c>
    </row>
    <row r="4396" spans="5:13" hidden="1" x14ac:dyDescent="0.35">
      <c r="E4396" s="81"/>
      <c r="I4396" s="83" t="e">
        <f>VLOOKUP(E4396,[1]Mapping!$A$3:$B$14,2,FALSE)</f>
        <v>#N/A</v>
      </c>
      <c r="J4396" s="84">
        <f t="shared" si="140"/>
        <v>0</v>
      </c>
      <c r="K4396" s="84">
        <f t="shared" si="141"/>
        <v>0</v>
      </c>
      <c r="L4396" s="61" t="e">
        <f>VLOOKUP(K4396,[1]Mapping!$J$3:$Q$351,8,FALSE)</f>
        <v>#N/A</v>
      </c>
    </row>
    <row r="4397" spans="5:13" hidden="1" x14ac:dyDescent="0.35">
      <c r="E4397" s="81"/>
      <c r="I4397" s="83" t="e">
        <f>VLOOKUP(E4397,[1]Mapping!$A$3:$B$14,2,FALSE)</f>
        <v>#N/A</v>
      </c>
      <c r="J4397" s="84">
        <f t="shared" si="140"/>
        <v>0</v>
      </c>
      <c r="K4397" s="84">
        <f t="shared" si="141"/>
        <v>0</v>
      </c>
      <c r="L4397" s="61" t="e">
        <f>VLOOKUP(K4397,[1]Mapping!$J$3:$Q$351,8,FALSE)</f>
        <v>#N/A</v>
      </c>
    </row>
    <row r="4398" spans="5:13" hidden="1" x14ac:dyDescent="0.35">
      <c r="E4398" s="81"/>
      <c r="I4398" s="83" t="e">
        <f>VLOOKUP(E4398,[1]Mapping!$A$3:$B$14,2,FALSE)</f>
        <v>#N/A</v>
      </c>
      <c r="J4398" s="84">
        <f t="shared" si="140"/>
        <v>0</v>
      </c>
      <c r="K4398" s="84">
        <f t="shared" si="141"/>
        <v>0</v>
      </c>
      <c r="L4398" s="61" t="e">
        <f>VLOOKUP(K4398,[1]Mapping!$J$3:$Q$351,8,FALSE)</f>
        <v>#N/A</v>
      </c>
    </row>
    <row r="4399" spans="5:13" hidden="1" x14ac:dyDescent="0.35">
      <c r="E4399" s="81"/>
      <c r="I4399" s="83" t="e">
        <f>VLOOKUP(E4399,[1]Mapping!$A$3:$B$14,2,FALSE)</f>
        <v>#N/A</v>
      </c>
      <c r="J4399" s="84">
        <f t="shared" si="140"/>
        <v>0</v>
      </c>
      <c r="K4399" s="84">
        <f t="shared" si="141"/>
        <v>0</v>
      </c>
      <c r="L4399" s="61" t="e">
        <f>VLOOKUP(K4399,[1]Mapping!$J$3:$Q$351,8,FALSE)</f>
        <v>#N/A</v>
      </c>
    </row>
    <row r="4400" spans="5:13" hidden="1" x14ac:dyDescent="0.35">
      <c r="E4400" s="81"/>
      <c r="I4400" s="83" t="e">
        <f>VLOOKUP(E4400,[1]Mapping!$A$3:$B$14,2,FALSE)</f>
        <v>#N/A</v>
      </c>
      <c r="J4400" s="84">
        <f t="shared" si="140"/>
        <v>0</v>
      </c>
      <c r="K4400" s="84">
        <f t="shared" si="141"/>
        <v>0</v>
      </c>
      <c r="L4400" s="61" t="e">
        <f>VLOOKUP(K4400,[1]Mapping!$J$3:$Q$351,8,FALSE)</f>
        <v>#N/A</v>
      </c>
    </row>
    <row r="4401" spans="5:13" hidden="1" x14ac:dyDescent="0.35">
      <c r="E4401" s="81"/>
      <c r="I4401" s="83" t="e">
        <f>VLOOKUP(E4401,[1]Mapping!$A$3:$B$14,2,FALSE)</f>
        <v>#N/A</v>
      </c>
      <c r="J4401" s="84">
        <f t="shared" si="140"/>
        <v>0</v>
      </c>
      <c r="K4401" s="84">
        <f t="shared" si="141"/>
        <v>0</v>
      </c>
      <c r="L4401" s="61" t="e">
        <f>VLOOKUP(K4401,[1]Mapping!$J$3:$Q$351,8,FALSE)</f>
        <v>#N/A</v>
      </c>
      <c r="M4401" t="s">
        <v>83</v>
      </c>
    </row>
    <row r="4402" spans="5:13" hidden="1" x14ac:dyDescent="0.35">
      <c r="E4402" s="81"/>
      <c r="I4402" s="83" t="e">
        <f>VLOOKUP(E4402,[1]Mapping!$A$3:$B$14,2,FALSE)</f>
        <v>#N/A</v>
      </c>
      <c r="J4402" s="84">
        <f t="shared" si="140"/>
        <v>0</v>
      </c>
      <c r="K4402" s="84">
        <f t="shared" si="141"/>
        <v>0</v>
      </c>
      <c r="L4402" s="61" t="e">
        <f>VLOOKUP(K4402,[1]Mapping!$J$3:$Q$351,8,FALSE)</f>
        <v>#N/A</v>
      </c>
      <c r="M4402" t="s">
        <v>83</v>
      </c>
    </row>
    <row r="4403" spans="5:13" hidden="1" x14ac:dyDescent="0.35">
      <c r="E4403" s="81"/>
      <c r="I4403" s="83" t="e">
        <f>VLOOKUP(E4403,[1]Mapping!$A$3:$B$14,2,FALSE)</f>
        <v>#N/A</v>
      </c>
      <c r="J4403" s="84">
        <f t="shared" si="140"/>
        <v>0</v>
      </c>
      <c r="K4403" s="84">
        <f t="shared" si="141"/>
        <v>0</v>
      </c>
      <c r="L4403" s="61" t="e">
        <f>VLOOKUP(K4403,[1]Mapping!$J$3:$Q$351,8,FALSE)</f>
        <v>#N/A</v>
      </c>
      <c r="M4403" t="s">
        <v>83</v>
      </c>
    </row>
    <row r="4404" spans="5:13" hidden="1" x14ac:dyDescent="0.35">
      <c r="E4404" s="81"/>
      <c r="I4404" s="83" t="e">
        <f>VLOOKUP(E4404,[1]Mapping!$A$3:$B$14,2,FALSE)</f>
        <v>#N/A</v>
      </c>
      <c r="J4404" s="84">
        <f t="shared" si="140"/>
        <v>0</v>
      </c>
      <c r="K4404" s="84">
        <f t="shared" si="141"/>
        <v>0</v>
      </c>
      <c r="L4404" s="61" t="e">
        <f>VLOOKUP(K4404,[1]Mapping!$J$3:$Q$351,8,FALSE)</f>
        <v>#N/A</v>
      </c>
      <c r="M4404" t="s">
        <v>83</v>
      </c>
    </row>
    <row r="4405" spans="5:13" hidden="1" x14ac:dyDescent="0.35">
      <c r="E4405" s="81"/>
      <c r="I4405" s="83" t="e">
        <f>VLOOKUP(E4405,[1]Mapping!$A$3:$B$14,2,FALSE)</f>
        <v>#N/A</v>
      </c>
      <c r="J4405" s="84">
        <f t="shared" si="140"/>
        <v>0</v>
      </c>
      <c r="K4405" s="84">
        <f t="shared" si="141"/>
        <v>0</v>
      </c>
      <c r="L4405" s="61" t="e">
        <f>VLOOKUP(K4405,[1]Mapping!$J$3:$Q$351,8,FALSE)</f>
        <v>#N/A</v>
      </c>
      <c r="M4405" t="s">
        <v>83</v>
      </c>
    </row>
    <row r="4406" spans="5:13" hidden="1" x14ac:dyDescent="0.35">
      <c r="E4406" s="81"/>
      <c r="I4406" s="83" t="e">
        <f>VLOOKUP(E4406,[1]Mapping!$A$3:$B$14,2,FALSE)</f>
        <v>#N/A</v>
      </c>
      <c r="J4406" s="84">
        <f t="shared" si="140"/>
        <v>0</v>
      </c>
      <c r="K4406" s="84">
        <f t="shared" si="141"/>
        <v>0</v>
      </c>
      <c r="L4406" s="61" t="e">
        <f>VLOOKUP(K4406,[1]Mapping!$J$3:$Q$351,8,FALSE)</f>
        <v>#N/A</v>
      </c>
      <c r="M4406" t="s">
        <v>83</v>
      </c>
    </row>
    <row r="4407" spans="5:13" hidden="1" x14ac:dyDescent="0.35">
      <c r="E4407" s="81"/>
      <c r="I4407" s="83" t="e">
        <f>VLOOKUP(E4407,[1]Mapping!$A$3:$B$14,2,FALSE)</f>
        <v>#N/A</v>
      </c>
      <c r="J4407" s="84">
        <f t="shared" si="140"/>
        <v>0</v>
      </c>
      <c r="K4407" s="84">
        <f t="shared" si="141"/>
        <v>0</v>
      </c>
      <c r="L4407" s="61" t="e">
        <f>VLOOKUP(K4407,[1]Mapping!$J$3:$Q$351,8,FALSE)</f>
        <v>#N/A</v>
      </c>
      <c r="M4407" t="s">
        <v>83</v>
      </c>
    </row>
    <row r="4408" spans="5:13" hidden="1" x14ac:dyDescent="0.35">
      <c r="E4408" s="81"/>
      <c r="I4408" s="83" t="e">
        <f>VLOOKUP(E4408,[1]Mapping!$A$3:$B$14,2,FALSE)</f>
        <v>#N/A</v>
      </c>
      <c r="J4408" s="84">
        <f t="shared" si="140"/>
        <v>0</v>
      </c>
      <c r="K4408" s="84">
        <f t="shared" si="141"/>
        <v>0</v>
      </c>
      <c r="L4408" s="61" t="e">
        <f>VLOOKUP(K4408,[1]Mapping!$J$3:$Q$351,8,FALSE)</f>
        <v>#N/A</v>
      </c>
      <c r="M4408" t="s">
        <v>83</v>
      </c>
    </row>
    <row r="4409" spans="5:13" hidden="1" x14ac:dyDescent="0.35">
      <c r="E4409" s="81"/>
      <c r="I4409" s="83" t="e">
        <f>VLOOKUP(E4409,[1]Mapping!$A$3:$B$14,2,FALSE)</f>
        <v>#N/A</v>
      </c>
      <c r="J4409" s="84">
        <f t="shared" si="140"/>
        <v>0</v>
      </c>
      <c r="K4409" s="84">
        <f t="shared" si="141"/>
        <v>0</v>
      </c>
      <c r="L4409" s="61" t="e">
        <f>VLOOKUP(K4409,[1]Mapping!$J$3:$Q$351,8,FALSE)</f>
        <v>#N/A</v>
      </c>
      <c r="M4409" t="s">
        <v>83</v>
      </c>
    </row>
    <row r="4410" spans="5:13" hidden="1" x14ac:dyDescent="0.35">
      <c r="E4410" s="81"/>
      <c r="I4410" s="83" t="e">
        <f>VLOOKUP(E4410,[1]Mapping!$A$3:$B$14,2,FALSE)</f>
        <v>#N/A</v>
      </c>
      <c r="J4410" s="84">
        <f t="shared" si="140"/>
        <v>0</v>
      </c>
      <c r="K4410" s="84">
        <f t="shared" si="141"/>
        <v>0</v>
      </c>
      <c r="L4410" s="61" t="e">
        <f>VLOOKUP(K4410,[1]Mapping!$J$3:$Q$351,8,FALSE)</f>
        <v>#N/A</v>
      </c>
      <c r="M4410" t="s">
        <v>83</v>
      </c>
    </row>
    <row r="4411" spans="5:13" hidden="1" x14ac:dyDescent="0.35">
      <c r="E4411" s="81"/>
      <c r="I4411" s="83" t="e">
        <f>VLOOKUP(E4411,[1]Mapping!$A$3:$B$14,2,FALSE)</f>
        <v>#N/A</v>
      </c>
      <c r="J4411" s="84">
        <f t="shared" si="140"/>
        <v>0</v>
      </c>
      <c r="K4411" s="84">
        <f t="shared" si="141"/>
        <v>0</v>
      </c>
      <c r="L4411" s="61" t="e">
        <f>VLOOKUP(K4411,[1]Mapping!$J$3:$Q$351,8,FALSE)</f>
        <v>#N/A</v>
      </c>
      <c r="M4411" t="s">
        <v>83</v>
      </c>
    </row>
    <row r="4412" spans="5:13" hidden="1" x14ac:dyDescent="0.35">
      <c r="E4412" s="81"/>
      <c r="I4412" s="83" t="e">
        <f>VLOOKUP(E4412,[1]Mapping!$A$3:$B$14,2,FALSE)</f>
        <v>#N/A</v>
      </c>
      <c r="J4412" s="84">
        <f t="shared" si="140"/>
        <v>0</v>
      </c>
      <c r="K4412" s="84">
        <f t="shared" si="141"/>
        <v>0</v>
      </c>
      <c r="L4412" s="61" t="e">
        <f>VLOOKUP(K4412,[1]Mapping!$J$3:$Q$351,8,FALSE)</f>
        <v>#N/A</v>
      </c>
      <c r="M4412" t="s">
        <v>83</v>
      </c>
    </row>
    <row r="4413" spans="5:13" hidden="1" x14ac:dyDescent="0.35">
      <c r="E4413" s="81"/>
      <c r="I4413" s="83" t="e">
        <f>VLOOKUP(E4413,[1]Mapping!$A$3:$B$14,2,FALSE)</f>
        <v>#N/A</v>
      </c>
      <c r="J4413" s="84">
        <f t="shared" si="140"/>
        <v>0</v>
      </c>
      <c r="K4413" s="84">
        <f t="shared" si="141"/>
        <v>0</v>
      </c>
      <c r="L4413" s="61" t="e">
        <f>VLOOKUP(K4413,[1]Mapping!$J$3:$Q$351,8,FALSE)</f>
        <v>#N/A</v>
      </c>
      <c r="M4413" t="s">
        <v>83</v>
      </c>
    </row>
    <row r="4414" spans="5:13" hidden="1" x14ac:dyDescent="0.35">
      <c r="E4414" s="81"/>
      <c r="I4414" s="83" t="e">
        <f>VLOOKUP(E4414,[1]Mapping!$A$3:$B$14,2,FALSE)</f>
        <v>#N/A</v>
      </c>
      <c r="J4414" s="84">
        <f t="shared" si="140"/>
        <v>0</v>
      </c>
      <c r="K4414" s="84">
        <f t="shared" si="141"/>
        <v>0</v>
      </c>
      <c r="L4414" s="61" t="e">
        <f>VLOOKUP(K4414,[1]Mapping!$J$3:$Q$351,8,FALSE)</f>
        <v>#N/A</v>
      </c>
      <c r="M4414" t="s">
        <v>83</v>
      </c>
    </row>
    <row r="4415" spans="5:13" hidden="1" x14ac:dyDescent="0.35">
      <c r="E4415" s="81"/>
      <c r="I4415" s="83" t="e">
        <f>VLOOKUP(E4415,[1]Mapping!$A$3:$B$14,2,FALSE)</f>
        <v>#N/A</v>
      </c>
      <c r="J4415" s="84">
        <f t="shared" si="140"/>
        <v>0</v>
      </c>
      <c r="K4415" s="84">
        <f t="shared" si="141"/>
        <v>0</v>
      </c>
      <c r="L4415" s="61" t="e">
        <f>VLOOKUP(K4415,[1]Mapping!$J$3:$Q$351,8,FALSE)</f>
        <v>#N/A</v>
      </c>
      <c r="M4415" t="s">
        <v>83</v>
      </c>
    </row>
    <row r="4416" spans="5:13" hidden="1" x14ac:dyDescent="0.35">
      <c r="E4416" s="81"/>
      <c r="I4416" s="83" t="e">
        <f>VLOOKUP(E4416,[1]Mapping!$A$3:$B$14,2,FALSE)</f>
        <v>#N/A</v>
      </c>
      <c r="J4416" s="84">
        <f t="shared" si="140"/>
        <v>0</v>
      </c>
      <c r="K4416" s="84">
        <f t="shared" si="141"/>
        <v>0</v>
      </c>
      <c r="L4416" s="61" t="e">
        <f>VLOOKUP(K4416,[1]Mapping!$J$3:$Q$351,8,FALSE)</f>
        <v>#N/A</v>
      </c>
      <c r="M4416" t="s">
        <v>83</v>
      </c>
    </row>
    <row r="4417" spans="5:13" hidden="1" x14ac:dyDescent="0.35">
      <c r="E4417" s="81"/>
      <c r="I4417" s="83" t="e">
        <f>VLOOKUP(E4417,[1]Mapping!$A$3:$B$14,2,FALSE)</f>
        <v>#N/A</v>
      </c>
      <c r="J4417" s="84">
        <f t="shared" si="140"/>
        <v>0</v>
      </c>
      <c r="K4417" s="84">
        <f t="shared" si="141"/>
        <v>0</v>
      </c>
      <c r="L4417" s="61" t="e">
        <f>VLOOKUP(K4417,[1]Mapping!$J$3:$Q$351,8,FALSE)</f>
        <v>#N/A</v>
      </c>
      <c r="M4417" t="s">
        <v>83</v>
      </c>
    </row>
    <row r="4418" spans="5:13" hidden="1" x14ac:dyDescent="0.35">
      <c r="E4418" s="81"/>
      <c r="I4418" s="83" t="e">
        <f>VLOOKUP(E4418,[1]Mapping!$A$3:$B$14,2,FALSE)</f>
        <v>#N/A</v>
      </c>
      <c r="J4418" s="84">
        <f t="shared" si="140"/>
        <v>0</v>
      </c>
      <c r="K4418" s="84">
        <f t="shared" si="141"/>
        <v>0</v>
      </c>
      <c r="L4418" s="61" t="e">
        <f>VLOOKUP(K4418,[1]Mapping!$J$3:$Q$351,8,FALSE)</f>
        <v>#N/A</v>
      </c>
      <c r="M4418" t="s">
        <v>83</v>
      </c>
    </row>
    <row r="4419" spans="5:13" hidden="1" x14ac:dyDescent="0.35">
      <c r="E4419" s="81"/>
      <c r="I4419" s="83" t="e">
        <f>VLOOKUP(E4419,[1]Mapping!$A$3:$B$14,2,FALSE)</f>
        <v>#N/A</v>
      </c>
      <c r="J4419" s="84">
        <f t="shared" si="140"/>
        <v>0</v>
      </c>
      <c r="K4419" s="84">
        <f t="shared" si="141"/>
        <v>0</v>
      </c>
      <c r="L4419" s="61" t="e">
        <f>VLOOKUP(K4419,[1]Mapping!$J$3:$Q$351,8,FALSE)</f>
        <v>#N/A</v>
      </c>
      <c r="M4419" t="s">
        <v>83</v>
      </c>
    </row>
    <row r="4420" spans="5:13" hidden="1" x14ac:dyDescent="0.35">
      <c r="E4420" s="81"/>
      <c r="I4420" s="83" t="e">
        <f>VLOOKUP(E4420,[1]Mapping!$A$3:$B$14,2,FALSE)</f>
        <v>#N/A</v>
      </c>
      <c r="J4420" s="84">
        <f t="shared" si="140"/>
        <v>0</v>
      </c>
      <c r="K4420" s="84">
        <f t="shared" si="141"/>
        <v>0</v>
      </c>
      <c r="L4420" s="61" t="e">
        <f>VLOOKUP(K4420,[1]Mapping!$J$3:$Q$351,8,FALSE)</f>
        <v>#N/A</v>
      </c>
      <c r="M4420" t="s">
        <v>83</v>
      </c>
    </row>
    <row r="4421" spans="5:13" hidden="1" x14ac:dyDescent="0.35">
      <c r="E4421" s="81"/>
      <c r="I4421" s="83" t="e">
        <f>VLOOKUP(E4421,[1]Mapping!$A$3:$B$14,2,FALSE)</f>
        <v>#N/A</v>
      </c>
      <c r="J4421" s="84">
        <f t="shared" si="140"/>
        <v>0</v>
      </c>
      <c r="K4421" s="84">
        <f t="shared" si="141"/>
        <v>0</v>
      </c>
      <c r="L4421" s="61" t="e">
        <f>VLOOKUP(K4421,[1]Mapping!$J$3:$Q$351,8,FALSE)</f>
        <v>#N/A</v>
      </c>
      <c r="M4421" t="s">
        <v>83</v>
      </c>
    </row>
    <row r="4422" spans="5:13" hidden="1" x14ac:dyDescent="0.35">
      <c r="E4422" s="81"/>
      <c r="I4422" s="83" t="e">
        <f>VLOOKUP(E4422,[1]Mapping!$A$3:$B$14,2,FALSE)</f>
        <v>#N/A</v>
      </c>
      <c r="J4422" s="84">
        <f t="shared" si="140"/>
        <v>0</v>
      </c>
      <c r="K4422" s="84">
        <f t="shared" si="141"/>
        <v>0</v>
      </c>
      <c r="L4422" s="61" t="e">
        <f>VLOOKUP(K4422,[1]Mapping!$J$3:$Q$351,8,FALSE)</f>
        <v>#N/A</v>
      </c>
      <c r="M4422" t="s">
        <v>83</v>
      </c>
    </row>
    <row r="4423" spans="5:13" hidden="1" x14ac:dyDescent="0.35">
      <c r="E4423" s="81"/>
      <c r="I4423" s="83" t="e">
        <f>VLOOKUP(E4423,[1]Mapping!$A$3:$B$14,2,FALSE)</f>
        <v>#N/A</v>
      </c>
      <c r="J4423" s="84">
        <f t="shared" si="140"/>
        <v>0</v>
      </c>
      <c r="K4423" s="84">
        <f t="shared" si="141"/>
        <v>0</v>
      </c>
      <c r="L4423" s="61" t="e">
        <f>VLOOKUP(K4423,[1]Mapping!$J$3:$Q$351,8,FALSE)</f>
        <v>#N/A</v>
      </c>
      <c r="M4423" t="s">
        <v>83</v>
      </c>
    </row>
    <row r="4424" spans="5:13" hidden="1" x14ac:dyDescent="0.35">
      <c r="E4424" s="81"/>
      <c r="I4424" s="83" t="e">
        <f>VLOOKUP(E4424,[1]Mapping!$A$3:$B$14,2,FALSE)</f>
        <v>#N/A</v>
      </c>
      <c r="J4424" s="84">
        <f t="shared" si="140"/>
        <v>0</v>
      </c>
      <c r="K4424" s="84">
        <f t="shared" si="141"/>
        <v>0</v>
      </c>
      <c r="L4424" s="61" t="e">
        <f>VLOOKUP(K4424,[1]Mapping!$J$3:$Q$351,8,FALSE)</f>
        <v>#N/A</v>
      </c>
      <c r="M4424" t="s">
        <v>83</v>
      </c>
    </row>
    <row r="4425" spans="5:13" hidden="1" x14ac:dyDescent="0.35">
      <c r="E4425" s="81"/>
      <c r="I4425" s="83" t="e">
        <f>VLOOKUP(E4425,[1]Mapping!$A$3:$B$14,2,FALSE)</f>
        <v>#N/A</v>
      </c>
      <c r="J4425" s="84">
        <f t="shared" si="140"/>
        <v>0</v>
      </c>
      <c r="K4425" s="84">
        <f t="shared" si="141"/>
        <v>0</v>
      </c>
      <c r="L4425" s="61" t="e">
        <f>VLOOKUP(K4425,[1]Mapping!$J$3:$Q$351,8,FALSE)</f>
        <v>#N/A</v>
      </c>
      <c r="M4425" t="s">
        <v>83</v>
      </c>
    </row>
    <row r="4426" spans="5:13" hidden="1" x14ac:dyDescent="0.35">
      <c r="E4426" s="81"/>
      <c r="I4426" s="83" t="e">
        <f>VLOOKUP(E4426,[1]Mapping!$A$3:$B$14,2,FALSE)</f>
        <v>#N/A</v>
      </c>
      <c r="J4426" s="84">
        <f t="shared" si="140"/>
        <v>0</v>
      </c>
      <c r="K4426" s="84">
        <f t="shared" si="141"/>
        <v>0</v>
      </c>
      <c r="L4426" s="61" t="e">
        <f>VLOOKUP(K4426,[1]Mapping!$J$3:$Q$351,8,FALSE)</f>
        <v>#N/A</v>
      </c>
      <c r="M4426" t="s">
        <v>83</v>
      </c>
    </row>
    <row r="4427" spans="5:13" hidden="1" x14ac:dyDescent="0.35">
      <c r="E4427" s="81"/>
      <c r="I4427" s="83" t="e">
        <f>VLOOKUP(E4427,[1]Mapping!$A$3:$B$14,2,FALSE)</f>
        <v>#N/A</v>
      </c>
      <c r="J4427" s="84">
        <f t="shared" si="140"/>
        <v>0</v>
      </c>
      <c r="K4427" s="84">
        <f t="shared" si="141"/>
        <v>0</v>
      </c>
      <c r="L4427" s="61" t="e">
        <f>VLOOKUP(K4427,[1]Mapping!$J$3:$Q$351,8,FALSE)</f>
        <v>#N/A</v>
      </c>
      <c r="M4427" t="s">
        <v>83</v>
      </c>
    </row>
    <row r="4428" spans="5:13" hidden="1" x14ac:dyDescent="0.35">
      <c r="E4428" s="81"/>
      <c r="I4428" s="83" t="e">
        <f>VLOOKUP(E4428,[1]Mapping!$A$3:$B$14,2,FALSE)</f>
        <v>#N/A</v>
      </c>
      <c r="J4428" s="84">
        <f t="shared" si="140"/>
        <v>0</v>
      </c>
      <c r="K4428" s="84">
        <f t="shared" si="141"/>
        <v>0</v>
      </c>
      <c r="L4428" s="61" t="e">
        <f>VLOOKUP(K4428,[1]Mapping!$J$3:$Q$351,8,FALSE)</f>
        <v>#N/A</v>
      </c>
      <c r="M4428" t="s">
        <v>83</v>
      </c>
    </row>
    <row r="4429" spans="5:13" hidden="1" x14ac:dyDescent="0.35">
      <c r="E4429" s="81"/>
      <c r="I4429" s="83" t="e">
        <f>VLOOKUP(E4429,[1]Mapping!$A$3:$B$14,2,FALSE)</f>
        <v>#N/A</v>
      </c>
      <c r="J4429" s="84">
        <f t="shared" si="140"/>
        <v>0</v>
      </c>
      <c r="K4429" s="84">
        <f t="shared" si="141"/>
        <v>0</v>
      </c>
      <c r="L4429" s="61" t="e">
        <f>VLOOKUP(K4429,[1]Mapping!$J$3:$Q$351,8,FALSE)</f>
        <v>#N/A</v>
      </c>
      <c r="M4429" t="s">
        <v>83</v>
      </c>
    </row>
    <row r="4430" spans="5:13" hidden="1" x14ac:dyDescent="0.35">
      <c r="E4430" s="81"/>
      <c r="I4430" s="83" t="e">
        <f>VLOOKUP(E4430,[1]Mapping!$A$3:$B$14,2,FALSE)</f>
        <v>#N/A</v>
      </c>
      <c r="J4430" s="84">
        <f t="shared" si="140"/>
        <v>0</v>
      </c>
      <c r="K4430" s="84">
        <f t="shared" si="141"/>
        <v>0</v>
      </c>
      <c r="L4430" s="61" t="e">
        <f>VLOOKUP(K4430,[1]Mapping!$J$3:$Q$351,8,FALSE)</f>
        <v>#N/A</v>
      </c>
      <c r="M4430" t="s">
        <v>83</v>
      </c>
    </row>
    <row r="4431" spans="5:13" hidden="1" x14ac:dyDescent="0.35">
      <c r="E4431" s="81"/>
      <c r="I4431" s="83" t="e">
        <f>VLOOKUP(E4431,[1]Mapping!$A$3:$B$14,2,FALSE)</f>
        <v>#N/A</v>
      </c>
      <c r="J4431" s="84">
        <f t="shared" si="140"/>
        <v>0</v>
      </c>
      <c r="K4431" s="84">
        <f t="shared" si="141"/>
        <v>0</v>
      </c>
      <c r="L4431" s="61" t="e">
        <f>VLOOKUP(K4431,[1]Mapping!$J$3:$Q$351,8,FALSE)</f>
        <v>#N/A</v>
      </c>
      <c r="M4431" t="s">
        <v>83</v>
      </c>
    </row>
    <row r="4432" spans="5:13" hidden="1" x14ac:dyDescent="0.35">
      <c r="E4432" s="81"/>
      <c r="I4432" s="83" t="e">
        <f>VLOOKUP(E4432,[1]Mapping!$A$3:$B$14,2,FALSE)</f>
        <v>#N/A</v>
      </c>
      <c r="J4432" s="84">
        <f t="shared" ref="J4432:J4495" si="142">VALUE(A4432)</f>
        <v>0</v>
      </c>
      <c r="K4432" s="84">
        <f t="shared" ref="K4432:K4495" si="143">VALUE(C4432)</f>
        <v>0</v>
      </c>
      <c r="L4432" s="61" t="e">
        <f>VLOOKUP(K4432,[1]Mapping!$J$3:$Q$351,8,FALSE)</f>
        <v>#N/A</v>
      </c>
      <c r="M4432" t="s">
        <v>83</v>
      </c>
    </row>
    <row r="4433" spans="5:13" hidden="1" x14ac:dyDescent="0.35">
      <c r="E4433" s="81"/>
      <c r="I4433" s="83" t="e">
        <f>VLOOKUP(E4433,[1]Mapping!$A$3:$B$14,2,FALSE)</f>
        <v>#N/A</v>
      </c>
      <c r="J4433" s="84">
        <f t="shared" si="142"/>
        <v>0</v>
      </c>
      <c r="K4433" s="84">
        <f t="shared" si="143"/>
        <v>0</v>
      </c>
      <c r="L4433" s="61" t="e">
        <f>VLOOKUP(K4433,[1]Mapping!$J$3:$Q$351,8,FALSE)</f>
        <v>#N/A</v>
      </c>
      <c r="M4433" t="s">
        <v>83</v>
      </c>
    </row>
    <row r="4434" spans="5:13" hidden="1" x14ac:dyDescent="0.35">
      <c r="E4434" s="81"/>
      <c r="I4434" s="83" t="e">
        <f>VLOOKUP(E4434,[1]Mapping!$A$3:$B$14,2,FALSE)</f>
        <v>#N/A</v>
      </c>
      <c r="J4434" s="84">
        <f t="shared" si="142"/>
        <v>0</v>
      </c>
      <c r="K4434" s="84">
        <f t="shared" si="143"/>
        <v>0</v>
      </c>
      <c r="L4434" s="61" t="e">
        <f>VLOOKUP(K4434,[1]Mapping!$J$3:$Q$351,8,FALSE)</f>
        <v>#N/A</v>
      </c>
      <c r="M4434" t="s">
        <v>83</v>
      </c>
    </row>
    <row r="4435" spans="5:13" hidden="1" x14ac:dyDescent="0.35">
      <c r="E4435" s="81"/>
      <c r="I4435" s="83" t="e">
        <f>VLOOKUP(E4435,[1]Mapping!$A$3:$B$14,2,FALSE)</f>
        <v>#N/A</v>
      </c>
      <c r="J4435" s="84">
        <f t="shared" si="142"/>
        <v>0</v>
      </c>
      <c r="K4435" s="84">
        <f t="shared" si="143"/>
        <v>0</v>
      </c>
      <c r="L4435" s="61" t="e">
        <f>VLOOKUP(K4435,[1]Mapping!$J$3:$Q$351,8,FALSE)</f>
        <v>#N/A</v>
      </c>
      <c r="M4435" t="s">
        <v>83</v>
      </c>
    </row>
    <row r="4436" spans="5:13" hidden="1" x14ac:dyDescent="0.35">
      <c r="E4436" s="81"/>
      <c r="I4436" s="83" t="e">
        <f>VLOOKUP(E4436,[1]Mapping!$A$3:$B$14,2,FALSE)</f>
        <v>#N/A</v>
      </c>
      <c r="J4436" s="84">
        <f t="shared" si="142"/>
        <v>0</v>
      </c>
      <c r="K4436" s="84">
        <f t="shared" si="143"/>
        <v>0</v>
      </c>
      <c r="L4436" s="61" t="e">
        <f>VLOOKUP(K4436,[1]Mapping!$J$3:$Q$351,8,FALSE)</f>
        <v>#N/A</v>
      </c>
      <c r="M4436" t="s">
        <v>83</v>
      </c>
    </row>
    <row r="4437" spans="5:13" hidden="1" x14ac:dyDescent="0.35">
      <c r="E4437" s="81"/>
      <c r="I4437" s="83" t="e">
        <f>VLOOKUP(E4437,[1]Mapping!$A$3:$B$14,2,FALSE)</f>
        <v>#N/A</v>
      </c>
      <c r="J4437" s="84">
        <f t="shared" si="142"/>
        <v>0</v>
      </c>
      <c r="K4437" s="84">
        <f t="shared" si="143"/>
        <v>0</v>
      </c>
      <c r="L4437" s="61" t="e">
        <f>VLOOKUP(K4437,[1]Mapping!$J$3:$Q$351,8,FALSE)</f>
        <v>#N/A</v>
      </c>
      <c r="M4437" t="s">
        <v>83</v>
      </c>
    </row>
    <row r="4438" spans="5:13" hidden="1" x14ac:dyDescent="0.35">
      <c r="E4438" s="81"/>
      <c r="I4438" s="83" t="e">
        <f>VLOOKUP(E4438,[1]Mapping!$A$3:$B$14,2,FALSE)</f>
        <v>#N/A</v>
      </c>
      <c r="J4438" s="84">
        <f t="shared" si="142"/>
        <v>0</v>
      </c>
      <c r="K4438" s="84">
        <f t="shared" si="143"/>
        <v>0</v>
      </c>
      <c r="L4438" s="61" t="e">
        <f>VLOOKUP(K4438,[1]Mapping!$J$3:$Q$351,8,FALSE)</f>
        <v>#N/A</v>
      </c>
      <c r="M4438" t="s">
        <v>83</v>
      </c>
    </row>
    <row r="4439" spans="5:13" hidden="1" x14ac:dyDescent="0.35">
      <c r="E4439" s="81"/>
      <c r="I4439" s="83" t="e">
        <f>VLOOKUP(E4439,[1]Mapping!$A$3:$B$14,2,FALSE)</f>
        <v>#N/A</v>
      </c>
      <c r="J4439" s="84">
        <f t="shared" si="142"/>
        <v>0</v>
      </c>
      <c r="K4439" s="84">
        <f t="shared" si="143"/>
        <v>0</v>
      </c>
      <c r="L4439" s="61" t="e">
        <f>VLOOKUP(K4439,[1]Mapping!$J$3:$Q$351,8,FALSE)</f>
        <v>#N/A</v>
      </c>
      <c r="M4439" t="s">
        <v>83</v>
      </c>
    </row>
    <row r="4440" spans="5:13" hidden="1" x14ac:dyDescent="0.35">
      <c r="E4440" s="81"/>
      <c r="I4440" s="83" t="e">
        <f>VLOOKUP(E4440,[1]Mapping!$A$3:$B$14,2,FALSE)</f>
        <v>#N/A</v>
      </c>
      <c r="J4440" s="84">
        <f t="shared" si="142"/>
        <v>0</v>
      </c>
      <c r="K4440" s="84">
        <f t="shared" si="143"/>
        <v>0</v>
      </c>
      <c r="L4440" s="61" t="e">
        <f>VLOOKUP(K4440,[1]Mapping!$J$3:$Q$351,8,FALSE)</f>
        <v>#N/A</v>
      </c>
      <c r="M4440" t="s">
        <v>83</v>
      </c>
    </row>
    <row r="4441" spans="5:13" hidden="1" x14ac:dyDescent="0.35">
      <c r="E4441" s="81"/>
      <c r="I4441" s="83" t="e">
        <f>VLOOKUP(E4441,[1]Mapping!$A$3:$B$14,2,FALSE)</f>
        <v>#N/A</v>
      </c>
      <c r="J4441" s="84">
        <f t="shared" si="142"/>
        <v>0</v>
      </c>
      <c r="K4441" s="84">
        <f t="shared" si="143"/>
        <v>0</v>
      </c>
      <c r="L4441" s="61" t="e">
        <f>VLOOKUP(K4441,[1]Mapping!$J$3:$Q$351,8,FALSE)</f>
        <v>#N/A</v>
      </c>
      <c r="M4441" t="s">
        <v>83</v>
      </c>
    </row>
    <row r="4442" spans="5:13" hidden="1" x14ac:dyDescent="0.35">
      <c r="E4442" s="81"/>
      <c r="I4442" s="83" t="e">
        <f>VLOOKUP(E4442,[1]Mapping!$A$3:$B$14,2,FALSE)</f>
        <v>#N/A</v>
      </c>
      <c r="J4442" s="84">
        <f t="shared" si="142"/>
        <v>0</v>
      </c>
      <c r="K4442" s="84">
        <f t="shared" si="143"/>
        <v>0</v>
      </c>
      <c r="L4442" s="61" t="e">
        <f>VLOOKUP(K4442,[1]Mapping!$J$3:$Q$351,8,FALSE)</f>
        <v>#N/A</v>
      </c>
      <c r="M4442" t="s">
        <v>83</v>
      </c>
    </row>
    <row r="4443" spans="5:13" hidden="1" x14ac:dyDescent="0.35">
      <c r="E4443" s="81"/>
      <c r="I4443" s="83" t="e">
        <f>VLOOKUP(E4443,[1]Mapping!$A$3:$B$14,2,FALSE)</f>
        <v>#N/A</v>
      </c>
      <c r="J4443" s="84">
        <f t="shared" si="142"/>
        <v>0</v>
      </c>
      <c r="K4443" s="84">
        <f t="shared" si="143"/>
        <v>0</v>
      </c>
      <c r="L4443" s="61" t="e">
        <f>VLOOKUP(K4443,[1]Mapping!$J$3:$Q$351,8,FALSE)</f>
        <v>#N/A</v>
      </c>
      <c r="M4443" t="s">
        <v>83</v>
      </c>
    </row>
    <row r="4444" spans="5:13" hidden="1" x14ac:dyDescent="0.35">
      <c r="E4444" s="81"/>
      <c r="I4444" s="83" t="e">
        <f>VLOOKUP(E4444,[1]Mapping!$A$3:$B$14,2,FALSE)</f>
        <v>#N/A</v>
      </c>
      <c r="J4444" s="84">
        <f t="shared" si="142"/>
        <v>0</v>
      </c>
      <c r="K4444" s="84">
        <f t="shared" si="143"/>
        <v>0</v>
      </c>
      <c r="L4444" s="61" t="e">
        <f>VLOOKUP(K4444,[1]Mapping!$J$3:$Q$351,8,FALSE)</f>
        <v>#N/A</v>
      </c>
      <c r="M4444" t="s">
        <v>83</v>
      </c>
    </row>
    <row r="4445" spans="5:13" hidden="1" x14ac:dyDescent="0.35">
      <c r="E4445" s="81"/>
      <c r="I4445" s="83" t="e">
        <f>VLOOKUP(E4445,[1]Mapping!$A$3:$B$14,2,FALSE)</f>
        <v>#N/A</v>
      </c>
      <c r="J4445" s="84">
        <f t="shared" si="142"/>
        <v>0</v>
      </c>
      <c r="K4445" s="84">
        <f t="shared" si="143"/>
        <v>0</v>
      </c>
      <c r="L4445" s="61" t="e">
        <f>VLOOKUP(K4445,[1]Mapping!$J$3:$Q$351,8,FALSE)</f>
        <v>#N/A</v>
      </c>
      <c r="M4445" t="s">
        <v>83</v>
      </c>
    </row>
    <row r="4446" spans="5:13" hidden="1" x14ac:dyDescent="0.35">
      <c r="E4446" s="81"/>
      <c r="I4446" s="83" t="e">
        <f>VLOOKUP(E4446,[1]Mapping!$A$3:$B$14,2,FALSE)</f>
        <v>#N/A</v>
      </c>
      <c r="J4446" s="84">
        <f t="shared" si="142"/>
        <v>0</v>
      </c>
      <c r="K4446" s="84">
        <f t="shared" si="143"/>
        <v>0</v>
      </c>
      <c r="L4446" s="61" t="e">
        <f>VLOOKUP(K4446,[1]Mapping!$J$3:$Q$351,8,FALSE)</f>
        <v>#N/A</v>
      </c>
      <c r="M4446" t="s">
        <v>83</v>
      </c>
    </row>
    <row r="4447" spans="5:13" hidden="1" x14ac:dyDescent="0.35">
      <c r="E4447" s="81"/>
      <c r="I4447" s="83" t="e">
        <f>VLOOKUP(E4447,[1]Mapping!$A$3:$B$14,2,FALSE)</f>
        <v>#N/A</v>
      </c>
      <c r="J4447" s="84">
        <f t="shared" si="142"/>
        <v>0</v>
      </c>
      <c r="K4447" s="84">
        <f t="shared" si="143"/>
        <v>0</v>
      </c>
      <c r="L4447" s="61" t="e">
        <f>VLOOKUP(K4447,[1]Mapping!$J$3:$Q$351,8,FALSE)</f>
        <v>#N/A</v>
      </c>
      <c r="M4447" t="s">
        <v>83</v>
      </c>
    </row>
    <row r="4448" spans="5:13" hidden="1" x14ac:dyDescent="0.35">
      <c r="E4448" s="81"/>
      <c r="I4448" s="83" t="e">
        <f>VLOOKUP(E4448,[1]Mapping!$A$3:$B$14,2,FALSE)</f>
        <v>#N/A</v>
      </c>
      <c r="J4448" s="84">
        <f t="shared" si="142"/>
        <v>0</v>
      </c>
      <c r="K4448" s="84">
        <f t="shared" si="143"/>
        <v>0</v>
      </c>
      <c r="L4448" s="61" t="e">
        <f>VLOOKUP(K4448,[1]Mapping!$J$3:$Q$351,8,FALSE)</f>
        <v>#N/A</v>
      </c>
      <c r="M4448" t="s">
        <v>83</v>
      </c>
    </row>
    <row r="4449" spans="5:13" hidden="1" x14ac:dyDescent="0.35">
      <c r="E4449" s="81"/>
      <c r="I4449" s="83" t="e">
        <f>VLOOKUP(E4449,[1]Mapping!$A$3:$B$14,2,FALSE)</f>
        <v>#N/A</v>
      </c>
      <c r="J4449" s="84">
        <f t="shared" si="142"/>
        <v>0</v>
      </c>
      <c r="K4449" s="84">
        <f t="shared" si="143"/>
        <v>0</v>
      </c>
      <c r="L4449" s="61" t="e">
        <f>VLOOKUP(K4449,[1]Mapping!$J$3:$Q$351,8,FALSE)</f>
        <v>#N/A</v>
      </c>
      <c r="M4449" t="s">
        <v>83</v>
      </c>
    </row>
    <row r="4450" spans="5:13" hidden="1" x14ac:dyDescent="0.35">
      <c r="E4450" s="81"/>
      <c r="I4450" s="83" t="e">
        <f>VLOOKUP(E4450,[1]Mapping!$A$3:$B$14,2,FALSE)</f>
        <v>#N/A</v>
      </c>
      <c r="J4450" s="84">
        <f t="shared" si="142"/>
        <v>0</v>
      </c>
      <c r="K4450" s="84">
        <f t="shared" si="143"/>
        <v>0</v>
      </c>
      <c r="L4450" s="61" t="e">
        <f>VLOOKUP(K4450,[1]Mapping!$J$3:$Q$351,8,FALSE)</f>
        <v>#N/A</v>
      </c>
      <c r="M4450" t="s">
        <v>83</v>
      </c>
    </row>
    <row r="4451" spans="5:13" hidden="1" x14ac:dyDescent="0.35">
      <c r="E4451" s="81"/>
      <c r="I4451" s="83" t="e">
        <f>VLOOKUP(E4451,[1]Mapping!$A$3:$B$14,2,FALSE)</f>
        <v>#N/A</v>
      </c>
      <c r="J4451" s="84">
        <f t="shared" si="142"/>
        <v>0</v>
      </c>
      <c r="K4451" s="84">
        <f t="shared" si="143"/>
        <v>0</v>
      </c>
      <c r="L4451" s="61" t="e">
        <f>VLOOKUP(K4451,[1]Mapping!$J$3:$Q$351,8,FALSE)</f>
        <v>#N/A</v>
      </c>
      <c r="M4451" t="s">
        <v>83</v>
      </c>
    </row>
    <row r="4452" spans="5:13" hidden="1" x14ac:dyDescent="0.35">
      <c r="E4452" s="81"/>
      <c r="I4452" s="83" t="e">
        <f>VLOOKUP(E4452,[1]Mapping!$A$3:$B$14,2,FALSE)</f>
        <v>#N/A</v>
      </c>
      <c r="J4452" s="84">
        <f t="shared" si="142"/>
        <v>0</v>
      </c>
      <c r="K4452" s="84">
        <f t="shared" si="143"/>
        <v>0</v>
      </c>
      <c r="L4452" s="61" t="e">
        <f>VLOOKUP(K4452,[1]Mapping!$J$3:$Q$351,8,FALSE)</f>
        <v>#N/A</v>
      </c>
      <c r="M4452" t="s">
        <v>83</v>
      </c>
    </row>
    <row r="4453" spans="5:13" hidden="1" x14ac:dyDescent="0.35">
      <c r="E4453" s="81"/>
      <c r="I4453" s="83" t="e">
        <f>VLOOKUP(E4453,[1]Mapping!$A$3:$B$14,2,FALSE)</f>
        <v>#N/A</v>
      </c>
      <c r="J4453" s="84">
        <f t="shared" si="142"/>
        <v>0</v>
      </c>
      <c r="K4453" s="84">
        <f t="shared" si="143"/>
        <v>0</v>
      </c>
      <c r="L4453" s="61" t="e">
        <f>VLOOKUP(K4453,[1]Mapping!$J$3:$Q$351,8,FALSE)</f>
        <v>#N/A</v>
      </c>
      <c r="M4453" t="s">
        <v>83</v>
      </c>
    </row>
    <row r="4454" spans="5:13" hidden="1" x14ac:dyDescent="0.35">
      <c r="E4454" s="81"/>
      <c r="I4454" s="83" t="e">
        <f>VLOOKUP(E4454,[1]Mapping!$A$3:$B$14,2,FALSE)</f>
        <v>#N/A</v>
      </c>
      <c r="J4454" s="84">
        <f t="shared" si="142"/>
        <v>0</v>
      </c>
      <c r="K4454" s="84">
        <f t="shared" si="143"/>
        <v>0</v>
      </c>
      <c r="L4454" s="61" t="e">
        <f>VLOOKUP(K4454,[1]Mapping!$J$3:$Q$351,8,FALSE)</f>
        <v>#N/A</v>
      </c>
      <c r="M4454" t="s">
        <v>83</v>
      </c>
    </row>
    <row r="4455" spans="5:13" hidden="1" x14ac:dyDescent="0.35">
      <c r="E4455" s="81"/>
      <c r="I4455" s="83" t="e">
        <f>VLOOKUP(E4455,[1]Mapping!$A$3:$B$14,2,FALSE)</f>
        <v>#N/A</v>
      </c>
      <c r="J4455" s="84">
        <f t="shared" si="142"/>
        <v>0</v>
      </c>
      <c r="K4455" s="84">
        <f t="shared" si="143"/>
        <v>0</v>
      </c>
      <c r="L4455" s="61" t="e">
        <f>VLOOKUP(K4455,[1]Mapping!$J$3:$Q$351,8,FALSE)</f>
        <v>#N/A</v>
      </c>
      <c r="M4455" t="s">
        <v>83</v>
      </c>
    </row>
    <row r="4456" spans="5:13" hidden="1" x14ac:dyDescent="0.35">
      <c r="E4456" s="81"/>
      <c r="I4456" s="83" t="e">
        <f>VLOOKUP(E4456,[1]Mapping!$A$3:$B$14,2,FALSE)</f>
        <v>#N/A</v>
      </c>
      <c r="J4456" s="84">
        <f t="shared" si="142"/>
        <v>0</v>
      </c>
      <c r="K4456" s="84">
        <f t="shared" si="143"/>
        <v>0</v>
      </c>
      <c r="L4456" s="61" t="e">
        <f>VLOOKUP(K4456,[1]Mapping!$J$3:$Q$351,8,FALSE)</f>
        <v>#N/A</v>
      </c>
      <c r="M4456" t="s">
        <v>83</v>
      </c>
    </row>
    <row r="4457" spans="5:13" hidden="1" x14ac:dyDescent="0.35">
      <c r="E4457" s="81"/>
      <c r="I4457" s="83" t="e">
        <f>VLOOKUP(E4457,[1]Mapping!$A$3:$B$14,2,FALSE)</f>
        <v>#N/A</v>
      </c>
      <c r="J4457" s="84">
        <f t="shared" si="142"/>
        <v>0</v>
      </c>
      <c r="K4457" s="84">
        <f t="shared" si="143"/>
        <v>0</v>
      </c>
      <c r="L4457" s="61" t="e">
        <f>VLOOKUP(K4457,[1]Mapping!$J$3:$Q$351,8,FALSE)</f>
        <v>#N/A</v>
      </c>
      <c r="M4457" t="s">
        <v>83</v>
      </c>
    </row>
    <row r="4458" spans="5:13" hidden="1" x14ac:dyDescent="0.35">
      <c r="E4458" s="81"/>
      <c r="I4458" s="83" t="e">
        <f>VLOOKUP(E4458,[1]Mapping!$A$3:$B$14,2,FALSE)</f>
        <v>#N/A</v>
      </c>
      <c r="J4458" s="84">
        <f t="shared" si="142"/>
        <v>0</v>
      </c>
      <c r="K4458" s="84">
        <f t="shared" si="143"/>
        <v>0</v>
      </c>
      <c r="L4458" s="61" t="e">
        <f>VLOOKUP(K4458,[1]Mapping!$J$3:$Q$351,8,FALSE)</f>
        <v>#N/A</v>
      </c>
      <c r="M4458" t="s">
        <v>83</v>
      </c>
    </row>
    <row r="4459" spans="5:13" hidden="1" x14ac:dyDescent="0.35">
      <c r="E4459" s="81"/>
      <c r="I4459" s="83" t="e">
        <f>VLOOKUP(E4459,[1]Mapping!$A$3:$B$14,2,FALSE)</f>
        <v>#N/A</v>
      </c>
      <c r="J4459" s="84">
        <f t="shared" si="142"/>
        <v>0</v>
      </c>
      <c r="K4459" s="84">
        <f t="shared" si="143"/>
        <v>0</v>
      </c>
      <c r="L4459" s="61" t="e">
        <f>VLOOKUP(K4459,[1]Mapping!$J$3:$Q$351,8,FALSE)</f>
        <v>#N/A</v>
      </c>
      <c r="M4459" t="s">
        <v>83</v>
      </c>
    </row>
    <row r="4460" spans="5:13" hidden="1" x14ac:dyDescent="0.35">
      <c r="E4460" s="81"/>
      <c r="I4460" s="83" t="e">
        <f>VLOOKUP(E4460,[1]Mapping!$A$3:$B$14,2,FALSE)</f>
        <v>#N/A</v>
      </c>
      <c r="J4460" s="84">
        <f t="shared" si="142"/>
        <v>0</v>
      </c>
      <c r="K4460" s="84">
        <f t="shared" si="143"/>
        <v>0</v>
      </c>
      <c r="L4460" s="61" t="e">
        <f>VLOOKUP(K4460,[1]Mapping!$J$3:$Q$351,8,FALSE)</f>
        <v>#N/A</v>
      </c>
      <c r="M4460" t="s">
        <v>83</v>
      </c>
    </row>
    <row r="4461" spans="5:13" hidden="1" x14ac:dyDescent="0.35">
      <c r="E4461" s="81"/>
      <c r="I4461" s="83" t="e">
        <f>VLOOKUP(E4461,[1]Mapping!$A$3:$B$14,2,FALSE)</f>
        <v>#N/A</v>
      </c>
      <c r="J4461" s="84">
        <f t="shared" si="142"/>
        <v>0</v>
      </c>
      <c r="K4461" s="84">
        <f t="shared" si="143"/>
        <v>0</v>
      </c>
      <c r="L4461" s="61" t="e">
        <f>VLOOKUP(K4461,[1]Mapping!$J$3:$Q$351,8,FALSE)</f>
        <v>#N/A</v>
      </c>
      <c r="M4461" t="s">
        <v>83</v>
      </c>
    </row>
    <row r="4462" spans="5:13" hidden="1" x14ac:dyDescent="0.35">
      <c r="E4462" s="81"/>
      <c r="I4462" s="83" t="e">
        <f>VLOOKUP(E4462,[1]Mapping!$A$3:$B$14,2,FALSE)</f>
        <v>#N/A</v>
      </c>
      <c r="J4462" s="84">
        <f t="shared" si="142"/>
        <v>0</v>
      </c>
      <c r="K4462" s="84">
        <f t="shared" si="143"/>
        <v>0</v>
      </c>
      <c r="L4462" s="61" t="e">
        <f>VLOOKUP(K4462,[1]Mapping!$J$3:$Q$351,8,FALSE)</f>
        <v>#N/A</v>
      </c>
      <c r="M4462" t="s">
        <v>83</v>
      </c>
    </row>
    <row r="4463" spans="5:13" hidden="1" x14ac:dyDescent="0.35">
      <c r="E4463" s="81"/>
      <c r="I4463" s="83" t="e">
        <f>VLOOKUP(E4463,[1]Mapping!$A$3:$B$14,2,FALSE)</f>
        <v>#N/A</v>
      </c>
      <c r="J4463" s="84">
        <f t="shared" si="142"/>
        <v>0</v>
      </c>
      <c r="K4463" s="84">
        <f t="shared" si="143"/>
        <v>0</v>
      </c>
      <c r="L4463" s="61" t="e">
        <f>VLOOKUP(K4463,[1]Mapping!$J$3:$Q$351,8,FALSE)</f>
        <v>#N/A</v>
      </c>
      <c r="M4463" t="s">
        <v>83</v>
      </c>
    </row>
    <row r="4464" spans="5:13" hidden="1" x14ac:dyDescent="0.35">
      <c r="E4464" s="81"/>
      <c r="I4464" s="83" t="e">
        <f>VLOOKUP(E4464,[1]Mapping!$A$3:$B$14,2,FALSE)</f>
        <v>#N/A</v>
      </c>
      <c r="J4464" s="84">
        <f t="shared" si="142"/>
        <v>0</v>
      </c>
      <c r="K4464" s="84">
        <f t="shared" si="143"/>
        <v>0</v>
      </c>
      <c r="L4464" s="61" t="e">
        <f>VLOOKUP(K4464,[1]Mapping!$J$3:$Q$351,8,FALSE)</f>
        <v>#N/A</v>
      </c>
      <c r="M4464" t="s">
        <v>83</v>
      </c>
    </row>
    <row r="4465" spans="5:13" hidden="1" x14ac:dyDescent="0.35">
      <c r="E4465" s="81"/>
      <c r="I4465" s="83" t="e">
        <f>VLOOKUP(E4465,[1]Mapping!$A$3:$B$14,2,FALSE)</f>
        <v>#N/A</v>
      </c>
      <c r="J4465" s="84">
        <f t="shared" si="142"/>
        <v>0</v>
      </c>
      <c r="K4465" s="84">
        <f t="shared" si="143"/>
        <v>0</v>
      </c>
      <c r="L4465" s="61" t="e">
        <f>VLOOKUP(K4465,[1]Mapping!$J$3:$Q$351,8,FALSE)</f>
        <v>#N/A</v>
      </c>
      <c r="M4465" t="s">
        <v>83</v>
      </c>
    </row>
    <row r="4466" spans="5:13" hidden="1" x14ac:dyDescent="0.35">
      <c r="E4466" s="81"/>
      <c r="I4466" s="83" t="e">
        <f>VLOOKUP(E4466,[1]Mapping!$A$3:$B$14,2,FALSE)</f>
        <v>#N/A</v>
      </c>
      <c r="J4466" s="84">
        <f t="shared" si="142"/>
        <v>0</v>
      </c>
      <c r="K4466" s="84">
        <f t="shared" si="143"/>
        <v>0</v>
      </c>
      <c r="L4466" s="61" t="e">
        <f>VLOOKUP(K4466,[1]Mapping!$J$3:$Q$351,8,FALSE)</f>
        <v>#N/A</v>
      </c>
      <c r="M4466" t="s">
        <v>83</v>
      </c>
    </row>
    <row r="4467" spans="5:13" hidden="1" x14ac:dyDescent="0.35">
      <c r="E4467" s="81"/>
      <c r="I4467" s="83" t="e">
        <f>VLOOKUP(E4467,[1]Mapping!$A$3:$B$14,2,FALSE)</f>
        <v>#N/A</v>
      </c>
      <c r="J4467" s="84">
        <f t="shared" si="142"/>
        <v>0</v>
      </c>
      <c r="K4467" s="84">
        <f t="shared" si="143"/>
        <v>0</v>
      </c>
      <c r="L4467" s="61" t="e">
        <f>VLOOKUP(K4467,[1]Mapping!$J$3:$Q$351,8,FALSE)</f>
        <v>#N/A</v>
      </c>
      <c r="M4467" t="s">
        <v>83</v>
      </c>
    </row>
    <row r="4468" spans="5:13" hidden="1" x14ac:dyDescent="0.35">
      <c r="E4468" s="81"/>
      <c r="I4468" s="83" t="e">
        <f>VLOOKUP(E4468,[1]Mapping!$A$3:$B$14,2,FALSE)</f>
        <v>#N/A</v>
      </c>
      <c r="J4468" s="84">
        <f t="shared" si="142"/>
        <v>0</v>
      </c>
      <c r="K4468" s="84">
        <f t="shared" si="143"/>
        <v>0</v>
      </c>
      <c r="L4468" s="61" t="e">
        <f>VLOOKUP(K4468,[1]Mapping!$J$3:$Q$351,8,FALSE)</f>
        <v>#N/A</v>
      </c>
      <c r="M4468" t="s">
        <v>83</v>
      </c>
    </row>
    <row r="4469" spans="5:13" hidden="1" x14ac:dyDescent="0.35">
      <c r="E4469" s="81"/>
      <c r="I4469" s="83" t="e">
        <f>VLOOKUP(E4469,[1]Mapping!$A$3:$B$14,2,FALSE)</f>
        <v>#N/A</v>
      </c>
      <c r="J4469" s="84">
        <f t="shared" si="142"/>
        <v>0</v>
      </c>
      <c r="K4469" s="84">
        <f t="shared" si="143"/>
        <v>0</v>
      </c>
      <c r="L4469" s="61" t="e">
        <f>VLOOKUP(K4469,[1]Mapping!$J$3:$Q$351,8,FALSE)</f>
        <v>#N/A</v>
      </c>
      <c r="M4469" t="s">
        <v>83</v>
      </c>
    </row>
    <row r="4470" spans="5:13" hidden="1" x14ac:dyDescent="0.35">
      <c r="E4470" s="81"/>
      <c r="I4470" s="83" t="e">
        <f>VLOOKUP(E4470,[1]Mapping!$A$3:$B$14,2,FALSE)</f>
        <v>#N/A</v>
      </c>
      <c r="J4470" s="84">
        <f t="shared" si="142"/>
        <v>0</v>
      </c>
      <c r="K4470" s="84">
        <f t="shared" si="143"/>
        <v>0</v>
      </c>
      <c r="L4470" s="61" t="e">
        <f>VLOOKUP(K4470,[1]Mapping!$J$3:$Q$351,8,FALSE)</f>
        <v>#N/A</v>
      </c>
      <c r="M4470" t="s">
        <v>83</v>
      </c>
    </row>
    <row r="4471" spans="5:13" hidden="1" x14ac:dyDescent="0.35">
      <c r="E4471" s="81"/>
      <c r="I4471" s="83" t="e">
        <f>VLOOKUP(E4471,[1]Mapping!$A$3:$B$14,2,FALSE)</f>
        <v>#N/A</v>
      </c>
      <c r="J4471" s="84">
        <f t="shared" si="142"/>
        <v>0</v>
      </c>
      <c r="K4471" s="84">
        <f t="shared" si="143"/>
        <v>0</v>
      </c>
      <c r="L4471" s="61" t="e">
        <f>VLOOKUP(K4471,[1]Mapping!$J$3:$Q$351,8,FALSE)</f>
        <v>#N/A</v>
      </c>
      <c r="M4471" t="s">
        <v>83</v>
      </c>
    </row>
    <row r="4472" spans="5:13" hidden="1" x14ac:dyDescent="0.35">
      <c r="E4472" s="81"/>
      <c r="I4472" s="83" t="e">
        <f>VLOOKUP(E4472,[1]Mapping!$A$3:$B$14,2,FALSE)</f>
        <v>#N/A</v>
      </c>
      <c r="J4472" s="84">
        <f t="shared" si="142"/>
        <v>0</v>
      </c>
      <c r="K4472" s="84">
        <f t="shared" si="143"/>
        <v>0</v>
      </c>
      <c r="L4472" s="61" t="e">
        <f>VLOOKUP(K4472,[1]Mapping!$J$3:$Q$351,8,FALSE)</f>
        <v>#N/A</v>
      </c>
      <c r="M4472" t="s">
        <v>83</v>
      </c>
    </row>
    <row r="4473" spans="5:13" hidden="1" x14ac:dyDescent="0.35">
      <c r="E4473" s="81"/>
      <c r="I4473" s="83" t="e">
        <f>VLOOKUP(E4473,[1]Mapping!$A$3:$B$14,2,FALSE)</f>
        <v>#N/A</v>
      </c>
      <c r="J4473" s="84">
        <f t="shared" si="142"/>
        <v>0</v>
      </c>
      <c r="K4473" s="84">
        <f t="shared" si="143"/>
        <v>0</v>
      </c>
      <c r="L4473" s="61" t="e">
        <f>VLOOKUP(K4473,[1]Mapping!$J$3:$Q$351,8,FALSE)</f>
        <v>#N/A</v>
      </c>
      <c r="M4473" t="s">
        <v>83</v>
      </c>
    </row>
    <row r="4474" spans="5:13" hidden="1" x14ac:dyDescent="0.35">
      <c r="E4474" s="81"/>
      <c r="I4474" s="83" t="e">
        <f>VLOOKUP(E4474,[1]Mapping!$A$3:$B$14,2,FALSE)</f>
        <v>#N/A</v>
      </c>
      <c r="J4474" s="84">
        <f t="shared" si="142"/>
        <v>0</v>
      </c>
      <c r="K4474" s="84">
        <f t="shared" si="143"/>
        <v>0</v>
      </c>
      <c r="L4474" s="61" t="e">
        <f>VLOOKUP(K4474,[1]Mapping!$J$3:$Q$351,8,FALSE)</f>
        <v>#N/A</v>
      </c>
      <c r="M4474" t="s">
        <v>83</v>
      </c>
    </row>
    <row r="4475" spans="5:13" hidden="1" x14ac:dyDescent="0.35">
      <c r="E4475" s="81"/>
      <c r="I4475" s="83" t="e">
        <f>VLOOKUP(E4475,[1]Mapping!$A$3:$B$14,2,FALSE)</f>
        <v>#N/A</v>
      </c>
      <c r="J4475" s="84">
        <f t="shared" si="142"/>
        <v>0</v>
      </c>
      <c r="K4475" s="84">
        <f t="shared" si="143"/>
        <v>0</v>
      </c>
      <c r="L4475" s="61" t="e">
        <f>VLOOKUP(K4475,[1]Mapping!$J$3:$Q$351,8,FALSE)</f>
        <v>#N/A</v>
      </c>
      <c r="M4475" t="s">
        <v>83</v>
      </c>
    </row>
    <row r="4476" spans="5:13" hidden="1" x14ac:dyDescent="0.35">
      <c r="E4476" s="81"/>
      <c r="I4476" s="83" t="e">
        <f>VLOOKUP(E4476,[1]Mapping!$A$3:$B$14,2,FALSE)</f>
        <v>#N/A</v>
      </c>
      <c r="J4476" s="84">
        <f t="shared" si="142"/>
        <v>0</v>
      </c>
      <c r="K4476" s="84">
        <f t="shared" si="143"/>
        <v>0</v>
      </c>
      <c r="L4476" s="61" t="e">
        <f>VLOOKUP(K4476,[1]Mapping!$J$3:$Q$351,8,FALSE)</f>
        <v>#N/A</v>
      </c>
      <c r="M4476" t="s">
        <v>83</v>
      </c>
    </row>
    <row r="4477" spans="5:13" hidden="1" x14ac:dyDescent="0.35">
      <c r="E4477" s="81"/>
      <c r="I4477" s="83" t="e">
        <f>VLOOKUP(E4477,[1]Mapping!$A$3:$B$14,2,FALSE)</f>
        <v>#N/A</v>
      </c>
      <c r="J4477" s="84">
        <f t="shared" si="142"/>
        <v>0</v>
      </c>
      <c r="K4477" s="84">
        <f t="shared" si="143"/>
        <v>0</v>
      </c>
      <c r="L4477" s="61" t="e">
        <f>VLOOKUP(K4477,[1]Mapping!$J$3:$Q$351,8,FALSE)</f>
        <v>#N/A</v>
      </c>
      <c r="M4477" t="s">
        <v>83</v>
      </c>
    </row>
    <row r="4478" spans="5:13" hidden="1" x14ac:dyDescent="0.35">
      <c r="E4478" s="81"/>
      <c r="I4478" s="83" t="e">
        <f>VLOOKUP(E4478,[1]Mapping!$A$3:$B$14,2,FALSE)</f>
        <v>#N/A</v>
      </c>
      <c r="J4478" s="84">
        <f t="shared" si="142"/>
        <v>0</v>
      </c>
      <c r="K4478" s="84">
        <f t="shared" si="143"/>
        <v>0</v>
      </c>
      <c r="L4478" s="61" t="e">
        <f>VLOOKUP(K4478,[1]Mapping!$J$3:$Q$351,8,FALSE)</f>
        <v>#N/A</v>
      </c>
      <c r="M4478" t="s">
        <v>83</v>
      </c>
    </row>
    <row r="4479" spans="5:13" hidden="1" x14ac:dyDescent="0.35">
      <c r="E4479" s="81"/>
      <c r="I4479" s="83" t="e">
        <f>VLOOKUP(E4479,[1]Mapping!$A$3:$B$14,2,FALSE)</f>
        <v>#N/A</v>
      </c>
      <c r="J4479" s="84">
        <f t="shared" si="142"/>
        <v>0</v>
      </c>
      <c r="K4479" s="84">
        <f t="shared" si="143"/>
        <v>0</v>
      </c>
      <c r="L4479" s="61" t="e">
        <f>VLOOKUP(K4479,[1]Mapping!$J$3:$Q$351,8,FALSE)</f>
        <v>#N/A</v>
      </c>
      <c r="M4479" t="s">
        <v>83</v>
      </c>
    </row>
    <row r="4480" spans="5:13" hidden="1" x14ac:dyDescent="0.35">
      <c r="E4480" s="81"/>
      <c r="I4480" s="83" t="e">
        <f>VLOOKUP(E4480,[1]Mapping!$A$3:$B$14,2,FALSE)</f>
        <v>#N/A</v>
      </c>
      <c r="J4480" s="84">
        <f t="shared" si="142"/>
        <v>0</v>
      </c>
      <c r="K4480" s="84">
        <f t="shared" si="143"/>
        <v>0</v>
      </c>
      <c r="L4480" s="61" t="e">
        <f>VLOOKUP(K4480,[1]Mapping!$J$3:$Q$351,8,FALSE)</f>
        <v>#N/A</v>
      </c>
      <c r="M4480" t="s">
        <v>83</v>
      </c>
    </row>
    <row r="4481" spans="5:13" hidden="1" x14ac:dyDescent="0.35">
      <c r="E4481" s="81"/>
      <c r="I4481" s="83" t="e">
        <f>VLOOKUP(E4481,[1]Mapping!$A$3:$B$14,2,FALSE)</f>
        <v>#N/A</v>
      </c>
      <c r="J4481" s="84">
        <f t="shared" si="142"/>
        <v>0</v>
      </c>
      <c r="K4481" s="84">
        <f t="shared" si="143"/>
        <v>0</v>
      </c>
      <c r="L4481" s="61" t="e">
        <f>VLOOKUP(K4481,[1]Mapping!$J$3:$Q$351,8,FALSE)</f>
        <v>#N/A</v>
      </c>
      <c r="M4481" t="s">
        <v>83</v>
      </c>
    </row>
    <row r="4482" spans="5:13" hidden="1" x14ac:dyDescent="0.35">
      <c r="E4482" s="81"/>
      <c r="I4482" s="83" t="e">
        <f>VLOOKUP(E4482,[1]Mapping!$A$3:$B$14,2,FALSE)</f>
        <v>#N/A</v>
      </c>
      <c r="J4482" s="84">
        <f t="shared" si="142"/>
        <v>0</v>
      </c>
      <c r="K4482" s="84">
        <f t="shared" si="143"/>
        <v>0</v>
      </c>
      <c r="L4482" s="61" t="e">
        <f>VLOOKUP(K4482,[1]Mapping!$J$3:$Q$351,8,FALSE)</f>
        <v>#N/A</v>
      </c>
      <c r="M4482" t="s">
        <v>83</v>
      </c>
    </row>
    <row r="4483" spans="5:13" hidden="1" x14ac:dyDescent="0.35">
      <c r="E4483" s="81"/>
      <c r="I4483" s="83" t="e">
        <f>VLOOKUP(E4483,[1]Mapping!$A$3:$B$14,2,FALSE)</f>
        <v>#N/A</v>
      </c>
      <c r="J4483" s="84">
        <f t="shared" si="142"/>
        <v>0</v>
      </c>
      <c r="K4483" s="84">
        <f t="shared" si="143"/>
        <v>0</v>
      </c>
      <c r="L4483" s="61" t="e">
        <f>VLOOKUP(K4483,[1]Mapping!$J$3:$Q$351,8,FALSE)</f>
        <v>#N/A</v>
      </c>
      <c r="M4483" t="s">
        <v>83</v>
      </c>
    </row>
    <row r="4484" spans="5:13" hidden="1" x14ac:dyDescent="0.35">
      <c r="E4484" s="81"/>
      <c r="I4484" s="83" t="e">
        <f>VLOOKUP(E4484,[1]Mapping!$A$3:$B$14,2,FALSE)</f>
        <v>#N/A</v>
      </c>
      <c r="J4484" s="84">
        <f t="shared" si="142"/>
        <v>0</v>
      </c>
      <c r="K4484" s="84">
        <f t="shared" si="143"/>
        <v>0</v>
      </c>
      <c r="L4484" s="61" t="e">
        <f>VLOOKUP(K4484,[1]Mapping!$J$3:$Q$351,8,FALSE)</f>
        <v>#N/A</v>
      </c>
      <c r="M4484" t="s">
        <v>83</v>
      </c>
    </row>
    <row r="4485" spans="5:13" hidden="1" x14ac:dyDescent="0.35">
      <c r="E4485" s="81"/>
      <c r="I4485" s="83" t="e">
        <f>VLOOKUP(E4485,[1]Mapping!$A$3:$B$14,2,FALSE)</f>
        <v>#N/A</v>
      </c>
      <c r="J4485" s="84">
        <f t="shared" si="142"/>
        <v>0</v>
      </c>
      <c r="K4485" s="84">
        <f t="shared" si="143"/>
        <v>0</v>
      </c>
      <c r="L4485" s="61" t="e">
        <f>VLOOKUP(K4485,[1]Mapping!$J$3:$Q$351,8,FALSE)</f>
        <v>#N/A</v>
      </c>
      <c r="M4485" t="s">
        <v>83</v>
      </c>
    </row>
    <row r="4486" spans="5:13" hidden="1" x14ac:dyDescent="0.35">
      <c r="E4486" s="81"/>
      <c r="I4486" s="83" t="e">
        <f>VLOOKUP(E4486,[1]Mapping!$A$3:$B$14,2,FALSE)</f>
        <v>#N/A</v>
      </c>
      <c r="J4486" s="84">
        <f t="shared" si="142"/>
        <v>0</v>
      </c>
      <c r="K4486" s="84">
        <f t="shared" si="143"/>
        <v>0</v>
      </c>
      <c r="L4486" s="61" t="e">
        <f>VLOOKUP(K4486,[1]Mapping!$J$3:$Q$351,8,FALSE)</f>
        <v>#N/A</v>
      </c>
      <c r="M4486" t="s">
        <v>83</v>
      </c>
    </row>
    <row r="4487" spans="5:13" hidden="1" x14ac:dyDescent="0.35">
      <c r="E4487" s="81"/>
      <c r="I4487" s="83" t="e">
        <f>VLOOKUP(E4487,[1]Mapping!$A$3:$B$14,2,FALSE)</f>
        <v>#N/A</v>
      </c>
      <c r="J4487" s="84">
        <f t="shared" si="142"/>
        <v>0</v>
      </c>
      <c r="K4487" s="84">
        <f t="shared" si="143"/>
        <v>0</v>
      </c>
      <c r="L4487" s="61" t="e">
        <f>VLOOKUP(K4487,[1]Mapping!$J$3:$Q$351,8,FALSE)</f>
        <v>#N/A</v>
      </c>
      <c r="M4487" t="s">
        <v>83</v>
      </c>
    </row>
    <row r="4488" spans="5:13" hidden="1" x14ac:dyDescent="0.35">
      <c r="E4488" s="81"/>
      <c r="I4488" s="83" t="e">
        <f>VLOOKUP(E4488,[1]Mapping!$A$3:$B$14,2,FALSE)</f>
        <v>#N/A</v>
      </c>
      <c r="J4488" s="84">
        <f t="shared" si="142"/>
        <v>0</v>
      </c>
      <c r="K4488" s="84">
        <f t="shared" si="143"/>
        <v>0</v>
      </c>
      <c r="L4488" s="61" t="e">
        <f>VLOOKUP(K4488,[1]Mapping!$J$3:$Q$351,8,FALSE)</f>
        <v>#N/A</v>
      </c>
      <c r="M4488" t="s">
        <v>83</v>
      </c>
    </row>
    <row r="4489" spans="5:13" hidden="1" x14ac:dyDescent="0.35">
      <c r="E4489" s="81"/>
      <c r="I4489" s="83" t="e">
        <f>VLOOKUP(E4489,[1]Mapping!$A$3:$B$14,2,FALSE)</f>
        <v>#N/A</v>
      </c>
      <c r="J4489" s="84">
        <f t="shared" si="142"/>
        <v>0</v>
      </c>
      <c r="K4489" s="84">
        <f t="shared" si="143"/>
        <v>0</v>
      </c>
      <c r="L4489" s="61" t="e">
        <f>VLOOKUP(K4489,[1]Mapping!$J$3:$Q$351,8,FALSE)</f>
        <v>#N/A</v>
      </c>
      <c r="M4489" t="s">
        <v>83</v>
      </c>
    </row>
    <row r="4490" spans="5:13" hidden="1" x14ac:dyDescent="0.35">
      <c r="E4490" s="81"/>
      <c r="I4490" s="83" t="e">
        <f>VLOOKUP(E4490,[1]Mapping!$A$3:$B$14,2,FALSE)</f>
        <v>#N/A</v>
      </c>
      <c r="J4490" s="84">
        <f t="shared" si="142"/>
        <v>0</v>
      </c>
      <c r="K4490" s="84">
        <f t="shared" si="143"/>
        <v>0</v>
      </c>
      <c r="L4490" s="61" t="e">
        <f>VLOOKUP(K4490,[1]Mapping!$J$3:$Q$351,8,FALSE)</f>
        <v>#N/A</v>
      </c>
      <c r="M4490" t="s">
        <v>83</v>
      </c>
    </row>
    <row r="4491" spans="5:13" hidden="1" x14ac:dyDescent="0.35">
      <c r="E4491" s="81"/>
      <c r="I4491" s="83" t="e">
        <f>VLOOKUP(E4491,[1]Mapping!$A$3:$B$14,2,FALSE)</f>
        <v>#N/A</v>
      </c>
      <c r="J4491" s="84">
        <f t="shared" si="142"/>
        <v>0</v>
      </c>
      <c r="K4491" s="84">
        <f t="shared" si="143"/>
        <v>0</v>
      </c>
      <c r="L4491" s="61" t="e">
        <f>VLOOKUP(K4491,[1]Mapping!$J$3:$Q$351,8,FALSE)</f>
        <v>#N/A</v>
      </c>
      <c r="M4491" t="s">
        <v>83</v>
      </c>
    </row>
    <row r="4492" spans="5:13" hidden="1" x14ac:dyDescent="0.35">
      <c r="E4492" s="81"/>
      <c r="I4492" s="83" t="e">
        <f>VLOOKUP(E4492,[1]Mapping!$A$3:$B$14,2,FALSE)</f>
        <v>#N/A</v>
      </c>
      <c r="J4492" s="84">
        <f t="shared" si="142"/>
        <v>0</v>
      </c>
      <c r="K4492" s="84">
        <f t="shared" si="143"/>
        <v>0</v>
      </c>
      <c r="L4492" s="61" t="e">
        <f>VLOOKUP(K4492,[1]Mapping!$J$3:$Q$351,8,FALSE)</f>
        <v>#N/A</v>
      </c>
      <c r="M4492" t="s">
        <v>83</v>
      </c>
    </row>
    <row r="4493" spans="5:13" hidden="1" x14ac:dyDescent="0.35">
      <c r="E4493" s="81"/>
      <c r="I4493" s="83" t="e">
        <f>VLOOKUP(E4493,[1]Mapping!$A$3:$B$14,2,FALSE)</f>
        <v>#N/A</v>
      </c>
      <c r="J4493" s="84">
        <f t="shared" si="142"/>
        <v>0</v>
      </c>
      <c r="K4493" s="84">
        <f t="shared" si="143"/>
        <v>0</v>
      </c>
      <c r="L4493" s="61" t="e">
        <f>VLOOKUP(K4493,[1]Mapping!$J$3:$Q$351,8,FALSE)</f>
        <v>#N/A</v>
      </c>
      <c r="M4493" t="s">
        <v>83</v>
      </c>
    </row>
    <row r="4494" spans="5:13" hidden="1" x14ac:dyDescent="0.35">
      <c r="E4494" s="81"/>
      <c r="I4494" s="83" t="e">
        <f>VLOOKUP(E4494,[1]Mapping!$A$3:$B$14,2,FALSE)</f>
        <v>#N/A</v>
      </c>
      <c r="J4494" s="84">
        <f t="shared" si="142"/>
        <v>0</v>
      </c>
      <c r="K4494" s="84">
        <f t="shared" si="143"/>
        <v>0</v>
      </c>
      <c r="L4494" s="61" t="e">
        <f>VLOOKUP(K4494,[1]Mapping!$J$3:$Q$351,8,FALSE)</f>
        <v>#N/A</v>
      </c>
      <c r="M4494" t="s">
        <v>83</v>
      </c>
    </row>
    <row r="4495" spans="5:13" hidden="1" x14ac:dyDescent="0.35">
      <c r="E4495" s="81"/>
      <c r="I4495" s="83" t="e">
        <f>VLOOKUP(E4495,[1]Mapping!$A$3:$B$14,2,FALSE)</f>
        <v>#N/A</v>
      </c>
      <c r="J4495" s="84">
        <f t="shared" si="142"/>
        <v>0</v>
      </c>
      <c r="K4495" s="84">
        <f t="shared" si="143"/>
        <v>0</v>
      </c>
      <c r="L4495" s="61" t="e">
        <f>VLOOKUP(K4495,[1]Mapping!$J$3:$Q$351,8,FALSE)</f>
        <v>#N/A</v>
      </c>
      <c r="M4495" t="s">
        <v>83</v>
      </c>
    </row>
    <row r="4496" spans="5:13" hidden="1" x14ac:dyDescent="0.35">
      <c r="E4496" s="81"/>
      <c r="I4496" s="83" t="e">
        <f>VLOOKUP(E4496,[1]Mapping!$A$3:$B$14,2,FALSE)</f>
        <v>#N/A</v>
      </c>
      <c r="J4496" s="84">
        <f t="shared" ref="J4496:J4559" si="144">VALUE(A4496)</f>
        <v>0</v>
      </c>
      <c r="K4496" s="84">
        <f t="shared" ref="K4496:K4559" si="145">VALUE(C4496)</f>
        <v>0</v>
      </c>
      <c r="L4496" s="61" t="e">
        <f>VLOOKUP(K4496,[1]Mapping!$J$3:$Q$351,8,FALSE)</f>
        <v>#N/A</v>
      </c>
      <c r="M4496" t="s">
        <v>83</v>
      </c>
    </row>
    <row r="4497" spans="5:15" hidden="1" x14ac:dyDescent="0.35">
      <c r="E4497" s="81"/>
      <c r="I4497" s="83" t="e">
        <f>VLOOKUP(E4497,[1]Mapping!$A$3:$B$14,2,FALSE)</f>
        <v>#N/A</v>
      </c>
      <c r="J4497" s="84">
        <f t="shared" si="144"/>
        <v>0</v>
      </c>
      <c r="K4497" s="84">
        <f t="shared" si="145"/>
        <v>0</v>
      </c>
      <c r="L4497" s="61" t="e">
        <f>VLOOKUP(K4497,[1]Mapping!$J$3:$Q$351,8,FALSE)</f>
        <v>#N/A</v>
      </c>
      <c r="M4497" t="s">
        <v>83</v>
      </c>
    </row>
    <row r="4498" spans="5:15" hidden="1" x14ac:dyDescent="0.35">
      <c r="E4498" s="81"/>
      <c r="I4498" s="83" t="e">
        <f>VLOOKUP(E4498,[1]Mapping!$A$3:$B$14,2,FALSE)</f>
        <v>#N/A</v>
      </c>
      <c r="J4498" s="84">
        <f t="shared" si="144"/>
        <v>0</v>
      </c>
      <c r="K4498" s="84">
        <f t="shared" si="145"/>
        <v>0</v>
      </c>
      <c r="L4498" s="61" t="e">
        <f>VLOOKUP(K4498,[1]Mapping!$J$3:$Q$351,8,FALSE)</f>
        <v>#N/A</v>
      </c>
      <c r="M4498" t="s">
        <v>83</v>
      </c>
    </row>
    <row r="4499" spans="5:15" hidden="1" x14ac:dyDescent="0.35">
      <c r="E4499" s="81"/>
      <c r="I4499" s="83" t="e">
        <f>VLOOKUP(E4499,[1]Mapping!$A$3:$B$14,2,FALSE)</f>
        <v>#N/A</v>
      </c>
      <c r="J4499" s="84">
        <f t="shared" si="144"/>
        <v>0</v>
      </c>
      <c r="K4499" s="84">
        <f t="shared" si="145"/>
        <v>0</v>
      </c>
      <c r="L4499" s="61" t="e">
        <f>VLOOKUP(K4499,[1]Mapping!$J$3:$Q$351,8,FALSE)</f>
        <v>#N/A</v>
      </c>
      <c r="M4499" t="s">
        <v>83</v>
      </c>
    </row>
    <row r="4500" spans="5:15" hidden="1" x14ac:dyDescent="0.35">
      <c r="E4500" s="81"/>
      <c r="I4500" s="83" t="e">
        <f>VLOOKUP(E4500,[1]Mapping!$A$3:$B$14,2,FALSE)</f>
        <v>#N/A</v>
      </c>
      <c r="J4500" s="84">
        <f t="shared" si="144"/>
        <v>0</v>
      </c>
      <c r="K4500" s="84">
        <f t="shared" si="145"/>
        <v>0</v>
      </c>
      <c r="L4500" s="61" t="e">
        <f>VLOOKUP(K4500,[1]Mapping!$J$3:$Q$351,8,FALSE)</f>
        <v>#N/A</v>
      </c>
      <c r="M4500" t="s">
        <v>83</v>
      </c>
    </row>
    <row r="4501" spans="5:15" hidden="1" x14ac:dyDescent="0.35">
      <c r="E4501" s="81"/>
      <c r="I4501" s="83" t="e">
        <f>VLOOKUP(E4501,[1]Mapping!$A$3:$B$14,2,FALSE)</f>
        <v>#N/A</v>
      </c>
      <c r="J4501" s="84">
        <f t="shared" si="144"/>
        <v>0</v>
      </c>
      <c r="K4501" s="84">
        <f t="shared" si="145"/>
        <v>0</v>
      </c>
      <c r="L4501" s="61" t="e">
        <f>VLOOKUP(K4501,[1]Mapping!$J$3:$Q$351,8,FALSE)</f>
        <v>#N/A</v>
      </c>
      <c r="M4501" t="s">
        <v>83</v>
      </c>
    </row>
    <row r="4502" spans="5:15" hidden="1" x14ac:dyDescent="0.35">
      <c r="E4502" s="81"/>
      <c r="I4502" s="83" t="e">
        <f>VLOOKUP(E4502,[1]Mapping!$A$3:$B$14,2,FALSE)</f>
        <v>#N/A</v>
      </c>
      <c r="J4502" s="84">
        <f t="shared" si="144"/>
        <v>0</v>
      </c>
      <c r="K4502" s="84">
        <f t="shared" si="145"/>
        <v>0</v>
      </c>
      <c r="L4502" s="61" t="e">
        <f>VLOOKUP(K4502,[1]Mapping!$J$3:$Q$351,8,FALSE)</f>
        <v>#N/A</v>
      </c>
      <c r="M4502" t="s">
        <v>83</v>
      </c>
    </row>
    <row r="4503" spans="5:15" hidden="1" x14ac:dyDescent="0.35">
      <c r="E4503" s="81"/>
      <c r="I4503" s="83" t="e">
        <f>VLOOKUP(E4503,[1]Mapping!$A$3:$B$14,2,FALSE)</f>
        <v>#N/A</v>
      </c>
      <c r="J4503" s="84">
        <f t="shared" si="144"/>
        <v>0</v>
      </c>
      <c r="K4503" s="84">
        <f t="shared" si="145"/>
        <v>0</v>
      </c>
      <c r="L4503" s="61" t="e">
        <f>VLOOKUP(K4503,[1]Mapping!$J$3:$Q$351,8,FALSE)</f>
        <v>#N/A</v>
      </c>
      <c r="M4503" t="s">
        <v>83</v>
      </c>
    </row>
    <row r="4504" spans="5:15" hidden="1" x14ac:dyDescent="0.35">
      <c r="E4504" s="81"/>
      <c r="I4504" s="83" t="e">
        <f>VLOOKUP(E4504,[1]Mapping!$A$3:$B$14,2,FALSE)</f>
        <v>#N/A</v>
      </c>
      <c r="J4504" s="84">
        <f t="shared" si="144"/>
        <v>0</v>
      </c>
      <c r="K4504" s="84">
        <f t="shared" si="145"/>
        <v>0</v>
      </c>
      <c r="L4504" s="61" t="e">
        <f>VLOOKUP(K4504,[1]Mapping!$J$3:$Q$351,8,FALSE)</f>
        <v>#N/A</v>
      </c>
      <c r="M4504" t="s">
        <v>83</v>
      </c>
    </row>
    <row r="4505" spans="5:15" hidden="1" x14ac:dyDescent="0.35">
      <c r="E4505" s="81"/>
      <c r="I4505" s="83" t="e">
        <f>VLOOKUP(E4505,[1]Mapping!$A$3:$B$14,2,FALSE)</f>
        <v>#N/A</v>
      </c>
      <c r="J4505" s="84">
        <f t="shared" si="144"/>
        <v>0</v>
      </c>
      <c r="K4505" s="84">
        <f t="shared" si="145"/>
        <v>0</v>
      </c>
      <c r="L4505" s="61" t="e">
        <f>VLOOKUP(K4505,[1]Mapping!$J$3:$Q$351,8,FALSE)</f>
        <v>#N/A</v>
      </c>
      <c r="M4505" t="s">
        <v>83</v>
      </c>
    </row>
    <row r="4506" spans="5:15" hidden="1" x14ac:dyDescent="0.35">
      <c r="E4506" s="81"/>
      <c r="H4506" s="82"/>
      <c r="I4506" s="83" t="e">
        <f>VLOOKUP(E4506,[1]Mapping!$A$3:$B$14,2,FALSE)</f>
        <v>#N/A</v>
      </c>
      <c r="J4506" s="84">
        <f t="shared" si="144"/>
        <v>0</v>
      </c>
      <c r="K4506" s="84">
        <f t="shared" si="145"/>
        <v>0</v>
      </c>
      <c r="L4506" s="61" t="e">
        <f>VLOOKUP(K4506,[1]Mapping!$J$3:$Q$351,8,FALSE)</f>
        <v>#N/A</v>
      </c>
      <c r="M4506" t="s">
        <v>83</v>
      </c>
      <c r="N4506" t="s">
        <v>180</v>
      </c>
      <c r="O4506" t="s">
        <v>178</v>
      </c>
    </row>
    <row r="4507" spans="5:15" hidden="1" x14ac:dyDescent="0.35">
      <c r="E4507" s="81"/>
      <c r="I4507" s="83" t="e">
        <f>VLOOKUP(E4507,[1]Mapping!$A$3:$B$14,2,FALSE)</f>
        <v>#N/A</v>
      </c>
      <c r="J4507" s="84">
        <f t="shared" si="144"/>
        <v>0</v>
      </c>
      <c r="K4507" s="84">
        <f t="shared" si="145"/>
        <v>0</v>
      </c>
      <c r="L4507" s="61" t="e">
        <f>VLOOKUP(K4507,[1]Mapping!$J$3:$Q$351,8,FALSE)</f>
        <v>#N/A</v>
      </c>
      <c r="M4507" t="s">
        <v>83</v>
      </c>
    </row>
    <row r="4508" spans="5:15" hidden="1" x14ac:dyDescent="0.35">
      <c r="E4508" s="81"/>
      <c r="I4508" s="83" t="e">
        <f>VLOOKUP(E4508,[1]Mapping!$A$3:$B$14,2,FALSE)</f>
        <v>#N/A</v>
      </c>
      <c r="J4508" s="84">
        <f t="shared" si="144"/>
        <v>0</v>
      </c>
      <c r="K4508" s="84">
        <f t="shared" si="145"/>
        <v>0</v>
      </c>
      <c r="L4508" s="61" t="e">
        <f>VLOOKUP(K4508,[1]Mapping!$J$3:$Q$351,8,FALSE)</f>
        <v>#N/A</v>
      </c>
      <c r="M4508" t="s">
        <v>83</v>
      </c>
    </row>
    <row r="4509" spans="5:15" hidden="1" x14ac:dyDescent="0.35">
      <c r="E4509" s="81"/>
      <c r="I4509" s="83" t="e">
        <f>VLOOKUP(E4509,[1]Mapping!$A$3:$B$14,2,FALSE)</f>
        <v>#N/A</v>
      </c>
      <c r="J4509" s="84">
        <f t="shared" si="144"/>
        <v>0</v>
      </c>
      <c r="K4509" s="84">
        <f t="shared" si="145"/>
        <v>0</v>
      </c>
      <c r="L4509" s="61" t="e">
        <f>VLOOKUP(K4509,[1]Mapping!$J$3:$Q$351,8,FALSE)</f>
        <v>#N/A</v>
      </c>
      <c r="M4509" t="s">
        <v>83</v>
      </c>
    </row>
    <row r="4510" spans="5:15" hidden="1" x14ac:dyDescent="0.35">
      <c r="E4510" s="81"/>
      <c r="I4510" s="83" t="e">
        <f>VLOOKUP(E4510,[1]Mapping!$A$3:$B$14,2,FALSE)</f>
        <v>#N/A</v>
      </c>
      <c r="J4510" s="84">
        <f t="shared" si="144"/>
        <v>0</v>
      </c>
      <c r="K4510" s="84">
        <f t="shared" si="145"/>
        <v>0</v>
      </c>
      <c r="L4510" s="61" t="e">
        <f>VLOOKUP(K4510,[1]Mapping!$J$3:$Q$351,8,FALSE)</f>
        <v>#N/A</v>
      </c>
      <c r="M4510" t="s">
        <v>83</v>
      </c>
    </row>
    <row r="4511" spans="5:15" hidden="1" x14ac:dyDescent="0.35">
      <c r="E4511" s="81"/>
      <c r="I4511" s="83" t="e">
        <f>VLOOKUP(E4511,[1]Mapping!$A$3:$B$14,2,FALSE)</f>
        <v>#N/A</v>
      </c>
      <c r="J4511" s="84">
        <f t="shared" si="144"/>
        <v>0</v>
      </c>
      <c r="K4511" s="84">
        <f t="shared" si="145"/>
        <v>0</v>
      </c>
      <c r="L4511" s="61" t="e">
        <f>VLOOKUP(K4511,[1]Mapping!$J$3:$Q$351,8,FALSE)</f>
        <v>#N/A</v>
      </c>
      <c r="M4511" t="s">
        <v>83</v>
      </c>
    </row>
    <row r="4512" spans="5:15" hidden="1" x14ac:dyDescent="0.35">
      <c r="E4512" s="81"/>
      <c r="I4512" s="83" t="e">
        <f>VLOOKUP(E4512,[1]Mapping!$A$3:$B$14,2,FALSE)</f>
        <v>#N/A</v>
      </c>
      <c r="J4512" s="84">
        <f t="shared" si="144"/>
        <v>0</v>
      </c>
      <c r="K4512" s="84">
        <f t="shared" si="145"/>
        <v>0</v>
      </c>
      <c r="L4512" s="61" t="e">
        <f>VLOOKUP(K4512,[1]Mapping!$J$3:$Q$351,8,FALSE)</f>
        <v>#N/A</v>
      </c>
      <c r="M4512" t="s">
        <v>83</v>
      </c>
    </row>
    <row r="4513" spans="5:13" hidden="1" x14ac:dyDescent="0.35">
      <c r="E4513" s="81"/>
      <c r="I4513" s="83" t="e">
        <f>VLOOKUP(E4513,[1]Mapping!$A$3:$B$14,2,FALSE)</f>
        <v>#N/A</v>
      </c>
      <c r="J4513" s="84">
        <f t="shared" si="144"/>
        <v>0</v>
      </c>
      <c r="K4513" s="84">
        <f t="shared" si="145"/>
        <v>0</v>
      </c>
      <c r="L4513" s="61" t="e">
        <f>VLOOKUP(K4513,[1]Mapping!$J$3:$Q$351,8,FALSE)</f>
        <v>#N/A</v>
      </c>
      <c r="M4513" t="s">
        <v>83</v>
      </c>
    </row>
    <row r="4514" spans="5:13" hidden="1" x14ac:dyDescent="0.35">
      <c r="E4514" s="81"/>
      <c r="I4514" s="83" t="e">
        <f>VLOOKUP(E4514,[1]Mapping!$A$3:$B$14,2,FALSE)</f>
        <v>#N/A</v>
      </c>
      <c r="J4514" s="84">
        <f t="shared" si="144"/>
        <v>0</v>
      </c>
      <c r="K4514" s="84">
        <f t="shared" si="145"/>
        <v>0</v>
      </c>
      <c r="L4514" s="61" t="e">
        <f>VLOOKUP(K4514,[1]Mapping!$J$3:$Q$351,8,FALSE)</f>
        <v>#N/A</v>
      </c>
      <c r="M4514" t="s">
        <v>83</v>
      </c>
    </row>
    <row r="4515" spans="5:13" hidden="1" x14ac:dyDescent="0.35">
      <c r="E4515" s="81"/>
      <c r="I4515" s="83" t="e">
        <f>VLOOKUP(E4515,[1]Mapping!$A$3:$B$14,2,FALSE)</f>
        <v>#N/A</v>
      </c>
      <c r="J4515" s="84">
        <f t="shared" si="144"/>
        <v>0</v>
      </c>
      <c r="K4515" s="84">
        <f t="shared" si="145"/>
        <v>0</v>
      </c>
      <c r="L4515" s="61" t="e">
        <f>VLOOKUP(K4515,[1]Mapping!$J$3:$Q$351,8,FALSE)</f>
        <v>#N/A</v>
      </c>
      <c r="M4515" t="s">
        <v>83</v>
      </c>
    </row>
    <row r="4516" spans="5:13" hidden="1" x14ac:dyDescent="0.35">
      <c r="E4516" s="81"/>
      <c r="I4516" s="83" t="e">
        <f>VLOOKUP(E4516,[1]Mapping!$A$3:$B$14,2,FALSE)</f>
        <v>#N/A</v>
      </c>
      <c r="J4516" s="84">
        <f t="shared" si="144"/>
        <v>0</v>
      </c>
      <c r="K4516" s="84">
        <f t="shared" si="145"/>
        <v>0</v>
      </c>
      <c r="L4516" s="61" t="e">
        <f>VLOOKUP(K4516,[1]Mapping!$J$3:$Q$351,8,FALSE)</f>
        <v>#N/A</v>
      </c>
      <c r="M4516" t="s">
        <v>83</v>
      </c>
    </row>
    <row r="4517" spans="5:13" hidden="1" x14ac:dyDescent="0.35">
      <c r="E4517" s="81"/>
      <c r="I4517" s="83" t="e">
        <f>VLOOKUP(E4517,[1]Mapping!$A$3:$B$14,2,FALSE)</f>
        <v>#N/A</v>
      </c>
      <c r="J4517" s="84">
        <f t="shared" si="144"/>
        <v>0</v>
      </c>
      <c r="K4517" s="84">
        <f t="shared" si="145"/>
        <v>0</v>
      </c>
      <c r="L4517" s="61" t="e">
        <f>VLOOKUP(K4517,[1]Mapping!$J$3:$Q$351,8,FALSE)</f>
        <v>#N/A</v>
      </c>
      <c r="M4517" t="s">
        <v>83</v>
      </c>
    </row>
    <row r="4518" spans="5:13" hidden="1" x14ac:dyDescent="0.35">
      <c r="E4518" s="81"/>
      <c r="I4518" s="83" t="e">
        <f>VLOOKUP(E4518,[1]Mapping!$A$3:$B$14,2,FALSE)</f>
        <v>#N/A</v>
      </c>
      <c r="J4518" s="84">
        <f t="shared" si="144"/>
        <v>0</v>
      </c>
      <c r="K4518" s="84">
        <f t="shared" si="145"/>
        <v>0</v>
      </c>
      <c r="L4518" s="61" t="e">
        <f>VLOOKUP(K4518,[1]Mapping!$J$3:$Q$351,8,FALSE)</f>
        <v>#N/A</v>
      </c>
      <c r="M4518" t="s">
        <v>83</v>
      </c>
    </row>
    <row r="4519" spans="5:13" hidden="1" x14ac:dyDescent="0.35">
      <c r="E4519" s="81"/>
      <c r="I4519" s="83" t="e">
        <f>VLOOKUP(E4519,[1]Mapping!$A$3:$B$14,2,FALSE)</f>
        <v>#N/A</v>
      </c>
      <c r="J4519" s="84">
        <f t="shared" si="144"/>
        <v>0</v>
      </c>
      <c r="K4519" s="84">
        <f t="shared" si="145"/>
        <v>0</v>
      </c>
      <c r="L4519" s="61" t="e">
        <f>VLOOKUP(K4519,[1]Mapping!$J$3:$Q$351,8,FALSE)</f>
        <v>#N/A</v>
      </c>
      <c r="M4519" t="s">
        <v>83</v>
      </c>
    </row>
    <row r="4520" spans="5:13" hidden="1" x14ac:dyDescent="0.35">
      <c r="E4520" s="81"/>
      <c r="I4520" s="83" t="e">
        <f>VLOOKUP(E4520,[1]Mapping!$A$3:$B$14,2,FALSE)</f>
        <v>#N/A</v>
      </c>
      <c r="J4520" s="84">
        <f t="shared" si="144"/>
        <v>0</v>
      </c>
      <c r="K4520" s="84">
        <f t="shared" si="145"/>
        <v>0</v>
      </c>
      <c r="L4520" s="61" t="e">
        <f>VLOOKUP(K4520,[1]Mapping!$J$3:$Q$351,8,FALSE)</f>
        <v>#N/A</v>
      </c>
      <c r="M4520" t="s">
        <v>83</v>
      </c>
    </row>
    <row r="4521" spans="5:13" hidden="1" x14ac:dyDescent="0.35">
      <c r="E4521" s="81"/>
      <c r="I4521" s="83" t="e">
        <f>VLOOKUP(E4521,[1]Mapping!$A$3:$B$14,2,FALSE)</f>
        <v>#N/A</v>
      </c>
      <c r="J4521" s="84">
        <f t="shared" si="144"/>
        <v>0</v>
      </c>
      <c r="K4521" s="84">
        <f t="shared" si="145"/>
        <v>0</v>
      </c>
      <c r="L4521" s="61" t="e">
        <f>VLOOKUP(K4521,[1]Mapping!$J$3:$Q$351,8,FALSE)</f>
        <v>#N/A</v>
      </c>
      <c r="M4521" t="s">
        <v>83</v>
      </c>
    </row>
    <row r="4522" spans="5:13" hidden="1" x14ac:dyDescent="0.35">
      <c r="E4522" s="81"/>
      <c r="I4522" s="83" t="e">
        <f>VLOOKUP(E4522,[1]Mapping!$A$3:$B$14,2,FALSE)</f>
        <v>#N/A</v>
      </c>
      <c r="J4522" s="84">
        <f t="shared" si="144"/>
        <v>0</v>
      </c>
      <c r="K4522" s="84">
        <f t="shared" si="145"/>
        <v>0</v>
      </c>
      <c r="L4522" s="61" t="e">
        <f>VLOOKUP(K4522,[1]Mapping!$J$3:$Q$351,8,FALSE)</f>
        <v>#N/A</v>
      </c>
      <c r="M4522" t="s">
        <v>83</v>
      </c>
    </row>
    <row r="4523" spans="5:13" hidden="1" x14ac:dyDescent="0.35">
      <c r="E4523" s="81"/>
      <c r="I4523" s="83" t="e">
        <f>VLOOKUP(E4523,[1]Mapping!$A$3:$B$14,2,FALSE)</f>
        <v>#N/A</v>
      </c>
      <c r="J4523" s="84">
        <f t="shared" si="144"/>
        <v>0</v>
      </c>
      <c r="K4523" s="84">
        <f t="shared" si="145"/>
        <v>0</v>
      </c>
      <c r="L4523" s="61" t="e">
        <f>VLOOKUP(K4523,[1]Mapping!$J$3:$Q$351,8,FALSE)</f>
        <v>#N/A</v>
      </c>
      <c r="M4523" t="s">
        <v>83</v>
      </c>
    </row>
    <row r="4524" spans="5:13" hidden="1" x14ac:dyDescent="0.35">
      <c r="E4524" s="81"/>
      <c r="I4524" s="83" t="e">
        <f>VLOOKUP(E4524,[1]Mapping!$A$3:$B$14,2,FALSE)</f>
        <v>#N/A</v>
      </c>
      <c r="J4524" s="84">
        <f t="shared" si="144"/>
        <v>0</v>
      </c>
      <c r="K4524" s="84">
        <f t="shared" si="145"/>
        <v>0</v>
      </c>
      <c r="L4524" s="61" t="e">
        <f>VLOOKUP(K4524,[1]Mapping!$J$3:$Q$351,8,FALSE)</f>
        <v>#N/A</v>
      </c>
      <c r="M4524" t="s">
        <v>83</v>
      </c>
    </row>
    <row r="4525" spans="5:13" hidden="1" x14ac:dyDescent="0.35">
      <c r="E4525" s="81"/>
      <c r="I4525" s="83" t="e">
        <f>VLOOKUP(E4525,[1]Mapping!$A$3:$B$14,2,FALSE)</f>
        <v>#N/A</v>
      </c>
      <c r="J4525" s="84">
        <f t="shared" si="144"/>
        <v>0</v>
      </c>
      <c r="K4525" s="84">
        <f t="shared" si="145"/>
        <v>0</v>
      </c>
      <c r="L4525" s="61" t="e">
        <f>VLOOKUP(K4525,[1]Mapping!$J$3:$Q$351,8,FALSE)</f>
        <v>#N/A</v>
      </c>
      <c r="M4525" t="s">
        <v>83</v>
      </c>
    </row>
    <row r="4526" spans="5:13" hidden="1" x14ac:dyDescent="0.35">
      <c r="E4526" s="81"/>
      <c r="I4526" s="83" t="e">
        <f>VLOOKUP(E4526,[1]Mapping!$A$3:$B$14,2,FALSE)</f>
        <v>#N/A</v>
      </c>
      <c r="J4526" s="84">
        <f t="shared" si="144"/>
        <v>0</v>
      </c>
      <c r="K4526" s="84">
        <f t="shared" si="145"/>
        <v>0</v>
      </c>
      <c r="L4526" s="61" t="e">
        <f>VLOOKUP(K4526,[1]Mapping!$J$3:$Q$351,8,FALSE)</f>
        <v>#N/A</v>
      </c>
      <c r="M4526" t="s">
        <v>83</v>
      </c>
    </row>
    <row r="4527" spans="5:13" hidden="1" x14ac:dyDescent="0.35">
      <c r="E4527" s="81"/>
      <c r="I4527" s="83" t="e">
        <f>VLOOKUP(E4527,[1]Mapping!$A$3:$B$14,2,FALSE)</f>
        <v>#N/A</v>
      </c>
      <c r="J4527" s="84">
        <f t="shared" si="144"/>
        <v>0</v>
      </c>
      <c r="K4527" s="84">
        <f t="shared" si="145"/>
        <v>0</v>
      </c>
      <c r="L4527" s="61" t="e">
        <f>VLOOKUP(K4527,[1]Mapping!$J$3:$Q$351,8,FALSE)</f>
        <v>#N/A</v>
      </c>
      <c r="M4527" t="s">
        <v>83</v>
      </c>
    </row>
    <row r="4528" spans="5:13" hidden="1" x14ac:dyDescent="0.35">
      <c r="E4528" s="81"/>
      <c r="I4528" s="83" t="e">
        <f>VLOOKUP(E4528,[1]Mapping!$A$3:$B$14,2,FALSE)</f>
        <v>#N/A</v>
      </c>
      <c r="J4528" s="84">
        <f t="shared" si="144"/>
        <v>0</v>
      </c>
      <c r="K4528" s="84">
        <f t="shared" si="145"/>
        <v>0</v>
      </c>
      <c r="L4528" s="61" t="e">
        <f>VLOOKUP(K4528,[1]Mapping!$J$3:$Q$351,8,FALSE)</f>
        <v>#N/A</v>
      </c>
      <c r="M4528" t="s">
        <v>83</v>
      </c>
    </row>
    <row r="4529" spans="5:13" hidden="1" x14ac:dyDescent="0.35">
      <c r="E4529" s="81"/>
      <c r="I4529" s="83" t="e">
        <f>VLOOKUP(E4529,[1]Mapping!$A$3:$B$14,2,FALSE)</f>
        <v>#N/A</v>
      </c>
      <c r="J4529" s="84">
        <f t="shared" si="144"/>
        <v>0</v>
      </c>
      <c r="K4529" s="84">
        <f t="shared" si="145"/>
        <v>0</v>
      </c>
      <c r="L4529" s="61" t="e">
        <f>VLOOKUP(K4529,[1]Mapping!$J$3:$Q$351,8,FALSE)</f>
        <v>#N/A</v>
      </c>
      <c r="M4529" t="s">
        <v>83</v>
      </c>
    </row>
    <row r="4530" spans="5:13" hidden="1" x14ac:dyDescent="0.35">
      <c r="E4530" s="81"/>
      <c r="I4530" s="83" t="e">
        <f>VLOOKUP(E4530,[1]Mapping!$A$3:$B$14,2,FALSE)</f>
        <v>#N/A</v>
      </c>
      <c r="J4530" s="84">
        <f t="shared" si="144"/>
        <v>0</v>
      </c>
      <c r="K4530" s="84">
        <f t="shared" si="145"/>
        <v>0</v>
      </c>
      <c r="L4530" s="61" t="e">
        <f>VLOOKUP(K4530,[1]Mapping!$J$3:$Q$351,8,FALSE)</f>
        <v>#N/A</v>
      </c>
      <c r="M4530" t="s">
        <v>83</v>
      </c>
    </row>
    <row r="4531" spans="5:13" hidden="1" x14ac:dyDescent="0.35">
      <c r="E4531" s="81"/>
      <c r="I4531" s="83" t="e">
        <f>VLOOKUP(E4531,[1]Mapping!$A$3:$B$14,2,FALSE)</f>
        <v>#N/A</v>
      </c>
      <c r="J4531" s="84">
        <f t="shared" si="144"/>
        <v>0</v>
      </c>
      <c r="K4531" s="84">
        <f t="shared" si="145"/>
        <v>0</v>
      </c>
      <c r="L4531" s="61" t="e">
        <f>VLOOKUP(K4531,[1]Mapping!$J$3:$Q$351,8,FALSE)</f>
        <v>#N/A</v>
      </c>
      <c r="M4531" t="s">
        <v>83</v>
      </c>
    </row>
    <row r="4532" spans="5:13" hidden="1" x14ac:dyDescent="0.35">
      <c r="E4532" s="81"/>
      <c r="I4532" s="83" t="e">
        <f>VLOOKUP(E4532,[1]Mapping!$A$3:$B$14,2,FALSE)</f>
        <v>#N/A</v>
      </c>
      <c r="J4532" s="84">
        <f t="shared" si="144"/>
        <v>0</v>
      </c>
      <c r="K4532" s="84">
        <f t="shared" si="145"/>
        <v>0</v>
      </c>
      <c r="L4532" s="61" t="e">
        <f>VLOOKUP(K4532,[1]Mapping!$J$3:$Q$351,8,FALSE)</f>
        <v>#N/A</v>
      </c>
      <c r="M4532" t="s">
        <v>83</v>
      </c>
    </row>
    <row r="4533" spans="5:13" hidden="1" x14ac:dyDescent="0.35">
      <c r="E4533" s="81"/>
      <c r="I4533" s="83" t="e">
        <f>VLOOKUP(E4533,[1]Mapping!$A$3:$B$14,2,FALSE)</f>
        <v>#N/A</v>
      </c>
      <c r="J4533" s="84">
        <f t="shared" si="144"/>
        <v>0</v>
      </c>
      <c r="K4533" s="84">
        <f t="shared" si="145"/>
        <v>0</v>
      </c>
      <c r="L4533" s="61" t="e">
        <f>VLOOKUP(K4533,[1]Mapping!$J$3:$Q$351,8,FALSE)</f>
        <v>#N/A</v>
      </c>
      <c r="M4533" t="s">
        <v>83</v>
      </c>
    </row>
    <row r="4534" spans="5:13" hidden="1" x14ac:dyDescent="0.35">
      <c r="E4534" s="81"/>
      <c r="I4534" s="83" t="e">
        <f>VLOOKUP(E4534,[1]Mapping!$A$3:$B$14,2,FALSE)</f>
        <v>#N/A</v>
      </c>
      <c r="J4534" s="84">
        <f t="shared" si="144"/>
        <v>0</v>
      </c>
      <c r="K4534" s="84">
        <f t="shared" si="145"/>
        <v>0</v>
      </c>
      <c r="L4534" s="61" t="e">
        <f>VLOOKUP(K4534,[1]Mapping!$J$3:$Q$351,8,FALSE)</f>
        <v>#N/A</v>
      </c>
      <c r="M4534" t="s">
        <v>83</v>
      </c>
    </row>
    <row r="4535" spans="5:13" hidden="1" x14ac:dyDescent="0.35">
      <c r="E4535" s="81"/>
      <c r="I4535" s="83" t="e">
        <f>VLOOKUP(E4535,[1]Mapping!$A$3:$B$14,2,FALSE)</f>
        <v>#N/A</v>
      </c>
      <c r="J4535" s="84">
        <f t="shared" si="144"/>
        <v>0</v>
      </c>
      <c r="K4535" s="84">
        <f t="shared" si="145"/>
        <v>0</v>
      </c>
      <c r="L4535" s="61" t="e">
        <f>VLOOKUP(K4535,[1]Mapping!$J$3:$Q$351,8,FALSE)</f>
        <v>#N/A</v>
      </c>
      <c r="M4535" t="s">
        <v>83</v>
      </c>
    </row>
    <row r="4536" spans="5:13" hidden="1" x14ac:dyDescent="0.35">
      <c r="E4536" s="81"/>
      <c r="I4536" s="83" t="e">
        <f>VLOOKUP(E4536,[1]Mapping!$A$3:$B$14,2,FALSE)</f>
        <v>#N/A</v>
      </c>
      <c r="J4536" s="84">
        <f t="shared" si="144"/>
        <v>0</v>
      </c>
      <c r="K4536" s="84">
        <f t="shared" si="145"/>
        <v>0</v>
      </c>
      <c r="L4536" s="61" t="e">
        <f>VLOOKUP(K4536,[1]Mapping!$J$3:$Q$351,8,FALSE)</f>
        <v>#N/A</v>
      </c>
      <c r="M4536" t="s">
        <v>83</v>
      </c>
    </row>
    <row r="4537" spans="5:13" hidden="1" x14ac:dyDescent="0.35">
      <c r="E4537" s="81"/>
      <c r="I4537" s="83" t="e">
        <f>VLOOKUP(E4537,[1]Mapping!$A$3:$B$14,2,FALSE)</f>
        <v>#N/A</v>
      </c>
      <c r="J4537" s="84">
        <f t="shared" si="144"/>
        <v>0</v>
      </c>
      <c r="K4537" s="84">
        <f t="shared" si="145"/>
        <v>0</v>
      </c>
      <c r="L4537" s="61" t="e">
        <f>VLOOKUP(K4537,[1]Mapping!$J$3:$Q$351,8,FALSE)</f>
        <v>#N/A</v>
      </c>
      <c r="M4537" t="s">
        <v>83</v>
      </c>
    </row>
    <row r="4538" spans="5:13" hidden="1" x14ac:dyDescent="0.35">
      <c r="E4538" s="81"/>
      <c r="I4538" s="83" t="e">
        <f>VLOOKUP(E4538,[1]Mapping!$A$3:$B$14,2,FALSE)</f>
        <v>#N/A</v>
      </c>
      <c r="J4538" s="84">
        <f t="shared" si="144"/>
        <v>0</v>
      </c>
      <c r="K4538" s="84">
        <f t="shared" si="145"/>
        <v>0</v>
      </c>
      <c r="L4538" s="61" t="e">
        <f>VLOOKUP(K4538,[1]Mapping!$J$3:$Q$351,8,FALSE)</f>
        <v>#N/A</v>
      </c>
      <c r="M4538" t="s">
        <v>83</v>
      </c>
    </row>
    <row r="4539" spans="5:13" hidden="1" x14ac:dyDescent="0.35">
      <c r="E4539" s="81"/>
      <c r="I4539" s="83" t="e">
        <f>VLOOKUP(E4539,[1]Mapping!$A$3:$B$14,2,FALSE)</f>
        <v>#N/A</v>
      </c>
      <c r="J4539" s="84">
        <f t="shared" si="144"/>
        <v>0</v>
      </c>
      <c r="K4539" s="84">
        <f t="shared" si="145"/>
        <v>0</v>
      </c>
      <c r="L4539" s="61" t="e">
        <f>VLOOKUP(K4539,[1]Mapping!$J$3:$Q$351,8,FALSE)</f>
        <v>#N/A</v>
      </c>
      <c r="M4539" t="s">
        <v>83</v>
      </c>
    </row>
    <row r="4540" spans="5:13" hidden="1" x14ac:dyDescent="0.35">
      <c r="E4540" s="81"/>
      <c r="I4540" s="83" t="e">
        <f>VLOOKUP(E4540,[1]Mapping!$A$3:$B$14,2,FALSE)</f>
        <v>#N/A</v>
      </c>
      <c r="J4540" s="84">
        <f t="shared" si="144"/>
        <v>0</v>
      </c>
      <c r="K4540" s="84">
        <f t="shared" si="145"/>
        <v>0</v>
      </c>
      <c r="L4540" s="61" t="e">
        <f>VLOOKUP(K4540,[1]Mapping!$J$3:$Q$351,8,FALSE)</f>
        <v>#N/A</v>
      </c>
      <c r="M4540" t="s">
        <v>83</v>
      </c>
    </row>
    <row r="4541" spans="5:13" hidden="1" x14ac:dyDescent="0.35">
      <c r="E4541" s="81"/>
      <c r="I4541" s="83" t="e">
        <f>VLOOKUP(E4541,[1]Mapping!$A$3:$B$14,2,FALSE)</f>
        <v>#N/A</v>
      </c>
      <c r="J4541" s="84">
        <f t="shared" si="144"/>
        <v>0</v>
      </c>
      <c r="K4541" s="84">
        <f t="shared" si="145"/>
        <v>0</v>
      </c>
      <c r="L4541" s="61" t="e">
        <f>VLOOKUP(K4541,[1]Mapping!$J$3:$Q$351,8,FALSE)</f>
        <v>#N/A</v>
      </c>
      <c r="M4541" t="s">
        <v>83</v>
      </c>
    </row>
    <row r="4542" spans="5:13" hidden="1" x14ac:dyDescent="0.35">
      <c r="E4542" s="81"/>
      <c r="I4542" s="83" t="e">
        <f>VLOOKUP(E4542,[1]Mapping!$A$3:$B$14,2,FALSE)</f>
        <v>#N/A</v>
      </c>
      <c r="J4542" s="84">
        <f t="shared" si="144"/>
        <v>0</v>
      </c>
      <c r="K4542" s="84">
        <f t="shared" si="145"/>
        <v>0</v>
      </c>
      <c r="L4542" s="61" t="e">
        <f>VLOOKUP(K4542,[1]Mapping!$J$3:$Q$351,8,FALSE)</f>
        <v>#N/A</v>
      </c>
      <c r="M4542" t="s">
        <v>83</v>
      </c>
    </row>
    <row r="4543" spans="5:13" hidden="1" x14ac:dyDescent="0.35">
      <c r="E4543" s="81"/>
      <c r="I4543" s="83" t="e">
        <f>VLOOKUP(E4543,[1]Mapping!$A$3:$B$14,2,FALSE)</f>
        <v>#N/A</v>
      </c>
      <c r="J4543" s="84">
        <f t="shared" si="144"/>
        <v>0</v>
      </c>
      <c r="K4543" s="84">
        <f t="shared" si="145"/>
        <v>0</v>
      </c>
      <c r="L4543" s="61" t="e">
        <f>VLOOKUP(K4543,[1]Mapping!$J$3:$Q$351,8,FALSE)</f>
        <v>#N/A</v>
      </c>
      <c r="M4543" t="s">
        <v>83</v>
      </c>
    </row>
    <row r="4544" spans="5:13" hidden="1" x14ac:dyDescent="0.35">
      <c r="E4544" s="81"/>
      <c r="I4544" s="83" t="e">
        <f>VLOOKUP(E4544,[1]Mapping!$A$3:$B$14,2,FALSE)</f>
        <v>#N/A</v>
      </c>
      <c r="J4544" s="84">
        <f t="shared" si="144"/>
        <v>0</v>
      </c>
      <c r="K4544" s="84">
        <f t="shared" si="145"/>
        <v>0</v>
      </c>
      <c r="L4544" s="61" t="e">
        <f>VLOOKUP(K4544,[1]Mapping!$J$3:$Q$351,8,FALSE)</f>
        <v>#N/A</v>
      </c>
      <c r="M4544" t="s">
        <v>83</v>
      </c>
    </row>
    <row r="4545" spans="5:13" hidden="1" x14ac:dyDescent="0.35">
      <c r="E4545" s="81"/>
      <c r="I4545" s="83" t="e">
        <f>VLOOKUP(E4545,[1]Mapping!$A$3:$B$14,2,FALSE)</f>
        <v>#N/A</v>
      </c>
      <c r="J4545" s="84">
        <f t="shared" si="144"/>
        <v>0</v>
      </c>
      <c r="K4545" s="84">
        <f t="shared" si="145"/>
        <v>0</v>
      </c>
      <c r="L4545" s="61" t="e">
        <f>VLOOKUP(K4545,[1]Mapping!$J$3:$Q$351,8,FALSE)</f>
        <v>#N/A</v>
      </c>
      <c r="M4545" t="s">
        <v>83</v>
      </c>
    </row>
    <row r="4546" spans="5:13" hidden="1" x14ac:dyDescent="0.35">
      <c r="E4546" s="81"/>
      <c r="I4546" s="83" t="e">
        <f>VLOOKUP(E4546,[1]Mapping!$A$3:$B$14,2,FALSE)</f>
        <v>#N/A</v>
      </c>
      <c r="J4546" s="84">
        <f t="shared" si="144"/>
        <v>0</v>
      </c>
      <c r="K4546" s="84">
        <f t="shared" si="145"/>
        <v>0</v>
      </c>
      <c r="L4546" s="61" t="e">
        <f>VLOOKUP(K4546,[1]Mapping!$J$3:$Q$351,8,FALSE)</f>
        <v>#N/A</v>
      </c>
      <c r="M4546" t="s">
        <v>83</v>
      </c>
    </row>
    <row r="4547" spans="5:13" hidden="1" x14ac:dyDescent="0.35">
      <c r="E4547" s="81"/>
      <c r="I4547" s="83" t="e">
        <f>VLOOKUP(E4547,[1]Mapping!$A$3:$B$14,2,FALSE)</f>
        <v>#N/A</v>
      </c>
      <c r="J4547" s="84">
        <f t="shared" si="144"/>
        <v>0</v>
      </c>
      <c r="K4547" s="84">
        <f t="shared" si="145"/>
        <v>0</v>
      </c>
      <c r="L4547" s="61" t="e">
        <f>VLOOKUP(K4547,[1]Mapping!$J$3:$Q$351,8,FALSE)</f>
        <v>#N/A</v>
      </c>
      <c r="M4547" t="s">
        <v>83</v>
      </c>
    </row>
    <row r="4548" spans="5:13" hidden="1" x14ac:dyDescent="0.35">
      <c r="E4548" s="81"/>
      <c r="I4548" s="83" t="e">
        <f>VLOOKUP(E4548,[1]Mapping!$A$3:$B$14,2,FALSE)</f>
        <v>#N/A</v>
      </c>
      <c r="J4548" s="84">
        <f t="shared" si="144"/>
        <v>0</v>
      </c>
      <c r="K4548" s="84">
        <f t="shared" si="145"/>
        <v>0</v>
      </c>
      <c r="L4548" s="61" t="e">
        <f>VLOOKUP(K4548,[1]Mapping!$J$3:$Q$351,8,FALSE)</f>
        <v>#N/A</v>
      </c>
      <c r="M4548" t="s">
        <v>83</v>
      </c>
    </row>
    <row r="4549" spans="5:13" hidden="1" x14ac:dyDescent="0.35">
      <c r="E4549" s="81"/>
      <c r="I4549" s="83" t="e">
        <f>VLOOKUP(E4549,[1]Mapping!$A$3:$B$14,2,FALSE)</f>
        <v>#N/A</v>
      </c>
      <c r="J4549" s="84">
        <f t="shared" si="144"/>
        <v>0</v>
      </c>
      <c r="K4549" s="84">
        <f t="shared" si="145"/>
        <v>0</v>
      </c>
      <c r="L4549" s="61" t="e">
        <f>VLOOKUP(K4549,[1]Mapping!$J$3:$Q$351,8,FALSE)</f>
        <v>#N/A</v>
      </c>
      <c r="M4549" t="s">
        <v>83</v>
      </c>
    </row>
    <row r="4550" spans="5:13" hidden="1" x14ac:dyDescent="0.35">
      <c r="E4550" s="81"/>
      <c r="I4550" s="83" t="e">
        <f>VLOOKUP(E4550,[1]Mapping!$A$3:$B$14,2,FALSE)</f>
        <v>#N/A</v>
      </c>
      <c r="J4550" s="84">
        <f t="shared" si="144"/>
        <v>0</v>
      </c>
      <c r="K4550" s="84">
        <f t="shared" si="145"/>
        <v>0</v>
      </c>
      <c r="L4550" s="61" t="e">
        <f>VLOOKUP(K4550,[1]Mapping!$J$3:$Q$351,8,FALSE)</f>
        <v>#N/A</v>
      </c>
      <c r="M4550" t="s">
        <v>83</v>
      </c>
    </row>
    <row r="4551" spans="5:13" hidden="1" x14ac:dyDescent="0.35">
      <c r="E4551" s="81"/>
      <c r="I4551" s="83" t="e">
        <f>VLOOKUP(E4551,[1]Mapping!$A$3:$B$14,2,FALSE)</f>
        <v>#N/A</v>
      </c>
      <c r="J4551" s="84">
        <f t="shared" si="144"/>
        <v>0</v>
      </c>
      <c r="K4551" s="84">
        <f t="shared" si="145"/>
        <v>0</v>
      </c>
      <c r="L4551" s="61" t="e">
        <f>VLOOKUP(K4551,[1]Mapping!$J$3:$Q$351,8,FALSE)</f>
        <v>#N/A</v>
      </c>
      <c r="M4551" t="s">
        <v>83</v>
      </c>
    </row>
    <row r="4552" spans="5:13" hidden="1" x14ac:dyDescent="0.35">
      <c r="E4552" s="81"/>
      <c r="I4552" s="83" t="e">
        <f>VLOOKUP(E4552,[1]Mapping!$A$3:$B$14,2,FALSE)</f>
        <v>#N/A</v>
      </c>
      <c r="J4552" s="84">
        <f t="shared" si="144"/>
        <v>0</v>
      </c>
      <c r="K4552" s="84">
        <f t="shared" si="145"/>
        <v>0</v>
      </c>
      <c r="L4552" s="61" t="e">
        <f>VLOOKUP(K4552,[1]Mapping!$J$3:$Q$351,8,FALSE)</f>
        <v>#N/A</v>
      </c>
      <c r="M4552" t="s">
        <v>83</v>
      </c>
    </row>
    <row r="4553" spans="5:13" hidden="1" x14ac:dyDescent="0.35">
      <c r="E4553" s="81"/>
      <c r="I4553" s="83" t="e">
        <f>VLOOKUP(E4553,[1]Mapping!$A$3:$B$14,2,FALSE)</f>
        <v>#N/A</v>
      </c>
      <c r="J4553" s="84">
        <f t="shared" si="144"/>
        <v>0</v>
      </c>
      <c r="K4553" s="84">
        <f t="shared" si="145"/>
        <v>0</v>
      </c>
      <c r="L4553" s="61" t="e">
        <f>VLOOKUP(K4553,[1]Mapping!$J$3:$Q$351,8,FALSE)</f>
        <v>#N/A</v>
      </c>
      <c r="M4553" t="s">
        <v>83</v>
      </c>
    </row>
    <row r="4554" spans="5:13" hidden="1" x14ac:dyDescent="0.35">
      <c r="E4554" s="81"/>
      <c r="I4554" s="83" t="e">
        <f>VLOOKUP(E4554,[1]Mapping!$A$3:$B$14,2,FALSE)</f>
        <v>#N/A</v>
      </c>
      <c r="J4554" s="84">
        <f t="shared" si="144"/>
        <v>0</v>
      </c>
      <c r="K4554" s="84">
        <f t="shared" si="145"/>
        <v>0</v>
      </c>
      <c r="L4554" s="61" t="e">
        <f>VLOOKUP(K4554,[1]Mapping!$J$3:$Q$351,8,FALSE)</f>
        <v>#N/A</v>
      </c>
      <c r="M4554" t="s">
        <v>83</v>
      </c>
    </row>
    <row r="4555" spans="5:13" hidden="1" x14ac:dyDescent="0.35">
      <c r="E4555" s="81"/>
      <c r="I4555" s="83" t="e">
        <f>VLOOKUP(E4555,[1]Mapping!$A$3:$B$14,2,FALSE)</f>
        <v>#N/A</v>
      </c>
      <c r="J4555" s="84">
        <f t="shared" si="144"/>
        <v>0</v>
      </c>
      <c r="K4555" s="84">
        <f t="shared" si="145"/>
        <v>0</v>
      </c>
      <c r="L4555" s="61" t="e">
        <f>VLOOKUP(K4555,[1]Mapping!$J$3:$Q$351,8,FALSE)</f>
        <v>#N/A</v>
      </c>
      <c r="M4555" t="s">
        <v>83</v>
      </c>
    </row>
    <row r="4556" spans="5:13" hidden="1" x14ac:dyDescent="0.35">
      <c r="E4556" s="81"/>
      <c r="I4556" s="83" t="e">
        <f>VLOOKUP(E4556,[1]Mapping!$A$3:$B$14,2,FALSE)</f>
        <v>#N/A</v>
      </c>
      <c r="J4556" s="84">
        <f t="shared" si="144"/>
        <v>0</v>
      </c>
      <c r="K4556" s="84">
        <f t="shared" si="145"/>
        <v>0</v>
      </c>
      <c r="L4556" s="61" t="e">
        <f>VLOOKUP(K4556,[1]Mapping!$J$3:$Q$351,8,FALSE)</f>
        <v>#N/A</v>
      </c>
      <c r="M4556" t="s">
        <v>83</v>
      </c>
    </row>
    <row r="4557" spans="5:13" hidden="1" x14ac:dyDescent="0.35">
      <c r="E4557" s="81"/>
      <c r="I4557" s="83" t="e">
        <f>VLOOKUP(E4557,[1]Mapping!$A$3:$B$14,2,FALSE)</f>
        <v>#N/A</v>
      </c>
      <c r="J4557" s="84">
        <f t="shared" si="144"/>
        <v>0</v>
      </c>
      <c r="K4557" s="84">
        <f t="shared" si="145"/>
        <v>0</v>
      </c>
      <c r="L4557" s="61" t="e">
        <f>VLOOKUP(K4557,[1]Mapping!$J$3:$Q$351,8,FALSE)</f>
        <v>#N/A</v>
      </c>
      <c r="M4557" t="s">
        <v>83</v>
      </c>
    </row>
    <row r="4558" spans="5:13" hidden="1" x14ac:dyDescent="0.35">
      <c r="E4558" s="81"/>
      <c r="I4558" s="83" t="e">
        <f>VLOOKUP(E4558,[1]Mapping!$A$3:$B$14,2,FALSE)</f>
        <v>#N/A</v>
      </c>
      <c r="J4558" s="84">
        <f t="shared" si="144"/>
        <v>0</v>
      </c>
      <c r="K4558" s="84">
        <f t="shared" si="145"/>
        <v>0</v>
      </c>
      <c r="L4558" s="61" t="e">
        <f>VLOOKUP(K4558,[1]Mapping!$J$3:$Q$351,8,FALSE)</f>
        <v>#N/A</v>
      </c>
      <c r="M4558" t="s">
        <v>83</v>
      </c>
    </row>
    <row r="4559" spans="5:13" hidden="1" x14ac:dyDescent="0.35">
      <c r="E4559" s="81"/>
      <c r="I4559" s="83" t="e">
        <f>VLOOKUP(E4559,[1]Mapping!$A$3:$B$14,2,FALSE)</f>
        <v>#N/A</v>
      </c>
      <c r="J4559" s="84">
        <f t="shared" si="144"/>
        <v>0</v>
      </c>
      <c r="K4559" s="84">
        <f t="shared" si="145"/>
        <v>0</v>
      </c>
      <c r="L4559" s="61" t="e">
        <f>VLOOKUP(K4559,[1]Mapping!$J$3:$Q$351,8,FALSE)</f>
        <v>#N/A</v>
      </c>
      <c r="M4559" t="s">
        <v>83</v>
      </c>
    </row>
    <row r="4560" spans="5:13" hidden="1" x14ac:dyDescent="0.35">
      <c r="E4560" s="81"/>
      <c r="I4560" s="83" t="e">
        <f>VLOOKUP(E4560,[1]Mapping!$A$3:$B$14,2,FALSE)</f>
        <v>#N/A</v>
      </c>
      <c r="J4560" s="84">
        <f t="shared" ref="J4560:J4623" si="146">VALUE(A4560)</f>
        <v>0</v>
      </c>
      <c r="K4560" s="84">
        <f t="shared" ref="K4560:K4623" si="147">VALUE(C4560)</f>
        <v>0</v>
      </c>
      <c r="L4560" s="61" t="e">
        <f>VLOOKUP(K4560,[1]Mapping!$J$3:$Q$351,8,FALSE)</f>
        <v>#N/A</v>
      </c>
      <c r="M4560" t="s">
        <v>83</v>
      </c>
    </row>
    <row r="4561" spans="5:13" hidden="1" x14ac:dyDescent="0.35">
      <c r="E4561" s="81"/>
      <c r="I4561" s="83" t="e">
        <f>VLOOKUP(E4561,[1]Mapping!$A$3:$B$14,2,FALSE)</f>
        <v>#N/A</v>
      </c>
      <c r="J4561" s="84">
        <f t="shared" si="146"/>
        <v>0</v>
      </c>
      <c r="K4561" s="84">
        <f t="shared" si="147"/>
        <v>0</v>
      </c>
      <c r="L4561" s="61" t="e">
        <f>VLOOKUP(K4561,[1]Mapping!$J$3:$Q$351,8,FALSE)</f>
        <v>#N/A</v>
      </c>
      <c r="M4561" t="s">
        <v>83</v>
      </c>
    </row>
    <row r="4562" spans="5:13" hidden="1" x14ac:dyDescent="0.35">
      <c r="E4562" s="81"/>
      <c r="I4562" s="83" t="e">
        <f>VLOOKUP(E4562,[1]Mapping!$A$3:$B$14,2,FALSE)</f>
        <v>#N/A</v>
      </c>
      <c r="J4562" s="84">
        <f t="shared" si="146"/>
        <v>0</v>
      </c>
      <c r="K4562" s="84">
        <f t="shared" si="147"/>
        <v>0</v>
      </c>
      <c r="L4562" s="61" t="e">
        <f>VLOOKUP(K4562,[1]Mapping!$J$3:$Q$351,8,FALSE)</f>
        <v>#N/A</v>
      </c>
      <c r="M4562" t="s">
        <v>83</v>
      </c>
    </row>
    <row r="4563" spans="5:13" hidden="1" x14ac:dyDescent="0.35">
      <c r="E4563" s="81"/>
      <c r="I4563" s="83" t="e">
        <f>VLOOKUP(E4563,[1]Mapping!$A$3:$B$14,2,FALSE)</f>
        <v>#N/A</v>
      </c>
      <c r="J4563" s="84">
        <f t="shared" si="146"/>
        <v>0</v>
      </c>
      <c r="K4563" s="84">
        <f t="shared" si="147"/>
        <v>0</v>
      </c>
      <c r="L4563" s="61" t="e">
        <f>VLOOKUP(K4563,[1]Mapping!$J$3:$Q$351,8,FALSE)</f>
        <v>#N/A</v>
      </c>
      <c r="M4563" t="s">
        <v>83</v>
      </c>
    </row>
    <row r="4564" spans="5:13" hidden="1" x14ac:dyDescent="0.35">
      <c r="E4564" s="81"/>
      <c r="I4564" s="83" t="e">
        <f>VLOOKUP(E4564,[1]Mapping!$A$3:$B$14,2,FALSE)</f>
        <v>#N/A</v>
      </c>
      <c r="J4564" s="84">
        <f t="shared" si="146"/>
        <v>0</v>
      </c>
      <c r="K4564" s="84">
        <f t="shared" si="147"/>
        <v>0</v>
      </c>
      <c r="L4564" s="61" t="e">
        <f>VLOOKUP(K4564,[1]Mapping!$J$3:$Q$351,8,FALSE)</f>
        <v>#N/A</v>
      </c>
      <c r="M4564" t="s">
        <v>83</v>
      </c>
    </row>
    <row r="4565" spans="5:13" hidden="1" x14ac:dyDescent="0.35">
      <c r="E4565" s="81"/>
      <c r="I4565" s="83" t="e">
        <f>VLOOKUP(E4565,[1]Mapping!$A$3:$B$14,2,FALSE)</f>
        <v>#N/A</v>
      </c>
      <c r="J4565" s="84">
        <f t="shared" si="146"/>
        <v>0</v>
      </c>
      <c r="K4565" s="84">
        <f t="shared" si="147"/>
        <v>0</v>
      </c>
      <c r="L4565" s="61" t="e">
        <f>VLOOKUP(K4565,[1]Mapping!$J$3:$Q$351,8,FALSE)</f>
        <v>#N/A</v>
      </c>
      <c r="M4565" t="s">
        <v>83</v>
      </c>
    </row>
    <row r="4566" spans="5:13" hidden="1" x14ac:dyDescent="0.35">
      <c r="E4566" s="81"/>
      <c r="I4566" s="83" t="e">
        <f>VLOOKUP(E4566,[1]Mapping!$A$3:$B$14,2,FALSE)</f>
        <v>#N/A</v>
      </c>
      <c r="J4566" s="84">
        <f t="shared" si="146"/>
        <v>0</v>
      </c>
      <c r="K4566" s="84">
        <f t="shared" si="147"/>
        <v>0</v>
      </c>
      <c r="L4566" s="61" t="e">
        <f>VLOOKUP(K4566,[1]Mapping!$J$3:$Q$351,8,FALSE)</f>
        <v>#N/A</v>
      </c>
      <c r="M4566" t="s">
        <v>83</v>
      </c>
    </row>
    <row r="4567" spans="5:13" hidden="1" x14ac:dyDescent="0.35">
      <c r="E4567" s="81"/>
      <c r="I4567" s="83" t="e">
        <f>VLOOKUP(E4567,[1]Mapping!$A$3:$B$14,2,FALSE)</f>
        <v>#N/A</v>
      </c>
      <c r="J4567" s="84">
        <f t="shared" si="146"/>
        <v>0</v>
      </c>
      <c r="K4567" s="84">
        <f t="shared" si="147"/>
        <v>0</v>
      </c>
      <c r="L4567" s="61" t="e">
        <f>VLOOKUP(K4567,[1]Mapping!$J$3:$Q$351,8,FALSE)</f>
        <v>#N/A</v>
      </c>
      <c r="M4567" t="s">
        <v>83</v>
      </c>
    </row>
    <row r="4568" spans="5:13" hidden="1" x14ac:dyDescent="0.35">
      <c r="E4568" s="81"/>
      <c r="I4568" s="83" t="e">
        <f>VLOOKUP(E4568,[1]Mapping!$A$3:$B$14,2,FALSE)</f>
        <v>#N/A</v>
      </c>
      <c r="J4568" s="84">
        <f t="shared" si="146"/>
        <v>0</v>
      </c>
      <c r="K4568" s="84">
        <f t="shared" si="147"/>
        <v>0</v>
      </c>
      <c r="L4568" s="61" t="e">
        <f>VLOOKUP(K4568,[1]Mapping!$J$3:$Q$351,8,FALSE)</f>
        <v>#N/A</v>
      </c>
      <c r="M4568" t="s">
        <v>83</v>
      </c>
    </row>
    <row r="4569" spans="5:13" hidden="1" x14ac:dyDescent="0.35">
      <c r="E4569" s="81"/>
      <c r="I4569" s="83" t="e">
        <f>VLOOKUP(E4569,[1]Mapping!$A$3:$B$14,2,FALSE)</f>
        <v>#N/A</v>
      </c>
      <c r="J4569" s="84">
        <f t="shared" si="146"/>
        <v>0</v>
      </c>
      <c r="K4569" s="84">
        <f t="shared" si="147"/>
        <v>0</v>
      </c>
      <c r="L4569" s="61" t="e">
        <f>VLOOKUP(K4569,[1]Mapping!$J$3:$Q$351,8,FALSE)</f>
        <v>#N/A</v>
      </c>
      <c r="M4569" t="s">
        <v>83</v>
      </c>
    </row>
    <row r="4570" spans="5:13" hidden="1" x14ac:dyDescent="0.35">
      <c r="E4570" s="81"/>
      <c r="I4570" s="83" t="e">
        <f>VLOOKUP(E4570,[1]Mapping!$A$3:$B$14,2,FALSE)</f>
        <v>#N/A</v>
      </c>
      <c r="J4570" s="84">
        <f t="shared" si="146"/>
        <v>0</v>
      </c>
      <c r="K4570" s="84">
        <f t="shared" si="147"/>
        <v>0</v>
      </c>
      <c r="L4570" s="61" t="e">
        <f>VLOOKUP(K4570,[1]Mapping!$J$3:$Q$351,8,FALSE)</f>
        <v>#N/A</v>
      </c>
      <c r="M4570" t="s">
        <v>83</v>
      </c>
    </row>
    <row r="4571" spans="5:13" hidden="1" x14ac:dyDescent="0.35">
      <c r="E4571" s="81"/>
      <c r="I4571" s="83" t="e">
        <f>VLOOKUP(E4571,[1]Mapping!$A$3:$B$14,2,FALSE)</f>
        <v>#N/A</v>
      </c>
      <c r="J4571" s="84">
        <f t="shared" si="146"/>
        <v>0</v>
      </c>
      <c r="K4571" s="84">
        <f t="shared" si="147"/>
        <v>0</v>
      </c>
      <c r="L4571" s="61" t="e">
        <f>VLOOKUP(K4571,[1]Mapping!$J$3:$Q$351,8,FALSE)</f>
        <v>#N/A</v>
      </c>
      <c r="M4571" t="s">
        <v>83</v>
      </c>
    </row>
    <row r="4572" spans="5:13" hidden="1" x14ac:dyDescent="0.35">
      <c r="E4572" s="81"/>
      <c r="I4572" s="83" t="e">
        <f>VLOOKUP(E4572,[1]Mapping!$A$3:$B$14,2,FALSE)</f>
        <v>#N/A</v>
      </c>
      <c r="J4572" s="84">
        <f t="shared" si="146"/>
        <v>0</v>
      </c>
      <c r="K4572" s="84">
        <f t="shared" si="147"/>
        <v>0</v>
      </c>
      <c r="L4572" s="61" t="e">
        <f>VLOOKUP(K4572,[1]Mapping!$J$3:$Q$351,8,FALSE)</f>
        <v>#N/A</v>
      </c>
      <c r="M4572" t="s">
        <v>83</v>
      </c>
    </row>
    <row r="4573" spans="5:13" hidden="1" x14ac:dyDescent="0.35">
      <c r="E4573" s="81"/>
      <c r="I4573" s="83" t="e">
        <f>VLOOKUP(E4573,[1]Mapping!$A$3:$B$14,2,FALSE)</f>
        <v>#N/A</v>
      </c>
      <c r="J4573" s="84">
        <f t="shared" si="146"/>
        <v>0</v>
      </c>
      <c r="K4573" s="84">
        <f t="shared" si="147"/>
        <v>0</v>
      </c>
      <c r="L4573" s="61" t="e">
        <f>VLOOKUP(K4573,[1]Mapping!$J$3:$Q$351,8,FALSE)</f>
        <v>#N/A</v>
      </c>
      <c r="M4573" t="s">
        <v>83</v>
      </c>
    </row>
    <row r="4574" spans="5:13" hidden="1" x14ac:dyDescent="0.35">
      <c r="E4574" s="81"/>
      <c r="I4574" s="83" t="e">
        <f>VLOOKUP(E4574,[1]Mapping!$A$3:$B$14,2,FALSE)</f>
        <v>#N/A</v>
      </c>
      <c r="J4574" s="84">
        <f t="shared" si="146"/>
        <v>0</v>
      </c>
      <c r="K4574" s="84">
        <f t="shared" si="147"/>
        <v>0</v>
      </c>
      <c r="L4574" s="61" t="e">
        <f>VLOOKUP(K4574,[1]Mapping!$J$3:$Q$351,8,FALSE)</f>
        <v>#N/A</v>
      </c>
      <c r="M4574" t="s">
        <v>83</v>
      </c>
    </row>
    <row r="4575" spans="5:13" hidden="1" x14ac:dyDescent="0.35">
      <c r="E4575" s="81"/>
      <c r="I4575" s="83" t="e">
        <f>VLOOKUP(E4575,[1]Mapping!$A$3:$B$14,2,FALSE)</f>
        <v>#N/A</v>
      </c>
      <c r="J4575" s="84">
        <f t="shared" si="146"/>
        <v>0</v>
      </c>
      <c r="K4575" s="84">
        <f t="shared" si="147"/>
        <v>0</v>
      </c>
      <c r="L4575" s="61" t="e">
        <f>VLOOKUP(K4575,[1]Mapping!$J$3:$Q$351,8,FALSE)</f>
        <v>#N/A</v>
      </c>
      <c r="M4575" t="s">
        <v>83</v>
      </c>
    </row>
    <row r="4576" spans="5:13" hidden="1" x14ac:dyDescent="0.35">
      <c r="E4576" s="81"/>
      <c r="I4576" s="83" t="e">
        <f>VLOOKUP(E4576,[1]Mapping!$A$3:$B$14,2,FALSE)</f>
        <v>#N/A</v>
      </c>
      <c r="J4576" s="84">
        <f t="shared" si="146"/>
        <v>0</v>
      </c>
      <c r="K4576" s="84">
        <f t="shared" si="147"/>
        <v>0</v>
      </c>
      <c r="L4576" s="61" t="e">
        <f>VLOOKUP(K4576,[1]Mapping!$J$3:$Q$351,8,FALSE)</f>
        <v>#N/A</v>
      </c>
      <c r="M4576" t="s">
        <v>83</v>
      </c>
    </row>
    <row r="4577" spans="5:13" hidden="1" x14ac:dyDescent="0.35">
      <c r="E4577" s="81"/>
      <c r="I4577" s="83" t="e">
        <f>VLOOKUP(E4577,[1]Mapping!$A$3:$B$14,2,FALSE)</f>
        <v>#N/A</v>
      </c>
      <c r="J4577" s="84">
        <f t="shared" si="146"/>
        <v>0</v>
      </c>
      <c r="K4577" s="84">
        <f t="shared" si="147"/>
        <v>0</v>
      </c>
      <c r="L4577" s="61" t="e">
        <f>VLOOKUP(K4577,[1]Mapping!$J$3:$Q$351,8,FALSE)</f>
        <v>#N/A</v>
      </c>
      <c r="M4577" t="s">
        <v>83</v>
      </c>
    </row>
    <row r="4578" spans="5:13" hidden="1" x14ac:dyDescent="0.35">
      <c r="E4578" s="81"/>
      <c r="I4578" s="83" t="e">
        <f>VLOOKUP(E4578,[1]Mapping!$A$3:$B$14,2,FALSE)</f>
        <v>#N/A</v>
      </c>
      <c r="J4578" s="84">
        <f t="shared" si="146"/>
        <v>0</v>
      </c>
      <c r="K4578" s="84">
        <f t="shared" si="147"/>
        <v>0</v>
      </c>
      <c r="L4578" s="61" t="e">
        <f>VLOOKUP(K4578,[1]Mapping!$J$3:$Q$351,8,FALSE)</f>
        <v>#N/A</v>
      </c>
      <c r="M4578" t="s">
        <v>83</v>
      </c>
    </row>
    <row r="4579" spans="5:13" hidden="1" x14ac:dyDescent="0.35">
      <c r="E4579" s="81"/>
      <c r="I4579" s="83" t="e">
        <f>VLOOKUP(E4579,[1]Mapping!$A$3:$B$14,2,FALSE)</f>
        <v>#N/A</v>
      </c>
      <c r="J4579" s="84">
        <f t="shared" si="146"/>
        <v>0</v>
      </c>
      <c r="K4579" s="84">
        <f t="shared" si="147"/>
        <v>0</v>
      </c>
      <c r="L4579" s="61" t="e">
        <f>VLOOKUP(K4579,[1]Mapping!$J$3:$Q$351,8,FALSE)</f>
        <v>#N/A</v>
      </c>
      <c r="M4579" t="s">
        <v>83</v>
      </c>
    </row>
    <row r="4580" spans="5:13" hidden="1" x14ac:dyDescent="0.35">
      <c r="E4580" s="81"/>
      <c r="I4580" s="83" t="e">
        <f>VLOOKUP(E4580,[1]Mapping!$A$3:$B$14,2,FALSE)</f>
        <v>#N/A</v>
      </c>
      <c r="J4580" s="84">
        <f t="shared" si="146"/>
        <v>0</v>
      </c>
      <c r="K4580" s="84">
        <f t="shared" si="147"/>
        <v>0</v>
      </c>
      <c r="L4580" s="61" t="e">
        <f>VLOOKUP(K4580,[1]Mapping!$J$3:$Q$351,8,FALSE)</f>
        <v>#N/A</v>
      </c>
      <c r="M4580" t="s">
        <v>83</v>
      </c>
    </row>
    <row r="4581" spans="5:13" hidden="1" x14ac:dyDescent="0.35">
      <c r="E4581" s="81"/>
      <c r="I4581" s="83" t="e">
        <f>VLOOKUP(E4581,[1]Mapping!$A$3:$B$14,2,FALSE)</f>
        <v>#N/A</v>
      </c>
      <c r="J4581" s="84">
        <f t="shared" si="146"/>
        <v>0</v>
      </c>
      <c r="K4581" s="84">
        <f t="shared" si="147"/>
        <v>0</v>
      </c>
      <c r="L4581" s="61" t="e">
        <f>VLOOKUP(K4581,[1]Mapping!$J$3:$Q$351,8,FALSE)</f>
        <v>#N/A</v>
      </c>
      <c r="M4581" t="s">
        <v>83</v>
      </c>
    </row>
    <row r="4582" spans="5:13" hidden="1" x14ac:dyDescent="0.35">
      <c r="E4582" s="81"/>
      <c r="I4582" s="83" t="e">
        <f>VLOOKUP(E4582,[1]Mapping!$A$3:$B$14,2,FALSE)</f>
        <v>#N/A</v>
      </c>
      <c r="J4582" s="84">
        <f t="shared" si="146"/>
        <v>0</v>
      </c>
      <c r="K4582" s="84">
        <f t="shared" si="147"/>
        <v>0</v>
      </c>
      <c r="L4582" s="61" t="e">
        <f>VLOOKUP(K4582,[1]Mapping!$J$3:$Q$351,8,FALSE)</f>
        <v>#N/A</v>
      </c>
      <c r="M4582" t="s">
        <v>83</v>
      </c>
    </row>
    <row r="4583" spans="5:13" hidden="1" x14ac:dyDescent="0.35">
      <c r="E4583" s="81"/>
      <c r="I4583" s="83" t="e">
        <f>VLOOKUP(E4583,[1]Mapping!$A$3:$B$14,2,FALSE)</f>
        <v>#N/A</v>
      </c>
      <c r="J4583" s="84">
        <f t="shared" si="146"/>
        <v>0</v>
      </c>
      <c r="K4583" s="84">
        <f t="shared" si="147"/>
        <v>0</v>
      </c>
      <c r="L4583" s="61" t="e">
        <f>VLOOKUP(K4583,[1]Mapping!$J$3:$Q$351,8,FALSE)</f>
        <v>#N/A</v>
      </c>
      <c r="M4583" t="s">
        <v>83</v>
      </c>
    </row>
    <row r="4584" spans="5:13" hidden="1" x14ac:dyDescent="0.35">
      <c r="E4584" s="81"/>
      <c r="I4584" s="83" t="e">
        <f>VLOOKUP(E4584,[1]Mapping!$A$3:$B$14,2,FALSE)</f>
        <v>#N/A</v>
      </c>
      <c r="J4584" s="84">
        <f t="shared" si="146"/>
        <v>0</v>
      </c>
      <c r="K4584" s="84">
        <f t="shared" si="147"/>
        <v>0</v>
      </c>
      <c r="L4584" s="61" t="e">
        <f>VLOOKUP(K4584,[1]Mapping!$J$3:$Q$351,8,FALSE)</f>
        <v>#N/A</v>
      </c>
      <c r="M4584" t="s">
        <v>83</v>
      </c>
    </row>
    <row r="4585" spans="5:13" hidden="1" x14ac:dyDescent="0.35">
      <c r="E4585" s="81"/>
      <c r="I4585" s="83" t="e">
        <f>VLOOKUP(E4585,[1]Mapping!$A$3:$B$14,2,FALSE)</f>
        <v>#N/A</v>
      </c>
      <c r="J4585" s="84">
        <f t="shared" si="146"/>
        <v>0</v>
      </c>
      <c r="K4585" s="84">
        <f t="shared" si="147"/>
        <v>0</v>
      </c>
      <c r="L4585" s="61" t="e">
        <f>VLOOKUP(K4585,[1]Mapping!$J$3:$Q$351,8,FALSE)</f>
        <v>#N/A</v>
      </c>
      <c r="M4585" t="s">
        <v>83</v>
      </c>
    </row>
    <row r="4586" spans="5:13" hidden="1" x14ac:dyDescent="0.35">
      <c r="E4586" s="81"/>
      <c r="I4586" s="83" t="e">
        <f>VLOOKUP(E4586,[1]Mapping!$A$3:$B$14,2,FALSE)</f>
        <v>#N/A</v>
      </c>
      <c r="J4586" s="84">
        <f t="shared" si="146"/>
        <v>0</v>
      </c>
      <c r="K4586" s="84">
        <f t="shared" si="147"/>
        <v>0</v>
      </c>
      <c r="L4586" s="61" t="e">
        <f>VLOOKUP(K4586,[1]Mapping!$J$3:$Q$351,8,FALSE)</f>
        <v>#N/A</v>
      </c>
      <c r="M4586" t="s">
        <v>83</v>
      </c>
    </row>
    <row r="4587" spans="5:13" hidden="1" x14ac:dyDescent="0.35">
      <c r="E4587" s="81"/>
      <c r="I4587" s="83" t="e">
        <f>VLOOKUP(E4587,[1]Mapping!$A$3:$B$14,2,FALSE)</f>
        <v>#N/A</v>
      </c>
      <c r="J4587" s="84">
        <f t="shared" si="146"/>
        <v>0</v>
      </c>
      <c r="K4587" s="84">
        <f t="shared" si="147"/>
        <v>0</v>
      </c>
      <c r="L4587" s="61" t="e">
        <f>VLOOKUP(K4587,[1]Mapping!$J$3:$Q$351,8,FALSE)</f>
        <v>#N/A</v>
      </c>
      <c r="M4587" t="s">
        <v>83</v>
      </c>
    </row>
    <row r="4588" spans="5:13" hidden="1" x14ac:dyDescent="0.35">
      <c r="E4588" s="81"/>
      <c r="I4588" s="83" t="e">
        <f>VLOOKUP(E4588,[1]Mapping!$A$3:$B$14,2,FALSE)</f>
        <v>#N/A</v>
      </c>
      <c r="J4588" s="84">
        <f t="shared" si="146"/>
        <v>0</v>
      </c>
      <c r="K4588" s="84">
        <f t="shared" si="147"/>
        <v>0</v>
      </c>
      <c r="L4588" s="61" t="e">
        <f>VLOOKUP(K4588,[1]Mapping!$J$3:$Q$351,8,FALSE)</f>
        <v>#N/A</v>
      </c>
      <c r="M4588" t="s">
        <v>83</v>
      </c>
    </row>
    <row r="4589" spans="5:13" hidden="1" x14ac:dyDescent="0.35">
      <c r="E4589" s="81"/>
      <c r="I4589" s="83" t="e">
        <f>VLOOKUP(E4589,[1]Mapping!$A$3:$B$14,2,FALSE)</f>
        <v>#N/A</v>
      </c>
      <c r="J4589" s="84">
        <f t="shared" si="146"/>
        <v>0</v>
      </c>
      <c r="K4589" s="84">
        <f t="shared" si="147"/>
        <v>0</v>
      </c>
      <c r="L4589" s="61" t="e">
        <f>VLOOKUP(K4589,[1]Mapping!$J$3:$Q$351,8,FALSE)</f>
        <v>#N/A</v>
      </c>
      <c r="M4589" t="s">
        <v>83</v>
      </c>
    </row>
    <row r="4590" spans="5:13" hidden="1" x14ac:dyDescent="0.35">
      <c r="E4590" s="81"/>
      <c r="I4590" s="83" t="e">
        <f>VLOOKUP(E4590,[1]Mapping!$A$3:$B$14,2,FALSE)</f>
        <v>#N/A</v>
      </c>
      <c r="J4590" s="84">
        <f t="shared" si="146"/>
        <v>0</v>
      </c>
      <c r="K4590" s="84">
        <f t="shared" si="147"/>
        <v>0</v>
      </c>
      <c r="L4590" s="61" t="e">
        <f>VLOOKUP(K4590,[1]Mapping!$J$3:$Q$351,8,FALSE)</f>
        <v>#N/A</v>
      </c>
      <c r="M4590" t="s">
        <v>83</v>
      </c>
    </row>
    <row r="4591" spans="5:13" hidden="1" x14ac:dyDescent="0.35">
      <c r="E4591" s="81"/>
      <c r="I4591" s="83" t="e">
        <f>VLOOKUP(E4591,[1]Mapping!$A$3:$B$14,2,FALSE)</f>
        <v>#N/A</v>
      </c>
      <c r="J4591" s="84">
        <f t="shared" si="146"/>
        <v>0</v>
      </c>
      <c r="K4591" s="84">
        <f t="shared" si="147"/>
        <v>0</v>
      </c>
      <c r="L4591" s="61" t="e">
        <f>VLOOKUP(K4591,[1]Mapping!$J$3:$Q$351,8,FALSE)</f>
        <v>#N/A</v>
      </c>
      <c r="M4591" t="s">
        <v>83</v>
      </c>
    </row>
    <row r="4592" spans="5:13" hidden="1" x14ac:dyDescent="0.35">
      <c r="E4592" s="81"/>
      <c r="I4592" s="83" t="e">
        <f>VLOOKUP(E4592,[1]Mapping!$A$3:$B$14,2,FALSE)</f>
        <v>#N/A</v>
      </c>
      <c r="J4592" s="84">
        <f t="shared" si="146"/>
        <v>0</v>
      </c>
      <c r="K4592" s="84">
        <f t="shared" si="147"/>
        <v>0</v>
      </c>
      <c r="L4592" s="61" t="e">
        <f>VLOOKUP(K4592,[1]Mapping!$J$3:$Q$351,8,FALSE)</f>
        <v>#N/A</v>
      </c>
      <c r="M4592" t="s">
        <v>83</v>
      </c>
    </row>
    <row r="4593" spans="5:13" hidden="1" x14ac:dyDescent="0.35">
      <c r="E4593" s="81"/>
      <c r="I4593" s="83" t="e">
        <f>VLOOKUP(E4593,[1]Mapping!$A$3:$B$14,2,FALSE)</f>
        <v>#N/A</v>
      </c>
      <c r="J4593" s="84">
        <f t="shared" si="146"/>
        <v>0</v>
      </c>
      <c r="K4593" s="84">
        <f t="shared" si="147"/>
        <v>0</v>
      </c>
      <c r="L4593" s="61" t="e">
        <f>VLOOKUP(K4593,[1]Mapping!$J$3:$Q$351,8,FALSE)</f>
        <v>#N/A</v>
      </c>
      <c r="M4593" t="s">
        <v>83</v>
      </c>
    </row>
    <row r="4594" spans="5:13" hidden="1" x14ac:dyDescent="0.35">
      <c r="E4594" s="81"/>
      <c r="I4594" s="83" t="e">
        <f>VLOOKUP(E4594,[1]Mapping!$A$3:$B$14,2,FALSE)</f>
        <v>#N/A</v>
      </c>
      <c r="J4594" s="84">
        <f t="shared" si="146"/>
        <v>0</v>
      </c>
      <c r="K4594" s="84">
        <f t="shared" si="147"/>
        <v>0</v>
      </c>
      <c r="L4594" s="61" t="e">
        <f>VLOOKUP(K4594,[1]Mapping!$J$3:$Q$351,8,FALSE)</f>
        <v>#N/A</v>
      </c>
      <c r="M4594" t="s">
        <v>83</v>
      </c>
    </row>
    <row r="4595" spans="5:13" hidden="1" x14ac:dyDescent="0.35">
      <c r="E4595" s="81"/>
      <c r="I4595" s="83" t="e">
        <f>VLOOKUP(E4595,[1]Mapping!$A$3:$B$14,2,FALSE)</f>
        <v>#N/A</v>
      </c>
      <c r="J4595" s="84">
        <f t="shared" si="146"/>
        <v>0</v>
      </c>
      <c r="K4595" s="84">
        <f t="shared" si="147"/>
        <v>0</v>
      </c>
      <c r="L4595" s="61" t="e">
        <f>VLOOKUP(K4595,[1]Mapping!$J$3:$Q$351,8,FALSE)</f>
        <v>#N/A</v>
      </c>
      <c r="M4595" t="s">
        <v>83</v>
      </c>
    </row>
    <row r="4596" spans="5:13" hidden="1" x14ac:dyDescent="0.35">
      <c r="E4596" s="81"/>
      <c r="I4596" s="83" t="e">
        <f>VLOOKUP(E4596,[1]Mapping!$A$3:$B$14,2,FALSE)</f>
        <v>#N/A</v>
      </c>
      <c r="J4596" s="84">
        <f t="shared" si="146"/>
        <v>0</v>
      </c>
      <c r="K4596" s="84">
        <f t="shared" si="147"/>
        <v>0</v>
      </c>
      <c r="L4596" s="61" t="e">
        <f>VLOOKUP(K4596,[1]Mapping!$J$3:$Q$351,8,FALSE)</f>
        <v>#N/A</v>
      </c>
      <c r="M4596" t="s">
        <v>83</v>
      </c>
    </row>
    <row r="4597" spans="5:13" hidden="1" x14ac:dyDescent="0.35">
      <c r="E4597" s="81"/>
      <c r="I4597" s="83" t="e">
        <f>VLOOKUP(E4597,[1]Mapping!$A$3:$B$14,2,FALSE)</f>
        <v>#N/A</v>
      </c>
      <c r="J4597" s="84">
        <f t="shared" si="146"/>
        <v>0</v>
      </c>
      <c r="K4597" s="84">
        <f t="shared" si="147"/>
        <v>0</v>
      </c>
      <c r="L4597" s="61" t="e">
        <f>VLOOKUP(K4597,[1]Mapping!$J$3:$Q$351,8,FALSE)</f>
        <v>#N/A</v>
      </c>
      <c r="M4597" t="s">
        <v>83</v>
      </c>
    </row>
    <row r="4598" spans="5:13" hidden="1" x14ac:dyDescent="0.35">
      <c r="E4598" s="81"/>
      <c r="I4598" s="83" t="e">
        <f>VLOOKUP(E4598,[1]Mapping!$A$3:$B$14,2,FALSE)</f>
        <v>#N/A</v>
      </c>
      <c r="J4598" s="84">
        <f t="shared" si="146"/>
        <v>0</v>
      </c>
      <c r="K4598" s="84">
        <f t="shared" si="147"/>
        <v>0</v>
      </c>
      <c r="L4598" s="61" t="e">
        <f>VLOOKUP(K4598,[1]Mapping!$J$3:$Q$351,8,FALSE)</f>
        <v>#N/A</v>
      </c>
      <c r="M4598" t="s">
        <v>83</v>
      </c>
    </row>
    <row r="4599" spans="5:13" hidden="1" x14ac:dyDescent="0.35">
      <c r="E4599" s="81"/>
      <c r="I4599" s="83" t="e">
        <f>VLOOKUP(E4599,[1]Mapping!$A$3:$B$14,2,FALSE)</f>
        <v>#N/A</v>
      </c>
      <c r="J4599" s="84">
        <f t="shared" si="146"/>
        <v>0</v>
      </c>
      <c r="K4599" s="84">
        <f t="shared" si="147"/>
        <v>0</v>
      </c>
      <c r="L4599" s="61" t="e">
        <f>VLOOKUP(K4599,[1]Mapping!$J$3:$Q$351,8,FALSE)</f>
        <v>#N/A</v>
      </c>
      <c r="M4599" t="s">
        <v>83</v>
      </c>
    </row>
    <row r="4600" spans="5:13" hidden="1" x14ac:dyDescent="0.35">
      <c r="E4600" s="81"/>
      <c r="I4600" s="83" t="e">
        <f>VLOOKUP(E4600,[1]Mapping!$A$3:$B$14,2,FALSE)</f>
        <v>#N/A</v>
      </c>
      <c r="J4600" s="84">
        <f t="shared" si="146"/>
        <v>0</v>
      </c>
      <c r="K4600" s="84">
        <f t="shared" si="147"/>
        <v>0</v>
      </c>
      <c r="L4600" s="61" t="e">
        <f>VLOOKUP(K4600,[1]Mapping!$J$3:$Q$351,8,FALSE)</f>
        <v>#N/A</v>
      </c>
      <c r="M4600" t="s">
        <v>83</v>
      </c>
    </row>
    <row r="4601" spans="5:13" hidden="1" x14ac:dyDescent="0.35">
      <c r="E4601" s="81"/>
      <c r="I4601" s="83" t="e">
        <f>VLOOKUP(E4601,[1]Mapping!$A$3:$B$14,2,FALSE)</f>
        <v>#N/A</v>
      </c>
      <c r="J4601" s="84">
        <f t="shared" si="146"/>
        <v>0</v>
      </c>
      <c r="K4601" s="84">
        <f t="shared" si="147"/>
        <v>0</v>
      </c>
      <c r="L4601" s="61" t="e">
        <f>VLOOKUP(K4601,[1]Mapping!$J$3:$Q$351,8,FALSE)</f>
        <v>#N/A</v>
      </c>
      <c r="M4601" t="s">
        <v>83</v>
      </c>
    </row>
    <row r="4602" spans="5:13" hidden="1" x14ac:dyDescent="0.35">
      <c r="E4602" s="81"/>
      <c r="I4602" s="83" t="e">
        <f>VLOOKUP(E4602,[1]Mapping!$A$3:$B$14,2,FALSE)</f>
        <v>#N/A</v>
      </c>
      <c r="J4602" s="84">
        <f t="shared" si="146"/>
        <v>0</v>
      </c>
      <c r="K4602" s="84">
        <f t="shared" si="147"/>
        <v>0</v>
      </c>
      <c r="L4602" s="61" t="e">
        <f>VLOOKUP(K4602,[1]Mapping!$J$3:$Q$351,8,FALSE)</f>
        <v>#N/A</v>
      </c>
      <c r="M4602" t="s">
        <v>83</v>
      </c>
    </row>
    <row r="4603" spans="5:13" hidden="1" x14ac:dyDescent="0.35">
      <c r="E4603" s="81"/>
      <c r="I4603" s="83" t="e">
        <f>VLOOKUP(E4603,[1]Mapping!$A$3:$B$14,2,FALSE)</f>
        <v>#N/A</v>
      </c>
      <c r="J4603" s="84">
        <f t="shared" si="146"/>
        <v>0</v>
      </c>
      <c r="K4603" s="84">
        <f t="shared" si="147"/>
        <v>0</v>
      </c>
      <c r="L4603" s="61" t="e">
        <f>VLOOKUP(K4603,[1]Mapping!$J$3:$Q$351,8,FALSE)</f>
        <v>#N/A</v>
      </c>
      <c r="M4603" t="s">
        <v>83</v>
      </c>
    </row>
    <row r="4604" spans="5:13" hidden="1" x14ac:dyDescent="0.35">
      <c r="E4604" s="81"/>
      <c r="I4604" s="83" t="e">
        <f>VLOOKUP(E4604,[1]Mapping!$A$3:$B$14,2,FALSE)</f>
        <v>#N/A</v>
      </c>
      <c r="J4604" s="84">
        <f t="shared" si="146"/>
        <v>0</v>
      </c>
      <c r="K4604" s="84">
        <f t="shared" si="147"/>
        <v>0</v>
      </c>
      <c r="L4604" s="61" t="e">
        <f>VLOOKUP(K4604,[1]Mapping!$J$3:$Q$351,8,FALSE)</f>
        <v>#N/A</v>
      </c>
      <c r="M4604" t="s">
        <v>83</v>
      </c>
    </row>
    <row r="4605" spans="5:13" hidden="1" x14ac:dyDescent="0.35">
      <c r="E4605" s="81"/>
      <c r="I4605" s="83" t="e">
        <f>VLOOKUP(E4605,[1]Mapping!$A$3:$B$14,2,FALSE)</f>
        <v>#N/A</v>
      </c>
      <c r="J4605" s="84">
        <f t="shared" si="146"/>
        <v>0</v>
      </c>
      <c r="K4605" s="84">
        <f t="shared" si="147"/>
        <v>0</v>
      </c>
      <c r="L4605" s="61" t="e">
        <f>VLOOKUP(K4605,[1]Mapping!$J$3:$Q$351,8,FALSE)</f>
        <v>#N/A</v>
      </c>
      <c r="M4605" t="s">
        <v>83</v>
      </c>
    </row>
    <row r="4606" spans="5:13" hidden="1" x14ac:dyDescent="0.35">
      <c r="E4606" s="81"/>
      <c r="I4606" s="83" t="e">
        <f>VLOOKUP(E4606,[1]Mapping!$A$3:$B$14,2,FALSE)</f>
        <v>#N/A</v>
      </c>
      <c r="J4606" s="84">
        <f t="shared" si="146"/>
        <v>0</v>
      </c>
      <c r="K4606" s="84">
        <f t="shared" si="147"/>
        <v>0</v>
      </c>
      <c r="L4606" s="61" t="e">
        <f>VLOOKUP(K4606,[1]Mapping!$J$3:$Q$351,8,FALSE)</f>
        <v>#N/A</v>
      </c>
      <c r="M4606" t="s">
        <v>83</v>
      </c>
    </row>
    <row r="4607" spans="5:13" hidden="1" x14ac:dyDescent="0.35">
      <c r="E4607" s="81"/>
      <c r="I4607" s="83" t="e">
        <f>VLOOKUP(E4607,[1]Mapping!$A$3:$B$14,2,FALSE)</f>
        <v>#N/A</v>
      </c>
      <c r="J4607" s="84">
        <f t="shared" si="146"/>
        <v>0</v>
      </c>
      <c r="K4607" s="84">
        <f t="shared" si="147"/>
        <v>0</v>
      </c>
      <c r="L4607" s="61" t="e">
        <f>VLOOKUP(K4607,[1]Mapping!$J$3:$Q$351,8,FALSE)</f>
        <v>#N/A</v>
      </c>
      <c r="M4607" t="s">
        <v>83</v>
      </c>
    </row>
    <row r="4608" spans="5:13" hidden="1" x14ac:dyDescent="0.35">
      <c r="E4608" s="81"/>
      <c r="I4608" s="83" t="e">
        <f>VLOOKUP(E4608,[1]Mapping!$A$3:$B$14,2,FALSE)</f>
        <v>#N/A</v>
      </c>
      <c r="J4608" s="84">
        <f t="shared" si="146"/>
        <v>0</v>
      </c>
      <c r="K4608" s="84">
        <f t="shared" si="147"/>
        <v>0</v>
      </c>
      <c r="L4608" s="61" t="e">
        <f>VLOOKUP(K4608,[1]Mapping!$J$3:$Q$351,8,FALSE)</f>
        <v>#N/A</v>
      </c>
      <c r="M4608" t="s">
        <v>83</v>
      </c>
    </row>
    <row r="4609" spans="5:13" hidden="1" x14ac:dyDescent="0.35">
      <c r="E4609" s="81"/>
      <c r="I4609" s="83" t="e">
        <f>VLOOKUP(E4609,[1]Mapping!$A$3:$B$14,2,FALSE)</f>
        <v>#N/A</v>
      </c>
      <c r="J4609" s="84">
        <f t="shared" si="146"/>
        <v>0</v>
      </c>
      <c r="K4609" s="84">
        <f t="shared" si="147"/>
        <v>0</v>
      </c>
      <c r="L4609" s="61" t="e">
        <f>VLOOKUP(K4609,[1]Mapping!$J$3:$Q$351,8,FALSE)</f>
        <v>#N/A</v>
      </c>
      <c r="M4609" t="s">
        <v>83</v>
      </c>
    </row>
    <row r="4610" spans="5:13" hidden="1" x14ac:dyDescent="0.35">
      <c r="E4610" s="81"/>
      <c r="I4610" s="83" t="e">
        <f>VLOOKUP(E4610,[1]Mapping!$A$3:$B$14,2,FALSE)</f>
        <v>#N/A</v>
      </c>
      <c r="J4610" s="84">
        <f t="shared" si="146"/>
        <v>0</v>
      </c>
      <c r="K4610" s="84">
        <f t="shared" si="147"/>
        <v>0</v>
      </c>
      <c r="L4610" s="61" t="e">
        <f>VLOOKUP(K4610,[1]Mapping!$J$3:$Q$351,8,FALSE)</f>
        <v>#N/A</v>
      </c>
      <c r="M4610" t="s">
        <v>83</v>
      </c>
    </row>
    <row r="4611" spans="5:13" hidden="1" x14ac:dyDescent="0.35">
      <c r="E4611" s="81"/>
      <c r="I4611" s="83" t="e">
        <f>VLOOKUP(E4611,[1]Mapping!$A$3:$B$14,2,FALSE)</f>
        <v>#N/A</v>
      </c>
      <c r="J4611" s="84">
        <f t="shared" si="146"/>
        <v>0</v>
      </c>
      <c r="K4611" s="84">
        <f t="shared" si="147"/>
        <v>0</v>
      </c>
      <c r="L4611" s="61" t="e">
        <f>VLOOKUP(K4611,[1]Mapping!$J$3:$Q$351,8,FALSE)</f>
        <v>#N/A</v>
      </c>
      <c r="M4611" t="s">
        <v>83</v>
      </c>
    </row>
    <row r="4612" spans="5:13" hidden="1" x14ac:dyDescent="0.35">
      <c r="E4612" s="81"/>
      <c r="I4612" s="83" t="e">
        <f>VLOOKUP(E4612,[1]Mapping!$A$3:$B$14,2,FALSE)</f>
        <v>#N/A</v>
      </c>
      <c r="J4612" s="84">
        <f t="shared" si="146"/>
        <v>0</v>
      </c>
      <c r="K4612" s="84">
        <f t="shared" si="147"/>
        <v>0</v>
      </c>
      <c r="L4612" s="61" t="e">
        <f>VLOOKUP(K4612,[1]Mapping!$J$3:$Q$351,8,FALSE)</f>
        <v>#N/A</v>
      </c>
      <c r="M4612" t="s">
        <v>83</v>
      </c>
    </row>
    <row r="4613" spans="5:13" hidden="1" x14ac:dyDescent="0.35">
      <c r="E4613" s="81"/>
      <c r="I4613" s="83" t="e">
        <f>VLOOKUP(E4613,[1]Mapping!$A$3:$B$14,2,FALSE)</f>
        <v>#N/A</v>
      </c>
      <c r="J4613" s="84">
        <f t="shared" si="146"/>
        <v>0</v>
      </c>
      <c r="K4613" s="84">
        <f t="shared" si="147"/>
        <v>0</v>
      </c>
      <c r="L4613" s="61" t="e">
        <f>VLOOKUP(K4613,[1]Mapping!$J$3:$Q$351,8,FALSE)</f>
        <v>#N/A</v>
      </c>
      <c r="M4613" t="s">
        <v>83</v>
      </c>
    </row>
    <row r="4614" spans="5:13" hidden="1" x14ac:dyDescent="0.35">
      <c r="E4614" s="81"/>
      <c r="I4614" s="83" t="e">
        <f>VLOOKUP(E4614,[1]Mapping!$A$3:$B$14,2,FALSE)</f>
        <v>#N/A</v>
      </c>
      <c r="J4614" s="84">
        <f t="shared" si="146"/>
        <v>0</v>
      </c>
      <c r="K4614" s="84">
        <f t="shared" si="147"/>
        <v>0</v>
      </c>
      <c r="L4614" s="61" t="e">
        <f>VLOOKUP(K4614,[1]Mapping!$J$3:$Q$351,8,FALSE)</f>
        <v>#N/A</v>
      </c>
      <c r="M4614" t="s">
        <v>83</v>
      </c>
    </row>
    <row r="4615" spans="5:13" hidden="1" x14ac:dyDescent="0.35">
      <c r="E4615" s="81"/>
      <c r="I4615" s="83" t="e">
        <f>VLOOKUP(E4615,[1]Mapping!$A$3:$B$14,2,FALSE)</f>
        <v>#N/A</v>
      </c>
      <c r="J4615" s="84">
        <f t="shared" si="146"/>
        <v>0</v>
      </c>
      <c r="K4615" s="84">
        <f t="shared" si="147"/>
        <v>0</v>
      </c>
      <c r="L4615" s="61" t="e">
        <f>VLOOKUP(K4615,[1]Mapping!$J$3:$Q$351,8,FALSE)</f>
        <v>#N/A</v>
      </c>
      <c r="M4615" t="s">
        <v>83</v>
      </c>
    </row>
    <row r="4616" spans="5:13" hidden="1" x14ac:dyDescent="0.35">
      <c r="E4616" s="81"/>
      <c r="I4616" s="83" t="e">
        <f>VLOOKUP(E4616,[1]Mapping!$A$3:$B$14,2,FALSE)</f>
        <v>#N/A</v>
      </c>
      <c r="J4616" s="84">
        <f t="shared" si="146"/>
        <v>0</v>
      </c>
      <c r="K4616" s="84">
        <f t="shared" si="147"/>
        <v>0</v>
      </c>
      <c r="L4616" s="61" t="e">
        <f>VLOOKUP(K4616,[1]Mapping!$J$3:$Q$351,8,FALSE)</f>
        <v>#N/A</v>
      </c>
      <c r="M4616" t="s">
        <v>83</v>
      </c>
    </row>
    <row r="4617" spans="5:13" hidden="1" x14ac:dyDescent="0.35">
      <c r="E4617" s="81"/>
      <c r="I4617" s="83" t="e">
        <f>VLOOKUP(E4617,[1]Mapping!$A$3:$B$14,2,FALSE)</f>
        <v>#N/A</v>
      </c>
      <c r="J4617" s="84">
        <f t="shared" si="146"/>
        <v>0</v>
      </c>
      <c r="K4617" s="84">
        <f t="shared" si="147"/>
        <v>0</v>
      </c>
      <c r="L4617" s="61" t="e">
        <f>VLOOKUP(K4617,[1]Mapping!$J$3:$Q$351,8,FALSE)</f>
        <v>#N/A</v>
      </c>
      <c r="M4617" t="s">
        <v>83</v>
      </c>
    </row>
    <row r="4618" spans="5:13" hidden="1" x14ac:dyDescent="0.35">
      <c r="E4618" s="81"/>
      <c r="I4618" s="83" t="e">
        <f>VLOOKUP(E4618,[1]Mapping!$A$3:$B$14,2,FALSE)</f>
        <v>#N/A</v>
      </c>
      <c r="J4618" s="84">
        <f t="shared" si="146"/>
        <v>0</v>
      </c>
      <c r="K4618" s="84">
        <f t="shared" si="147"/>
        <v>0</v>
      </c>
      <c r="L4618" s="61" t="e">
        <f>VLOOKUP(K4618,[1]Mapping!$J$3:$Q$351,8,FALSE)</f>
        <v>#N/A</v>
      </c>
      <c r="M4618" t="s">
        <v>83</v>
      </c>
    </row>
    <row r="4619" spans="5:13" hidden="1" x14ac:dyDescent="0.35">
      <c r="E4619" s="81"/>
      <c r="I4619" s="83" t="e">
        <f>VLOOKUP(E4619,[1]Mapping!$A$3:$B$14,2,FALSE)</f>
        <v>#N/A</v>
      </c>
      <c r="J4619" s="84">
        <f t="shared" si="146"/>
        <v>0</v>
      </c>
      <c r="K4619" s="84">
        <f t="shared" si="147"/>
        <v>0</v>
      </c>
      <c r="L4619" s="61" t="e">
        <f>VLOOKUP(K4619,[1]Mapping!$J$3:$Q$351,8,FALSE)</f>
        <v>#N/A</v>
      </c>
      <c r="M4619" t="s">
        <v>83</v>
      </c>
    </row>
    <row r="4620" spans="5:13" hidden="1" x14ac:dyDescent="0.35">
      <c r="E4620" s="81"/>
      <c r="I4620" s="83" t="e">
        <f>VLOOKUP(E4620,[1]Mapping!$A$3:$B$14,2,FALSE)</f>
        <v>#N/A</v>
      </c>
      <c r="J4620" s="84">
        <f t="shared" si="146"/>
        <v>0</v>
      </c>
      <c r="K4620" s="84">
        <f t="shared" si="147"/>
        <v>0</v>
      </c>
      <c r="L4620" s="61" t="e">
        <f>VLOOKUP(K4620,[1]Mapping!$J$3:$Q$351,8,FALSE)</f>
        <v>#N/A</v>
      </c>
      <c r="M4620" t="s">
        <v>83</v>
      </c>
    </row>
    <row r="4621" spans="5:13" hidden="1" x14ac:dyDescent="0.35">
      <c r="E4621" s="81"/>
      <c r="I4621" s="83" t="e">
        <f>VLOOKUP(E4621,[1]Mapping!$A$3:$B$14,2,FALSE)</f>
        <v>#N/A</v>
      </c>
      <c r="J4621" s="84">
        <f t="shared" si="146"/>
        <v>0</v>
      </c>
      <c r="K4621" s="84">
        <f t="shared" si="147"/>
        <v>0</v>
      </c>
      <c r="L4621" s="61" t="e">
        <f>VLOOKUP(K4621,[1]Mapping!$J$3:$Q$351,8,FALSE)</f>
        <v>#N/A</v>
      </c>
      <c r="M4621" t="s">
        <v>83</v>
      </c>
    </row>
    <row r="4622" spans="5:13" hidden="1" x14ac:dyDescent="0.35">
      <c r="E4622" s="81"/>
      <c r="I4622" s="83" t="e">
        <f>VLOOKUP(E4622,[1]Mapping!$A$3:$B$14,2,FALSE)</f>
        <v>#N/A</v>
      </c>
      <c r="J4622" s="84">
        <f t="shared" si="146"/>
        <v>0</v>
      </c>
      <c r="K4622" s="84">
        <f t="shared" si="147"/>
        <v>0</v>
      </c>
      <c r="L4622" s="61" t="e">
        <f>VLOOKUP(K4622,[1]Mapping!$J$3:$Q$351,8,FALSE)</f>
        <v>#N/A</v>
      </c>
      <c r="M4622" t="s">
        <v>83</v>
      </c>
    </row>
    <row r="4623" spans="5:13" hidden="1" x14ac:dyDescent="0.35">
      <c r="E4623" s="81"/>
      <c r="I4623" s="83" t="e">
        <f>VLOOKUP(E4623,[1]Mapping!$A$3:$B$14,2,FALSE)</f>
        <v>#N/A</v>
      </c>
      <c r="J4623" s="84">
        <f t="shared" si="146"/>
        <v>0</v>
      </c>
      <c r="K4623" s="84">
        <f t="shared" si="147"/>
        <v>0</v>
      </c>
      <c r="L4623" s="61" t="e">
        <f>VLOOKUP(K4623,[1]Mapping!$J$3:$Q$351,8,FALSE)</f>
        <v>#N/A</v>
      </c>
      <c r="M4623" t="s">
        <v>83</v>
      </c>
    </row>
    <row r="4624" spans="5:13" hidden="1" x14ac:dyDescent="0.35">
      <c r="E4624" s="81"/>
      <c r="I4624" s="83" t="e">
        <f>VLOOKUP(E4624,[1]Mapping!$A$3:$B$14,2,FALSE)</f>
        <v>#N/A</v>
      </c>
      <c r="J4624" s="84">
        <f t="shared" ref="J4624:J4687" si="148">VALUE(A4624)</f>
        <v>0</v>
      </c>
      <c r="K4624" s="84">
        <f t="shared" ref="K4624:K4687" si="149">VALUE(C4624)</f>
        <v>0</v>
      </c>
      <c r="L4624" s="61" t="e">
        <f>VLOOKUP(K4624,[1]Mapping!$J$3:$Q$351,8,FALSE)</f>
        <v>#N/A</v>
      </c>
      <c r="M4624" t="s">
        <v>83</v>
      </c>
    </row>
    <row r="4625" spans="5:13" hidden="1" x14ac:dyDescent="0.35">
      <c r="E4625" s="81"/>
      <c r="I4625" s="83" t="e">
        <f>VLOOKUP(E4625,[1]Mapping!$A$3:$B$14,2,FALSE)</f>
        <v>#N/A</v>
      </c>
      <c r="J4625" s="84">
        <f t="shared" si="148"/>
        <v>0</v>
      </c>
      <c r="K4625" s="84">
        <f t="shared" si="149"/>
        <v>0</v>
      </c>
      <c r="L4625" s="61" t="e">
        <f>VLOOKUP(K4625,[1]Mapping!$J$3:$Q$351,8,FALSE)</f>
        <v>#N/A</v>
      </c>
      <c r="M4625" t="s">
        <v>83</v>
      </c>
    </row>
    <row r="4626" spans="5:13" hidden="1" x14ac:dyDescent="0.35">
      <c r="E4626" s="81"/>
      <c r="I4626" s="83" t="e">
        <f>VLOOKUP(E4626,[1]Mapping!$A$3:$B$14,2,FALSE)</f>
        <v>#N/A</v>
      </c>
      <c r="J4626" s="84">
        <f t="shared" si="148"/>
        <v>0</v>
      </c>
      <c r="K4626" s="84">
        <f t="shared" si="149"/>
        <v>0</v>
      </c>
      <c r="L4626" s="61" t="e">
        <f>VLOOKUP(K4626,[1]Mapping!$J$3:$Q$351,8,FALSE)</f>
        <v>#N/A</v>
      </c>
      <c r="M4626" t="s">
        <v>83</v>
      </c>
    </row>
    <row r="4627" spans="5:13" hidden="1" x14ac:dyDescent="0.35">
      <c r="E4627" s="81"/>
      <c r="I4627" s="83" t="e">
        <f>VLOOKUP(E4627,[1]Mapping!$A$3:$B$14,2,FALSE)</f>
        <v>#N/A</v>
      </c>
      <c r="J4627" s="84">
        <f t="shared" si="148"/>
        <v>0</v>
      </c>
      <c r="K4627" s="84">
        <f t="shared" si="149"/>
        <v>0</v>
      </c>
      <c r="L4627" s="61" t="e">
        <f>VLOOKUP(K4627,[1]Mapping!$J$3:$Q$351,8,FALSE)</f>
        <v>#N/A</v>
      </c>
      <c r="M4627" t="s">
        <v>83</v>
      </c>
    </row>
    <row r="4628" spans="5:13" hidden="1" x14ac:dyDescent="0.35">
      <c r="E4628" s="81"/>
      <c r="I4628" s="83" t="e">
        <f>VLOOKUP(E4628,[1]Mapping!$A$3:$B$14,2,FALSE)</f>
        <v>#N/A</v>
      </c>
      <c r="J4628" s="84">
        <f t="shared" si="148"/>
        <v>0</v>
      </c>
      <c r="K4628" s="84">
        <f t="shared" si="149"/>
        <v>0</v>
      </c>
      <c r="L4628" s="61" t="e">
        <f>VLOOKUP(K4628,[1]Mapping!$J$3:$Q$351,8,FALSE)</f>
        <v>#N/A</v>
      </c>
      <c r="M4628" t="s">
        <v>83</v>
      </c>
    </row>
    <row r="4629" spans="5:13" hidden="1" x14ac:dyDescent="0.35">
      <c r="E4629" s="81"/>
      <c r="I4629" s="83" t="e">
        <f>VLOOKUP(E4629,[1]Mapping!$A$3:$B$14,2,FALSE)</f>
        <v>#N/A</v>
      </c>
      <c r="J4629" s="84">
        <f t="shared" si="148"/>
        <v>0</v>
      </c>
      <c r="K4629" s="84">
        <f t="shared" si="149"/>
        <v>0</v>
      </c>
      <c r="L4629" s="61" t="e">
        <f>VLOOKUP(K4629,[1]Mapping!$J$3:$Q$351,8,FALSE)</f>
        <v>#N/A</v>
      </c>
      <c r="M4629" t="s">
        <v>83</v>
      </c>
    </row>
    <row r="4630" spans="5:13" hidden="1" x14ac:dyDescent="0.35">
      <c r="E4630" s="81"/>
      <c r="I4630" s="83" t="e">
        <f>VLOOKUP(E4630,[1]Mapping!$A$3:$B$14,2,FALSE)</f>
        <v>#N/A</v>
      </c>
      <c r="J4630" s="84">
        <f t="shared" si="148"/>
        <v>0</v>
      </c>
      <c r="K4630" s="84">
        <f t="shared" si="149"/>
        <v>0</v>
      </c>
      <c r="L4630" s="61" t="e">
        <f>VLOOKUP(K4630,[1]Mapping!$J$3:$Q$351,8,FALSE)</f>
        <v>#N/A</v>
      </c>
      <c r="M4630" t="s">
        <v>83</v>
      </c>
    </row>
    <row r="4631" spans="5:13" hidden="1" x14ac:dyDescent="0.35">
      <c r="E4631" s="81"/>
      <c r="I4631" s="83" t="e">
        <f>VLOOKUP(E4631,[1]Mapping!$A$3:$B$14,2,FALSE)</f>
        <v>#N/A</v>
      </c>
      <c r="J4631" s="84">
        <f t="shared" si="148"/>
        <v>0</v>
      </c>
      <c r="K4631" s="84">
        <f t="shared" si="149"/>
        <v>0</v>
      </c>
      <c r="L4631" s="61" t="e">
        <f>VLOOKUP(K4631,[1]Mapping!$J$3:$Q$351,8,FALSE)</f>
        <v>#N/A</v>
      </c>
      <c r="M4631" t="s">
        <v>83</v>
      </c>
    </row>
    <row r="4632" spans="5:13" hidden="1" x14ac:dyDescent="0.35">
      <c r="E4632" s="81"/>
      <c r="I4632" s="83" t="e">
        <f>VLOOKUP(E4632,[1]Mapping!$A$3:$B$14,2,FALSE)</f>
        <v>#N/A</v>
      </c>
      <c r="J4632" s="84">
        <f t="shared" si="148"/>
        <v>0</v>
      </c>
      <c r="K4632" s="84">
        <f t="shared" si="149"/>
        <v>0</v>
      </c>
      <c r="L4632" s="61" t="e">
        <f>VLOOKUP(K4632,[1]Mapping!$J$3:$Q$351,8,FALSE)</f>
        <v>#N/A</v>
      </c>
      <c r="M4632" t="s">
        <v>83</v>
      </c>
    </row>
    <row r="4633" spans="5:13" hidden="1" x14ac:dyDescent="0.35">
      <c r="E4633" s="81"/>
      <c r="I4633" s="83" t="e">
        <f>VLOOKUP(E4633,[1]Mapping!$A$3:$B$14,2,FALSE)</f>
        <v>#N/A</v>
      </c>
      <c r="J4633" s="84">
        <f t="shared" si="148"/>
        <v>0</v>
      </c>
      <c r="K4633" s="84">
        <f t="shared" si="149"/>
        <v>0</v>
      </c>
      <c r="L4633" s="61" t="e">
        <f>VLOOKUP(K4633,[1]Mapping!$J$3:$Q$351,8,FALSE)</f>
        <v>#N/A</v>
      </c>
      <c r="M4633" t="s">
        <v>83</v>
      </c>
    </row>
    <row r="4634" spans="5:13" hidden="1" x14ac:dyDescent="0.35">
      <c r="E4634" s="81"/>
      <c r="I4634" s="83" t="e">
        <f>VLOOKUP(E4634,[1]Mapping!$A$3:$B$14,2,FALSE)</f>
        <v>#N/A</v>
      </c>
      <c r="J4634" s="84">
        <f t="shared" si="148"/>
        <v>0</v>
      </c>
      <c r="K4634" s="84">
        <f t="shared" si="149"/>
        <v>0</v>
      </c>
      <c r="L4634" s="61" t="e">
        <f>VLOOKUP(K4634,[1]Mapping!$J$3:$Q$351,8,FALSE)</f>
        <v>#N/A</v>
      </c>
      <c r="M4634" t="s">
        <v>83</v>
      </c>
    </row>
    <row r="4635" spans="5:13" hidden="1" x14ac:dyDescent="0.35">
      <c r="E4635" s="81"/>
      <c r="I4635" s="83" t="e">
        <f>VLOOKUP(E4635,[1]Mapping!$A$3:$B$14,2,FALSE)</f>
        <v>#N/A</v>
      </c>
      <c r="J4635" s="84">
        <f t="shared" si="148"/>
        <v>0</v>
      </c>
      <c r="K4635" s="84">
        <f t="shared" si="149"/>
        <v>0</v>
      </c>
      <c r="L4635" s="61" t="e">
        <f>VLOOKUP(K4635,[1]Mapping!$J$3:$Q$351,8,FALSE)</f>
        <v>#N/A</v>
      </c>
      <c r="M4635" t="s">
        <v>83</v>
      </c>
    </row>
    <row r="4636" spans="5:13" hidden="1" x14ac:dyDescent="0.35">
      <c r="E4636" s="81"/>
      <c r="I4636" s="83" t="e">
        <f>VLOOKUP(E4636,[1]Mapping!$A$3:$B$14,2,FALSE)</f>
        <v>#N/A</v>
      </c>
      <c r="J4636" s="84">
        <f t="shared" si="148"/>
        <v>0</v>
      </c>
      <c r="K4636" s="84">
        <f t="shared" si="149"/>
        <v>0</v>
      </c>
      <c r="L4636" s="61" t="e">
        <f>VLOOKUP(K4636,[1]Mapping!$J$3:$Q$351,8,FALSE)</f>
        <v>#N/A</v>
      </c>
      <c r="M4636" t="s">
        <v>83</v>
      </c>
    </row>
    <row r="4637" spans="5:13" hidden="1" x14ac:dyDescent="0.35">
      <c r="E4637" s="81"/>
      <c r="I4637" s="83" t="e">
        <f>VLOOKUP(E4637,[1]Mapping!$A$3:$B$14,2,FALSE)</f>
        <v>#N/A</v>
      </c>
      <c r="J4637" s="84">
        <f t="shared" si="148"/>
        <v>0</v>
      </c>
      <c r="K4637" s="84">
        <f t="shared" si="149"/>
        <v>0</v>
      </c>
      <c r="L4637" s="61" t="e">
        <f>VLOOKUP(K4637,[1]Mapping!$J$3:$Q$351,8,FALSE)</f>
        <v>#N/A</v>
      </c>
      <c r="M4637" t="s">
        <v>83</v>
      </c>
    </row>
    <row r="4638" spans="5:13" hidden="1" x14ac:dyDescent="0.35">
      <c r="E4638" s="81"/>
      <c r="I4638" s="83" t="e">
        <f>VLOOKUP(E4638,[1]Mapping!$A$3:$B$14,2,FALSE)</f>
        <v>#N/A</v>
      </c>
      <c r="J4638" s="84">
        <f t="shared" si="148"/>
        <v>0</v>
      </c>
      <c r="K4638" s="84">
        <f t="shared" si="149"/>
        <v>0</v>
      </c>
      <c r="L4638" s="61" t="e">
        <f>VLOOKUP(K4638,[1]Mapping!$J$3:$Q$351,8,FALSE)</f>
        <v>#N/A</v>
      </c>
      <c r="M4638" t="s">
        <v>83</v>
      </c>
    </row>
    <row r="4639" spans="5:13" hidden="1" x14ac:dyDescent="0.35">
      <c r="E4639" s="81"/>
      <c r="I4639" s="83" t="e">
        <f>VLOOKUP(E4639,[1]Mapping!$A$3:$B$14,2,FALSE)</f>
        <v>#N/A</v>
      </c>
      <c r="J4639" s="84">
        <f t="shared" si="148"/>
        <v>0</v>
      </c>
      <c r="K4639" s="84">
        <f t="shared" si="149"/>
        <v>0</v>
      </c>
      <c r="L4639" s="61" t="e">
        <f>VLOOKUP(K4639,[1]Mapping!$J$3:$Q$351,8,FALSE)</f>
        <v>#N/A</v>
      </c>
      <c r="M4639" t="s">
        <v>83</v>
      </c>
    </row>
    <row r="4640" spans="5:13" hidden="1" x14ac:dyDescent="0.35">
      <c r="E4640" s="81"/>
      <c r="I4640" s="83" t="e">
        <f>VLOOKUP(E4640,[1]Mapping!$A$3:$B$14,2,FALSE)</f>
        <v>#N/A</v>
      </c>
      <c r="J4640" s="84">
        <f t="shared" si="148"/>
        <v>0</v>
      </c>
      <c r="K4640" s="84">
        <f t="shared" si="149"/>
        <v>0</v>
      </c>
      <c r="L4640" s="61" t="e">
        <f>VLOOKUP(K4640,[1]Mapping!$J$3:$Q$351,8,FALSE)</f>
        <v>#N/A</v>
      </c>
      <c r="M4640" t="s">
        <v>83</v>
      </c>
    </row>
    <row r="4641" spans="5:13" hidden="1" x14ac:dyDescent="0.35">
      <c r="E4641" s="81"/>
      <c r="I4641" s="83" t="e">
        <f>VLOOKUP(E4641,[1]Mapping!$A$3:$B$14,2,FALSE)</f>
        <v>#N/A</v>
      </c>
      <c r="J4641" s="84">
        <f t="shared" si="148"/>
        <v>0</v>
      </c>
      <c r="K4641" s="84">
        <f t="shared" si="149"/>
        <v>0</v>
      </c>
      <c r="L4641" s="61" t="e">
        <f>VLOOKUP(K4641,[1]Mapping!$J$3:$Q$351,8,FALSE)</f>
        <v>#N/A</v>
      </c>
      <c r="M4641" t="s">
        <v>83</v>
      </c>
    </row>
    <row r="4642" spans="5:13" hidden="1" x14ac:dyDescent="0.35">
      <c r="E4642" s="81"/>
      <c r="I4642" s="83" t="e">
        <f>VLOOKUP(E4642,[1]Mapping!$A$3:$B$14,2,FALSE)</f>
        <v>#N/A</v>
      </c>
      <c r="J4642" s="84">
        <f t="shared" si="148"/>
        <v>0</v>
      </c>
      <c r="K4642" s="84">
        <f t="shared" si="149"/>
        <v>0</v>
      </c>
      <c r="L4642" s="61" t="e">
        <f>VLOOKUP(K4642,[1]Mapping!$J$3:$Q$351,8,FALSE)</f>
        <v>#N/A</v>
      </c>
      <c r="M4642" t="s">
        <v>83</v>
      </c>
    </row>
    <row r="4643" spans="5:13" hidden="1" x14ac:dyDescent="0.35">
      <c r="E4643" s="81"/>
      <c r="I4643" s="83" t="e">
        <f>VLOOKUP(E4643,[1]Mapping!$A$3:$B$14,2,FALSE)</f>
        <v>#N/A</v>
      </c>
      <c r="J4643" s="84">
        <f t="shared" si="148"/>
        <v>0</v>
      </c>
      <c r="K4643" s="84">
        <f t="shared" si="149"/>
        <v>0</v>
      </c>
      <c r="L4643" s="61" t="e">
        <f>VLOOKUP(K4643,[1]Mapping!$J$3:$Q$351,8,FALSE)</f>
        <v>#N/A</v>
      </c>
      <c r="M4643" t="s">
        <v>83</v>
      </c>
    </row>
    <row r="4644" spans="5:13" hidden="1" x14ac:dyDescent="0.35">
      <c r="E4644" s="81"/>
      <c r="I4644" s="83" t="e">
        <f>VLOOKUP(E4644,[1]Mapping!$A$3:$B$14,2,FALSE)</f>
        <v>#N/A</v>
      </c>
      <c r="J4644" s="84">
        <f t="shared" si="148"/>
        <v>0</v>
      </c>
      <c r="K4644" s="84">
        <f t="shared" si="149"/>
        <v>0</v>
      </c>
      <c r="L4644" s="61" t="e">
        <f>VLOOKUP(K4644,[1]Mapping!$J$3:$Q$351,8,FALSE)</f>
        <v>#N/A</v>
      </c>
      <c r="M4644" t="s">
        <v>83</v>
      </c>
    </row>
    <row r="4645" spans="5:13" hidden="1" x14ac:dyDescent="0.35">
      <c r="E4645" s="81"/>
      <c r="I4645" s="83" t="e">
        <f>VLOOKUP(E4645,[1]Mapping!$A$3:$B$14,2,FALSE)</f>
        <v>#N/A</v>
      </c>
      <c r="J4645" s="84">
        <f t="shared" si="148"/>
        <v>0</v>
      </c>
      <c r="K4645" s="84">
        <f t="shared" si="149"/>
        <v>0</v>
      </c>
      <c r="L4645" s="61" t="e">
        <f>VLOOKUP(K4645,[1]Mapping!$J$3:$Q$351,8,FALSE)</f>
        <v>#N/A</v>
      </c>
      <c r="M4645" t="s">
        <v>83</v>
      </c>
    </row>
    <row r="4646" spans="5:13" hidden="1" x14ac:dyDescent="0.35">
      <c r="E4646" s="81"/>
      <c r="I4646" s="83" t="e">
        <f>VLOOKUP(E4646,[1]Mapping!$A$3:$B$14,2,FALSE)</f>
        <v>#N/A</v>
      </c>
      <c r="J4646" s="84">
        <f t="shared" si="148"/>
        <v>0</v>
      </c>
      <c r="K4646" s="84">
        <f t="shared" si="149"/>
        <v>0</v>
      </c>
      <c r="L4646" s="61" t="e">
        <f>VLOOKUP(K4646,[1]Mapping!$J$3:$Q$351,8,FALSE)</f>
        <v>#N/A</v>
      </c>
      <c r="M4646" t="s">
        <v>83</v>
      </c>
    </row>
    <row r="4647" spans="5:13" hidden="1" x14ac:dyDescent="0.35">
      <c r="E4647" s="81"/>
      <c r="I4647" s="83" t="e">
        <f>VLOOKUP(E4647,[1]Mapping!$A$3:$B$14,2,FALSE)</f>
        <v>#N/A</v>
      </c>
      <c r="J4647" s="84">
        <f t="shared" si="148"/>
        <v>0</v>
      </c>
      <c r="K4647" s="84">
        <f t="shared" si="149"/>
        <v>0</v>
      </c>
      <c r="L4647" s="61" t="e">
        <f>VLOOKUP(K4647,[1]Mapping!$J$3:$Q$351,8,FALSE)</f>
        <v>#N/A</v>
      </c>
      <c r="M4647" t="s">
        <v>83</v>
      </c>
    </row>
    <row r="4648" spans="5:13" hidden="1" x14ac:dyDescent="0.35">
      <c r="E4648" s="81"/>
      <c r="I4648" s="83" t="e">
        <f>VLOOKUP(E4648,[1]Mapping!$A$3:$B$14,2,FALSE)</f>
        <v>#N/A</v>
      </c>
      <c r="J4648" s="84">
        <f t="shared" si="148"/>
        <v>0</v>
      </c>
      <c r="K4648" s="84">
        <f t="shared" si="149"/>
        <v>0</v>
      </c>
      <c r="L4648" s="61" t="e">
        <f>VLOOKUP(K4648,[1]Mapping!$J$3:$Q$351,8,FALSE)</f>
        <v>#N/A</v>
      </c>
      <c r="M4648" t="s">
        <v>83</v>
      </c>
    </row>
    <row r="4649" spans="5:13" hidden="1" x14ac:dyDescent="0.35">
      <c r="E4649" s="81"/>
      <c r="I4649" s="83" t="e">
        <f>VLOOKUP(E4649,[1]Mapping!$A$3:$B$14,2,FALSE)</f>
        <v>#N/A</v>
      </c>
      <c r="J4649" s="84">
        <f t="shared" si="148"/>
        <v>0</v>
      </c>
      <c r="K4649" s="84">
        <f t="shared" si="149"/>
        <v>0</v>
      </c>
      <c r="L4649" s="61" t="e">
        <f>VLOOKUP(K4649,[1]Mapping!$J$3:$Q$351,8,FALSE)</f>
        <v>#N/A</v>
      </c>
      <c r="M4649" t="s">
        <v>83</v>
      </c>
    </row>
    <row r="4650" spans="5:13" hidden="1" x14ac:dyDescent="0.35">
      <c r="E4650" s="81"/>
      <c r="I4650" s="83" t="e">
        <f>VLOOKUP(E4650,[1]Mapping!$A$3:$B$14,2,FALSE)</f>
        <v>#N/A</v>
      </c>
      <c r="J4650" s="84">
        <f t="shared" si="148"/>
        <v>0</v>
      </c>
      <c r="K4650" s="84">
        <f t="shared" si="149"/>
        <v>0</v>
      </c>
      <c r="L4650" s="61" t="e">
        <f>VLOOKUP(K4650,[1]Mapping!$J$3:$Q$351,8,FALSE)</f>
        <v>#N/A</v>
      </c>
      <c r="M4650" t="s">
        <v>83</v>
      </c>
    </row>
    <row r="4651" spans="5:13" hidden="1" x14ac:dyDescent="0.35">
      <c r="E4651" s="81"/>
      <c r="I4651" s="83" t="e">
        <f>VLOOKUP(E4651,[1]Mapping!$A$3:$B$14,2,FALSE)</f>
        <v>#N/A</v>
      </c>
      <c r="J4651" s="84">
        <f t="shared" si="148"/>
        <v>0</v>
      </c>
      <c r="K4651" s="84">
        <f t="shared" si="149"/>
        <v>0</v>
      </c>
      <c r="L4651" s="61" t="e">
        <f>VLOOKUP(K4651,[1]Mapping!$J$3:$Q$351,8,FALSE)</f>
        <v>#N/A</v>
      </c>
      <c r="M4651" t="s">
        <v>83</v>
      </c>
    </row>
    <row r="4652" spans="5:13" hidden="1" x14ac:dyDescent="0.35">
      <c r="E4652" s="81"/>
      <c r="I4652" s="83" t="e">
        <f>VLOOKUP(E4652,[1]Mapping!$A$3:$B$14,2,FALSE)</f>
        <v>#N/A</v>
      </c>
      <c r="J4652" s="84">
        <f t="shared" si="148"/>
        <v>0</v>
      </c>
      <c r="K4652" s="84">
        <f t="shared" si="149"/>
        <v>0</v>
      </c>
      <c r="L4652" s="61" t="e">
        <f>VLOOKUP(K4652,[1]Mapping!$J$3:$Q$351,8,FALSE)</f>
        <v>#N/A</v>
      </c>
      <c r="M4652" t="s">
        <v>83</v>
      </c>
    </row>
    <row r="4653" spans="5:13" hidden="1" x14ac:dyDescent="0.35">
      <c r="E4653" s="81"/>
      <c r="I4653" s="83" t="e">
        <f>VLOOKUP(E4653,[1]Mapping!$A$3:$B$14,2,FALSE)</f>
        <v>#N/A</v>
      </c>
      <c r="J4653" s="84">
        <f t="shared" si="148"/>
        <v>0</v>
      </c>
      <c r="K4653" s="84">
        <f t="shared" si="149"/>
        <v>0</v>
      </c>
      <c r="L4653" s="61" t="e">
        <f>VLOOKUP(K4653,[1]Mapping!$J$3:$Q$351,8,FALSE)</f>
        <v>#N/A</v>
      </c>
      <c r="M4653" t="s">
        <v>83</v>
      </c>
    </row>
    <row r="4654" spans="5:13" hidden="1" x14ac:dyDescent="0.35">
      <c r="E4654" s="81"/>
      <c r="I4654" s="83" t="e">
        <f>VLOOKUP(E4654,[1]Mapping!$A$3:$B$14,2,FALSE)</f>
        <v>#N/A</v>
      </c>
      <c r="J4654" s="84">
        <f t="shared" si="148"/>
        <v>0</v>
      </c>
      <c r="K4654" s="84">
        <f t="shared" si="149"/>
        <v>0</v>
      </c>
      <c r="L4654" s="61" t="e">
        <f>VLOOKUP(K4654,[1]Mapping!$J$3:$Q$351,8,FALSE)</f>
        <v>#N/A</v>
      </c>
      <c r="M4654" t="s">
        <v>83</v>
      </c>
    </row>
    <row r="4655" spans="5:13" hidden="1" x14ac:dyDescent="0.35">
      <c r="E4655" s="81"/>
      <c r="I4655" s="83" t="e">
        <f>VLOOKUP(E4655,[1]Mapping!$A$3:$B$14,2,FALSE)</f>
        <v>#N/A</v>
      </c>
      <c r="J4655" s="84">
        <f t="shared" si="148"/>
        <v>0</v>
      </c>
      <c r="K4655" s="84">
        <f t="shared" si="149"/>
        <v>0</v>
      </c>
      <c r="L4655" s="61" t="e">
        <f>VLOOKUP(K4655,[1]Mapping!$J$3:$Q$351,8,FALSE)</f>
        <v>#N/A</v>
      </c>
      <c r="M4655" t="s">
        <v>83</v>
      </c>
    </row>
    <row r="4656" spans="5:13" hidden="1" x14ac:dyDescent="0.35">
      <c r="E4656" s="81"/>
      <c r="I4656" s="83" t="e">
        <f>VLOOKUP(E4656,[1]Mapping!$A$3:$B$14,2,FALSE)</f>
        <v>#N/A</v>
      </c>
      <c r="J4656" s="84">
        <f t="shared" si="148"/>
        <v>0</v>
      </c>
      <c r="K4656" s="84">
        <f t="shared" si="149"/>
        <v>0</v>
      </c>
      <c r="L4656" s="61" t="e">
        <f>VLOOKUP(K4656,[1]Mapping!$J$3:$Q$351,8,FALSE)</f>
        <v>#N/A</v>
      </c>
      <c r="M4656" t="s">
        <v>83</v>
      </c>
    </row>
    <row r="4657" spans="5:13" hidden="1" x14ac:dyDescent="0.35">
      <c r="E4657" s="81"/>
      <c r="I4657" s="83" t="e">
        <f>VLOOKUP(E4657,[1]Mapping!$A$3:$B$14,2,FALSE)</f>
        <v>#N/A</v>
      </c>
      <c r="J4657" s="84">
        <f t="shared" si="148"/>
        <v>0</v>
      </c>
      <c r="K4657" s="84">
        <f t="shared" si="149"/>
        <v>0</v>
      </c>
      <c r="L4657" s="61" t="e">
        <f>VLOOKUP(K4657,[1]Mapping!$J$3:$Q$351,8,FALSE)</f>
        <v>#N/A</v>
      </c>
      <c r="M4657" t="s">
        <v>83</v>
      </c>
    </row>
    <row r="4658" spans="5:13" hidden="1" x14ac:dyDescent="0.35">
      <c r="E4658" s="81"/>
      <c r="I4658" s="83" t="e">
        <f>VLOOKUP(E4658,[1]Mapping!$A$3:$B$14,2,FALSE)</f>
        <v>#N/A</v>
      </c>
      <c r="J4658" s="84">
        <f t="shared" si="148"/>
        <v>0</v>
      </c>
      <c r="K4658" s="84">
        <f t="shared" si="149"/>
        <v>0</v>
      </c>
      <c r="L4658" s="61" t="e">
        <f>VLOOKUP(K4658,[1]Mapping!$J$3:$Q$351,8,FALSE)</f>
        <v>#N/A</v>
      </c>
      <c r="M4658" t="s">
        <v>83</v>
      </c>
    </row>
    <row r="4659" spans="5:13" hidden="1" x14ac:dyDescent="0.35">
      <c r="E4659" s="81"/>
      <c r="I4659" s="83" t="e">
        <f>VLOOKUP(E4659,[1]Mapping!$A$3:$B$14,2,FALSE)</f>
        <v>#N/A</v>
      </c>
      <c r="J4659" s="84">
        <f t="shared" si="148"/>
        <v>0</v>
      </c>
      <c r="K4659" s="84">
        <f t="shared" si="149"/>
        <v>0</v>
      </c>
      <c r="L4659" s="61" t="e">
        <f>VLOOKUP(K4659,[1]Mapping!$J$3:$Q$351,8,FALSE)</f>
        <v>#N/A</v>
      </c>
      <c r="M4659" t="s">
        <v>83</v>
      </c>
    </row>
    <row r="4660" spans="5:13" hidden="1" x14ac:dyDescent="0.35">
      <c r="E4660" s="81"/>
      <c r="I4660" s="83" t="e">
        <f>VLOOKUP(E4660,[1]Mapping!$A$3:$B$14,2,FALSE)</f>
        <v>#N/A</v>
      </c>
      <c r="J4660" s="84">
        <f t="shared" si="148"/>
        <v>0</v>
      </c>
      <c r="K4660" s="84">
        <f t="shared" si="149"/>
        <v>0</v>
      </c>
      <c r="L4660" s="61" t="e">
        <f>VLOOKUP(K4660,[1]Mapping!$J$3:$Q$351,8,FALSE)</f>
        <v>#N/A</v>
      </c>
      <c r="M4660" t="s">
        <v>83</v>
      </c>
    </row>
    <row r="4661" spans="5:13" hidden="1" x14ac:dyDescent="0.35">
      <c r="E4661" s="81"/>
      <c r="I4661" s="83" t="e">
        <f>VLOOKUP(E4661,[1]Mapping!$A$3:$B$14,2,FALSE)</f>
        <v>#N/A</v>
      </c>
      <c r="J4661" s="84">
        <f t="shared" si="148"/>
        <v>0</v>
      </c>
      <c r="K4661" s="84">
        <f t="shared" si="149"/>
        <v>0</v>
      </c>
      <c r="L4661" s="61" t="e">
        <f>VLOOKUP(K4661,[1]Mapping!$J$3:$Q$351,8,FALSE)</f>
        <v>#N/A</v>
      </c>
      <c r="M4661" t="s">
        <v>83</v>
      </c>
    </row>
    <row r="4662" spans="5:13" hidden="1" x14ac:dyDescent="0.35">
      <c r="E4662" s="81"/>
      <c r="I4662" s="83" t="e">
        <f>VLOOKUP(E4662,[1]Mapping!$A$3:$B$14,2,FALSE)</f>
        <v>#N/A</v>
      </c>
      <c r="J4662" s="84">
        <f t="shared" si="148"/>
        <v>0</v>
      </c>
      <c r="K4662" s="84">
        <f t="shared" si="149"/>
        <v>0</v>
      </c>
      <c r="L4662" s="61" t="e">
        <f>VLOOKUP(K4662,[1]Mapping!$J$3:$Q$351,8,FALSE)</f>
        <v>#N/A</v>
      </c>
      <c r="M4662" t="s">
        <v>83</v>
      </c>
    </row>
    <row r="4663" spans="5:13" hidden="1" x14ac:dyDescent="0.35">
      <c r="E4663" s="81"/>
      <c r="I4663" s="83" t="e">
        <f>VLOOKUP(E4663,[1]Mapping!$A$3:$B$14,2,FALSE)</f>
        <v>#N/A</v>
      </c>
      <c r="J4663" s="84">
        <f t="shared" si="148"/>
        <v>0</v>
      </c>
      <c r="K4663" s="84">
        <f t="shared" si="149"/>
        <v>0</v>
      </c>
      <c r="L4663" s="61" t="e">
        <f>VLOOKUP(K4663,[1]Mapping!$J$3:$Q$351,8,FALSE)</f>
        <v>#N/A</v>
      </c>
      <c r="M4663" t="s">
        <v>83</v>
      </c>
    </row>
    <row r="4664" spans="5:13" hidden="1" x14ac:dyDescent="0.35">
      <c r="E4664" s="81"/>
      <c r="I4664" s="83" t="e">
        <f>VLOOKUP(E4664,[1]Mapping!$A$3:$B$14,2,FALSE)</f>
        <v>#N/A</v>
      </c>
      <c r="J4664" s="84">
        <f t="shared" si="148"/>
        <v>0</v>
      </c>
      <c r="K4664" s="84">
        <f t="shared" si="149"/>
        <v>0</v>
      </c>
      <c r="L4664" s="61" t="e">
        <f>VLOOKUP(K4664,[1]Mapping!$J$3:$Q$351,8,FALSE)</f>
        <v>#N/A</v>
      </c>
      <c r="M4664" t="s">
        <v>83</v>
      </c>
    </row>
    <row r="4665" spans="5:13" hidden="1" x14ac:dyDescent="0.35">
      <c r="E4665" s="81"/>
      <c r="I4665" s="83" t="e">
        <f>VLOOKUP(E4665,[1]Mapping!$A$3:$B$14,2,FALSE)</f>
        <v>#N/A</v>
      </c>
      <c r="J4665" s="84">
        <f t="shared" si="148"/>
        <v>0</v>
      </c>
      <c r="K4665" s="84">
        <f t="shared" si="149"/>
        <v>0</v>
      </c>
      <c r="L4665" s="61" t="e">
        <f>VLOOKUP(K4665,[1]Mapping!$J$3:$Q$351,8,FALSE)</f>
        <v>#N/A</v>
      </c>
      <c r="M4665" t="s">
        <v>83</v>
      </c>
    </row>
    <row r="4666" spans="5:13" hidden="1" x14ac:dyDescent="0.35">
      <c r="E4666" s="81"/>
      <c r="I4666" s="83" t="e">
        <f>VLOOKUP(E4666,[1]Mapping!$A$3:$B$14,2,FALSE)</f>
        <v>#N/A</v>
      </c>
      <c r="J4666" s="84">
        <f t="shared" si="148"/>
        <v>0</v>
      </c>
      <c r="K4666" s="84">
        <f t="shared" si="149"/>
        <v>0</v>
      </c>
      <c r="L4666" s="61" t="e">
        <f>VLOOKUP(K4666,[1]Mapping!$J$3:$Q$351,8,FALSE)</f>
        <v>#N/A</v>
      </c>
      <c r="M4666" t="s">
        <v>83</v>
      </c>
    </row>
    <row r="4667" spans="5:13" hidden="1" x14ac:dyDescent="0.35">
      <c r="E4667" s="81"/>
      <c r="I4667" s="83" t="e">
        <f>VLOOKUP(E4667,[1]Mapping!$A$3:$B$14,2,FALSE)</f>
        <v>#N/A</v>
      </c>
      <c r="J4667" s="84">
        <f t="shared" si="148"/>
        <v>0</v>
      </c>
      <c r="K4667" s="84">
        <f t="shared" si="149"/>
        <v>0</v>
      </c>
      <c r="L4667" s="61" t="e">
        <f>VLOOKUP(K4667,[1]Mapping!$J$3:$Q$351,8,FALSE)</f>
        <v>#N/A</v>
      </c>
      <c r="M4667" t="s">
        <v>83</v>
      </c>
    </row>
    <row r="4668" spans="5:13" hidden="1" x14ac:dyDescent="0.35">
      <c r="E4668" s="81"/>
      <c r="I4668" s="83" t="e">
        <f>VLOOKUP(E4668,[1]Mapping!$A$3:$B$14,2,FALSE)</f>
        <v>#N/A</v>
      </c>
      <c r="J4668" s="84">
        <f t="shared" si="148"/>
        <v>0</v>
      </c>
      <c r="K4668" s="84">
        <f t="shared" si="149"/>
        <v>0</v>
      </c>
      <c r="L4668" s="61" t="e">
        <f>VLOOKUP(K4668,[1]Mapping!$J$3:$Q$351,8,FALSE)</f>
        <v>#N/A</v>
      </c>
      <c r="M4668" t="s">
        <v>83</v>
      </c>
    </row>
    <row r="4669" spans="5:13" hidden="1" x14ac:dyDescent="0.35">
      <c r="E4669" s="81"/>
      <c r="I4669" s="83" t="e">
        <f>VLOOKUP(E4669,[1]Mapping!$A$3:$B$14,2,FALSE)</f>
        <v>#N/A</v>
      </c>
      <c r="J4669" s="84">
        <f t="shared" si="148"/>
        <v>0</v>
      </c>
      <c r="K4669" s="84">
        <f t="shared" si="149"/>
        <v>0</v>
      </c>
      <c r="L4669" s="61" t="e">
        <f>VLOOKUP(K4669,[1]Mapping!$J$3:$Q$351,8,FALSE)</f>
        <v>#N/A</v>
      </c>
      <c r="M4669" t="s">
        <v>83</v>
      </c>
    </row>
    <row r="4670" spans="5:13" hidden="1" x14ac:dyDescent="0.35">
      <c r="E4670" s="81"/>
      <c r="I4670" s="83" t="e">
        <f>VLOOKUP(E4670,[1]Mapping!$A$3:$B$14,2,FALSE)</f>
        <v>#N/A</v>
      </c>
      <c r="J4670" s="84">
        <f t="shared" si="148"/>
        <v>0</v>
      </c>
      <c r="K4670" s="84">
        <f t="shared" si="149"/>
        <v>0</v>
      </c>
      <c r="L4670" s="61" t="e">
        <f>VLOOKUP(K4670,[1]Mapping!$J$3:$Q$351,8,FALSE)</f>
        <v>#N/A</v>
      </c>
      <c r="M4670" t="s">
        <v>83</v>
      </c>
    </row>
    <row r="4671" spans="5:13" hidden="1" x14ac:dyDescent="0.35">
      <c r="E4671" s="81"/>
      <c r="I4671" s="83" t="e">
        <f>VLOOKUP(E4671,[1]Mapping!$A$3:$B$14,2,FALSE)</f>
        <v>#N/A</v>
      </c>
      <c r="J4671" s="84">
        <f t="shared" si="148"/>
        <v>0</v>
      </c>
      <c r="K4671" s="84">
        <f t="shared" si="149"/>
        <v>0</v>
      </c>
      <c r="L4671" s="61" t="e">
        <f>VLOOKUP(K4671,[1]Mapping!$J$3:$Q$351,8,FALSE)</f>
        <v>#N/A</v>
      </c>
      <c r="M4671" t="s">
        <v>83</v>
      </c>
    </row>
    <row r="4672" spans="5:13" hidden="1" x14ac:dyDescent="0.35">
      <c r="E4672" s="81"/>
      <c r="I4672" s="83" t="e">
        <f>VLOOKUP(E4672,[1]Mapping!$A$3:$B$14,2,FALSE)</f>
        <v>#N/A</v>
      </c>
      <c r="J4672" s="84">
        <f t="shared" si="148"/>
        <v>0</v>
      </c>
      <c r="K4672" s="84">
        <f t="shared" si="149"/>
        <v>0</v>
      </c>
      <c r="L4672" s="61" t="e">
        <f>VLOOKUP(K4672,[1]Mapping!$J$3:$Q$351,8,FALSE)</f>
        <v>#N/A</v>
      </c>
      <c r="M4672" t="s">
        <v>83</v>
      </c>
    </row>
    <row r="4673" spans="5:13" hidden="1" x14ac:dyDescent="0.35">
      <c r="E4673" s="81"/>
      <c r="I4673" s="83" t="e">
        <f>VLOOKUP(E4673,[1]Mapping!$A$3:$B$14,2,FALSE)</f>
        <v>#N/A</v>
      </c>
      <c r="J4673" s="84">
        <f t="shared" si="148"/>
        <v>0</v>
      </c>
      <c r="K4673" s="84">
        <f t="shared" si="149"/>
        <v>0</v>
      </c>
      <c r="L4673" s="61" t="e">
        <f>VLOOKUP(K4673,[1]Mapping!$J$3:$Q$351,8,FALSE)</f>
        <v>#N/A</v>
      </c>
      <c r="M4673" t="s">
        <v>83</v>
      </c>
    </row>
    <row r="4674" spans="5:13" hidden="1" x14ac:dyDescent="0.35">
      <c r="E4674" s="81"/>
      <c r="I4674" s="83" t="e">
        <f>VLOOKUP(E4674,[1]Mapping!$A$3:$B$14,2,FALSE)</f>
        <v>#N/A</v>
      </c>
      <c r="J4674" s="84">
        <f t="shared" si="148"/>
        <v>0</v>
      </c>
      <c r="K4674" s="84">
        <f t="shared" si="149"/>
        <v>0</v>
      </c>
      <c r="L4674" s="61" t="e">
        <f>VLOOKUP(K4674,[1]Mapping!$J$3:$Q$351,8,FALSE)</f>
        <v>#N/A</v>
      </c>
      <c r="M4674" t="s">
        <v>83</v>
      </c>
    </row>
    <row r="4675" spans="5:13" hidden="1" x14ac:dyDescent="0.35">
      <c r="E4675" s="81"/>
      <c r="I4675" s="83" t="e">
        <f>VLOOKUP(E4675,[1]Mapping!$A$3:$B$14,2,FALSE)</f>
        <v>#N/A</v>
      </c>
      <c r="J4675" s="84">
        <f t="shared" si="148"/>
        <v>0</v>
      </c>
      <c r="K4675" s="84">
        <f t="shared" si="149"/>
        <v>0</v>
      </c>
      <c r="L4675" s="61" t="e">
        <f>VLOOKUP(K4675,[1]Mapping!$J$3:$Q$351,8,FALSE)</f>
        <v>#N/A</v>
      </c>
      <c r="M4675" t="s">
        <v>83</v>
      </c>
    </row>
    <row r="4676" spans="5:13" hidden="1" x14ac:dyDescent="0.35">
      <c r="E4676" s="81"/>
      <c r="I4676" s="83" t="e">
        <f>VLOOKUP(E4676,[1]Mapping!$A$3:$B$14,2,FALSE)</f>
        <v>#N/A</v>
      </c>
      <c r="J4676" s="84">
        <f t="shared" si="148"/>
        <v>0</v>
      </c>
      <c r="K4676" s="84">
        <f t="shared" si="149"/>
        <v>0</v>
      </c>
      <c r="L4676" s="61" t="e">
        <f>VLOOKUP(K4676,[1]Mapping!$J$3:$Q$351,8,FALSE)</f>
        <v>#N/A</v>
      </c>
      <c r="M4676" t="s">
        <v>83</v>
      </c>
    </row>
    <row r="4677" spans="5:13" hidden="1" x14ac:dyDescent="0.35">
      <c r="E4677" s="81"/>
      <c r="I4677" s="83" t="e">
        <f>VLOOKUP(E4677,[1]Mapping!$A$3:$B$14,2,FALSE)</f>
        <v>#N/A</v>
      </c>
      <c r="J4677" s="84">
        <f t="shared" si="148"/>
        <v>0</v>
      </c>
      <c r="K4677" s="84">
        <f t="shared" si="149"/>
        <v>0</v>
      </c>
      <c r="L4677" s="61" t="e">
        <f>VLOOKUP(K4677,[1]Mapping!$J$3:$Q$351,8,FALSE)</f>
        <v>#N/A</v>
      </c>
      <c r="M4677" t="s">
        <v>83</v>
      </c>
    </row>
    <row r="4678" spans="5:13" hidden="1" x14ac:dyDescent="0.35">
      <c r="E4678" s="81"/>
      <c r="I4678" s="83" t="e">
        <f>VLOOKUP(E4678,[1]Mapping!$A$3:$B$14,2,FALSE)</f>
        <v>#N/A</v>
      </c>
      <c r="J4678" s="84">
        <f t="shared" si="148"/>
        <v>0</v>
      </c>
      <c r="K4678" s="84">
        <f t="shared" si="149"/>
        <v>0</v>
      </c>
      <c r="L4678" s="61" t="e">
        <f>VLOOKUP(K4678,[1]Mapping!$J$3:$Q$351,8,FALSE)</f>
        <v>#N/A</v>
      </c>
      <c r="M4678" t="s">
        <v>83</v>
      </c>
    </row>
    <row r="4679" spans="5:13" hidden="1" x14ac:dyDescent="0.35">
      <c r="E4679" s="81"/>
      <c r="I4679" s="83" t="e">
        <f>VLOOKUP(E4679,[1]Mapping!$A$3:$B$14,2,FALSE)</f>
        <v>#N/A</v>
      </c>
      <c r="J4679" s="84">
        <f t="shared" si="148"/>
        <v>0</v>
      </c>
      <c r="K4679" s="84">
        <f t="shared" si="149"/>
        <v>0</v>
      </c>
      <c r="L4679" s="61" t="e">
        <f>VLOOKUP(K4679,[1]Mapping!$J$3:$Q$351,8,FALSE)</f>
        <v>#N/A</v>
      </c>
      <c r="M4679" t="s">
        <v>83</v>
      </c>
    </row>
    <row r="4680" spans="5:13" hidden="1" x14ac:dyDescent="0.35">
      <c r="E4680" s="81"/>
      <c r="I4680" s="83" t="e">
        <f>VLOOKUP(E4680,[1]Mapping!$A$3:$B$14,2,FALSE)</f>
        <v>#N/A</v>
      </c>
      <c r="J4680" s="84">
        <f t="shared" si="148"/>
        <v>0</v>
      </c>
      <c r="K4680" s="84">
        <f t="shared" si="149"/>
        <v>0</v>
      </c>
      <c r="L4680" s="61" t="e">
        <f>VLOOKUP(K4680,[1]Mapping!$J$3:$Q$351,8,FALSE)</f>
        <v>#N/A</v>
      </c>
      <c r="M4680" t="s">
        <v>83</v>
      </c>
    </row>
    <row r="4681" spans="5:13" hidden="1" x14ac:dyDescent="0.35">
      <c r="E4681" s="81"/>
      <c r="I4681" s="83" t="e">
        <f>VLOOKUP(E4681,[1]Mapping!$A$3:$B$14,2,FALSE)</f>
        <v>#N/A</v>
      </c>
      <c r="J4681" s="84">
        <f t="shared" si="148"/>
        <v>0</v>
      </c>
      <c r="K4681" s="84">
        <f t="shared" si="149"/>
        <v>0</v>
      </c>
      <c r="L4681" s="61" t="e">
        <f>VLOOKUP(K4681,[1]Mapping!$J$3:$Q$351,8,FALSE)</f>
        <v>#N/A</v>
      </c>
      <c r="M4681" t="s">
        <v>83</v>
      </c>
    </row>
    <row r="4682" spans="5:13" hidden="1" x14ac:dyDescent="0.35">
      <c r="E4682" s="81"/>
      <c r="I4682" s="83" t="e">
        <f>VLOOKUP(E4682,[1]Mapping!$A$3:$B$14,2,FALSE)</f>
        <v>#N/A</v>
      </c>
      <c r="J4682" s="84">
        <f t="shared" si="148"/>
        <v>0</v>
      </c>
      <c r="K4682" s="84">
        <f t="shared" si="149"/>
        <v>0</v>
      </c>
      <c r="L4682" s="61" t="e">
        <f>VLOOKUP(K4682,[1]Mapping!$J$3:$Q$351,8,FALSE)</f>
        <v>#N/A</v>
      </c>
      <c r="M4682" t="s">
        <v>83</v>
      </c>
    </row>
    <row r="4683" spans="5:13" hidden="1" x14ac:dyDescent="0.35">
      <c r="E4683" s="81"/>
      <c r="I4683" s="83" t="e">
        <f>VLOOKUP(E4683,[1]Mapping!$A$3:$B$14,2,FALSE)</f>
        <v>#N/A</v>
      </c>
      <c r="J4683" s="84">
        <f t="shared" si="148"/>
        <v>0</v>
      </c>
      <c r="K4683" s="84">
        <f t="shared" si="149"/>
        <v>0</v>
      </c>
      <c r="L4683" s="61" t="e">
        <f>VLOOKUP(K4683,[1]Mapping!$J$3:$Q$351,8,FALSE)</f>
        <v>#N/A</v>
      </c>
      <c r="M4683" t="s">
        <v>83</v>
      </c>
    </row>
    <row r="4684" spans="5:13" hidden="1" x14ac:dyDescent="0.35">
      <c r="E4684" s="81"/>
      <c r="I4684" s="83" t="e">
        <f>VLOOKUP(E4684,[1]Mapping!$A$3:$B$14,2,FALSE)</f>
        <v>#N/A</v>
      </c>
      <c r="J4684" s="84">
        <f t="shared" si="148"/>
        <v>0</v>
      </c>
      <c r="K4684" s="84">
        <f t="shared" si="149"/>
        <v>0</v>
      </c>
      <c r="L4684" s="61" t="e">
        <f>VLOOKUP(K4684,[1]Mapping!$J$3:$Q$351,8,FALSE)</f>
        <v>#N/A</v>
      </c>
      <c r="M4684" t="s">
        <v>83</v>
      </c>
    </row>
    <row r="4685" spans="5:13" hidden="1" x14ac:dyDescent="0.35">
      <c r="E4685" s="81"/>
      <c r="I4685" s="83" t="e">
        <f>VLOOKUP(E4685,[1]Mapping!$A$3:$B$14,2,FALSE)</f>
        <v>#N/A</v>
      </c>
      <c r="J4685" s="84">
        <f t="shared" si="148"/>
        <v>0</v>
      </c>
      <c r="K4685" s="84">
        <f t="shared" si="149"/>
        <v>0</v>
      </c>
      <c r="L4685" s="61" t="e">
        <f>VLOOKUP(K4685,[1]Mapping!$J$3:$Q$351,8,FALSE)</f>
        <v>#N/A</v>
      </c>
      <c r="M4685" t="s">
        <v>83</v>
      </c>
    </row>
    <row r="4686" spans="5:13" hidden="1" x14ac:dyDescent="0.35">
      <c r="E4686" s="81"/>
      <c r="I4686" s="83" t="e">
        <f>VLOOKUP(E4686,[1]Mapping!$A$3:$B$14,2,FALSE)</f>
        <v>#N/A</v>
      </c>
      <c r="J4686" s="84">
        <f t="shared" si="148"/>
        <v>0</v>
      </c>
      <c r="K4686" s="84">
        <f t="shared" si="149"/>
        <v>0</v>
      </c>
      <c r="L4686" s="61" t="e">
        <f>VLOOKUP(K4686,[1]Mapping!$J$3:$Q$351,8,FALSE)</f>
        <v>#N/A</v>
      </c>
      <c r="M4686" t="s">
        <v>83</v>
      </c>
    </row>
    <row r="4687" spans="5:13" hidden="1" x14ac:dyDescent="0.35">
      <c r="E4687" s="81"/>
      <c r="I4687" s="83" t="e">
        <f>VLOOKUP(E4687,[1]Mapping!$A$3:$B$14,2,FALSE)</f>
        <v>#N/A</v>
      </c>
      <c r="J4687" s="84">
        <f t="shared" si="148"/>
        <v>0</v>
      </c>
      <c r="K4687" s="84">
        <f t="shared" si="149"/>
        <v>0</v>
      </c>
      <c r="L4687" s="61" t="e">
        <f>VLOOKUP(K4687,[1]Mapping!$J$3:$Q$351,8,FALSE)</f>
        <v>#N/A</v>
      </c>
      <c r="M4687" t="s">
        <v>83</v>
      </c>
    </row>
    <row r="4688" spans="5:13" hidden="1" x14ac:dyDescent="0.35">
      <c r="E4688" s="81"/>
      <c r="I4688" s="83" t="e">
        <f>VLOOKUP(E4688,[1]Mapping!$A$3:$B$14,2,FALSE)</f>
        <v>#N/A</v>
      </c>
      <c r="J4688" s="84">
        <f t="shared" ref="J4688:J4751" si="150">VALUE(A4688)</f>
        <v>0</v>
      </c>
      <c r="K4688" s="84">
        <f t="shared" ref="K4688:K4751" si="151">VALUE(C4688)</f>
        <v>0</v>
      </c>
      <c r="L4688" s="61" t="e">
        <f>VLOOKUP(K4688,[1]Mapping!$J$3:$Q$351,8,FALSE)</f>
        <v>#N/A</v>
      </c>
      <c r="M4688" t="s">
        <v>83</v>
      </c>
    </row>
    <row r="4689" spans="5:13" hidden="1" x14ac:dyDescent="0.35">
      <c r="E4689" s="81"/>
      <c r="I4689" s="83" t="e">
        <f>VLOOKUP(E4689,[1]Mapping!$A$3:$B$14,2,FALSE)</f>
        <v>#N/A</v>
      </c>
      <c r="J4689" s="84">
        <f t="shared" si="150"/>
        <v>0</v>
      </c>
      <c r="K4689" s="84">
        <f t="shared" si="151"/>
        <v>0</v>
      </c>
      <c r="L4689" s="61" t="e">
        <f>VLOOKUP(K4689,[1]Mapping!$J$3:$Q$351,8,FALSE)</f>
        <v>#N/A</v>
      </c>
      <c r="M4689" t="s">
        <v>83</v>
      </c>
    </row>
    <row r="4690" spans="5:13" hidden="1" x14ac:dyDescent="0.35">
      <c r="E4690" s="81"/>
      <c r="I4690" s="83" t="e">
        <f>VLOOKUP(E4690,[1]Mapping!$A$3:$B$14,2,FALSE)</f>
        <v>#N/A</v>
      </c>
      <c r="J4690" s="84">
        <f t="shared" si="150"/>
        <v>0</v>
      </c>
      <c r="K4690" s="84">
        <f t="shared" si="151"/>
        <v>0</v>
      </c>
      <c r="L4690" s="61" t="e">
        <f>VLOOKUP(K4690,[1]Mapping!$J$3:$Q$351,8,FALSE)</f>
        <v>#N/A</v>
      </c>
      <c r="M4690" t="s">
        <v>83</v>
      </c>
    </row>
    <row r="4691" spans="5:13" hidden="1" x14ac:dyDescent="0.35">
      <c r="E4691" s="81"/>
      <c r="I4691" s="83" t="e">
        <f>VLOOKUP(E4691,[1]Mapping!$A$3:$B$14,2,FALSE)</f>
        <v>#N/A</v>
      </c>
      <c r="J4691" s="84">
        <f t="shared" si="150"/>
        <v>0</v>
      </c>
      <c r="K4691" s="84">
        <f t="shared" si="151"/>
        <v>0</v>
      </c>
      <c r="L4691" s="61" t="e">
        <f>VLOOKUP(K4691,[1]Mapping!$J$3:$Q$351,8,FALSE)</f>
        <v>#N/A</v>
      </c>
      <c r="M4691" t="s">
        <v>83</v>
      </c>
    </row>
    <row r="4692" spans="5:13" hidden="1" x14ac:dyDescent="0.35">
      <c r="E4692" s="81"/>
      <c r="I4692" s="83" t="e">
        <f>VLOOKUP(E4692,[1]Mapping!$A$3:$B$14,2,FALSE)</f>
        <v>#N/A</v>
      </c>
      <c r="J4692" s="84">
        <f t="shared" si="150"/>
        <v>0</v>
      </c>
      <c r="K4692" s="84">
        <f t="shared" si="151"/>
        <v>0</v>
      </c>
      <c r="L4692" s="61" t="e">
        <f>VLOOKUP(K4692,[1]Mapping!$J$3:$Q$351,8,FALSE)</f>
        <v>#N/A</v>
      </c>
      <c r="M4692" t="s">
        <v>83</v>
      </c>
    </row>
    <row r="4693" spans="5:13" hidden="1" x14ac:dyDescent="0.35">
      <c r="E4693" s="81"/>
      <c r="I4693" s="83" t="e">
        <f>VLOOKUP(E4693,[1]Mapping!$A$3:$B$14,2,FALSE)</f>
        <v>#N/A</v>
      </c>
      <c r="J4693" s="84">
        <f t="shared" si="150"/>
        <v>0</v>
      </c>
      <c r="K4693" s="84">
        <f t="shared" si="151"/>
        <v>0</v>
      </c>
      <c r="L4693" s="61" t="e">
        <f>VLOOKUP(K4693,[1]Mapping!$J$3:$Q$351,8,FALSE)</f>
        <v>#N/A</v>
      </c>
      <c r="M4693" t="s">
        <v>83</v>
      </c>
    </row>
    <row r="4694" spans="5:13" hidden="1" x14ac:dyDescent="0.35">
      <c r="E4694" s="81"/>
      <c r="I4694" s="83" t="e">
        <f>VLOOKUP(E4694,[1]Mapping!$A$3:$B$14,2,FALSE)</f>
        <v>#N/A</v>
      </c>
      <c r="J4694" s="84">
        <f t="shared" si="150"/>
        <v>0</v>
      </c>
      <c r="K4694" s="84">
        <f t="shared" si="151"/>
        <v>0</v>
      </c>
      <c r="L4694" s="61" t="e">
        <f>VLOOKUP(K4694,[1]Mapping!$J$3:$Q$351,8,FALSE)</f>
        <v>#N/A</v>
      </c>
      <c r="M4694" t="s">
        <v>83</v>
      </c>
    </row>
    <row r="4695" spans="5:13" hidden="1" x14ac:dyDescent="0.35">
      <c r="E4695" s="81"/>
      <c r="I4695" s="83" t="e">
        <f>VLOOKUP(E4695,[1]Mapping!$A$3:$B$14,2,FALSE)</f>
        <v>#N/A</v>
      </c>
      <c r="J4695" s="84">
        <f t="shared" si="150"/>
        <v>0</v>
      </c>
      <c r="K4695" s="84">
        <f t="shared" si="151"/>
        <v>0</v>
      </c>
      <c r="L4695" s="61" t="e">
        <f>VLOOKUP(K4695,[1]Mapping!$J$3:$Q$351,8,FALSE)</f>
        <v>#N/A</v>
      </c>
      <c r="M4695" t="s">
        <v>83</v>
      </c>
    </row>
    <row r="4696" spans="5:13" hidden="1" x14ac:dyDescent="0.35">
      <c r="E4696" s="81"/>
      <c r="I4696" s="83" t="e">
        <f>VLOOKUP(E4696,[1]Mapping!$A$3:$B$14,2,FALSE)</f>
        <v>#N/A</v>
      </c>
      <c r="J4696" s="84">
        <f t="shared" si="150"/>
        <v>0</v>
      </c>
      <c r="K4696" s="84">
        <f t="shared" si="151"/>
        <v>0</v>
      </c>
      <c r="L4696" s="61" t="e">
        <f>VLOOKUP(K4696,[1]Mapping!$J$3:$Q$351,8,FALSE)</f>
        <v>#N/A</v>
      </c>
      <c r="M4696" t="s">
        <v>83</v>
      </c>
    </row>
    <row r="4697" spans="5:13" hidden="1" x14ac:dyDescent="0.35">
      <c r="E4697" s="81"/>
      <c r="I4697" s="83" t="e">
        <f>VLOOKUP(E4697,[1]Mapping!$A$3:$B$14,2,FALSE)</f>
        <v>#N/A</v>
      </c>
      <c r="J4697" s="84">
        <f t="shared" si="150"/>
        <v>0</v>
      </c>
      <c r="K4697" s="84">
        <f t="shared" si="151"/>
        <v>0</v>
      </c>
      <c r="L4697" s="61" t="e">
        <f>VLOOKUP(K4697,[1]Mapping!$J$3:$Q$351,8,FALSE)</f>
        <v>#N/A</v>
      </c>
      <c r="M4697" t="s">
        <v>83</v>
      </c>
    </row>
    <row r="4698" spans="5:13" hidden="1" x14ac:dyDescent="0.35">
      <c r="E4698" s="81"/>
      <c r="I4698" s="83" t="e">
        <f>VLOOKUP(E4698,[1]Mapping!$A$3:$B$14,2,FALSE)</f>
        <v>#N/A</v>
      </c>
      <c r="J4698" s="84">
        <f t="shared" si="150"/>
        <v>0</v>
      </c>
      <c r="K4698" s="84">
        <f t="shared" si="151"/>
        <v>0</v>
      </c>
      <c r="L4698" s="61" t="e">
        <f>VLOOKUP(K4698,[1]Mapping!$J$3:$Q$351,8,FALSE)</f>
        <v>#N/A</v>
      </c>
      <c r="M4698" t="s">
        <v>83</v>
      </c>
    </row>
    <row r="4699" spans="5:13" hidden="1" x14ac:dyDescent="0.35">
      <c r="E4699" s="81"/>
      <c r="I4699" s="83" t="e">
        <f>VLOOKUP(E4699,[1]Mapping!$A$3:$B$14,2,FALSE)</f>
        <v>#N/A</v>
      </c>
      <c r="J4699" s="84">
        <f t="shared" si="150"/>
        <v>0</v>
      </c>
      <c r="K4699" s="84">
        <f t="shared" si="151"/>
        <v>0</v>
      </c>
      <c r="L4699" s="61" t="e">
        <f>VLOOKUP(K4699,[1]Mapping!$J$3:$Q$351,8,FALSE)</f>
        <v>#N/A</v>
      </c>
      <c r="M4699" t="s">
        <v>83</v>
      </c>
    </row>
    <row r="4700" spans="5:13" hidden="1" x14ac:dyDescent="0.35">
      <c r="E4700" s="81"/>
      <c r="I4700" s="83" t="e">
        <f>VLOOKUP(E4700,[1]Mapping!$A$3:$B$14,2,FALSE)</f>
        <v>#N/A</v>
      </c>
      <c r="J4700" s="84">
        <f t="shared" si="150"/>
        <v>0</v>
      </c>
      <c r="K4700" s="84">
        <f t="shared" si="151"/>
        <v>0</v>
      </c>
      <c r="L4700" s="61" t="e">
        <f>VLOOKUP(K4700,[1]Mapping!$J$3:$Q$351,8,FALSE)</f>
        <v>#N/A</v>
      </c>
      <c r="M4700" t="s">
        <v>83</v>
      </c>
    </row>
    <row r="4701" spans="5:13" hidden="1" x14ac:dyDescent="0.35">
      <c r="E4701" s="81"/>
      <c r="I4701" s="83" t="e">
        <f>VLOOKUP(E4701,[1]Mapping!$A$3:$B$14,2,FALSE)</f>
        <v>#N/A</v>
      </c>
      <c r="J4701" s="84">
        <f t="shared" si="150"/>
        <v>0</v>
      </c>
      <c r="K4701" s="84">
        <f t="shared" si="151"/>
        <v>0</v>
      </c>
      <c r="L4701" s="61" t="e">
        <f>VLOOKUP(K4701,[1]Mapping!$J$3:$Q$351,8,FALSE)</f>
        <v>#N/A</v>
      </c>
      <c r="M4701" t="s">
        <v>83</v>
      </c>
    </row>
    <row r="4702" spans="5:13" hidden="1" x14ac:dyDescent="0.35">
      <c r="E4702" s="81"/>
      <c r="I4702" s="83" t="e">
        <f>VLOOKUP(E4702,[1]Mapping!$A$3:$B$14,2,FALSE)</f>
        <v>#N/A</v>
      </c>
      <c r="J4702" s="84">
        <f t="shared" si="150"/>
        <v>0</v>
      </c>
      <c r="K4702" s="84">
        <f t="shared" si="151"/>
        <v>0</v>
      </c>
      <c r="L4702" s="61" t="e">
        <f>VLOOKUP(K4702,[1]Mapping!$J$3:$Q$351,8,FALSE)</f>
        <v>#N/A</v>
      </c>
      <c r="M4702" t="s">
        <v>83</v>
      </c>
    </row>
    <row r="4703" spans="5:13" hidden="1" x14ac:dyDescent="0.35">
      <c r="E4703" s="81"/>
      <c r="I4703" s="83" t="e">
        <f>VLOOKUP(E4703,[1]Mapping!$A$3:$B$14,2,FALSE)</f>
        <v>#N/A</v>
      </c>
      <c r="J4703" s="84">
        <f t="shared" si="150"/>
        <v>0</v>
      </c>
      <c r="K4703" s="84">
        <f t="shared" si="151"/>
        <v>0</v>
      </c>
      <c r="L4703" s="61" t="e">
        <f>VLOOKUP(K4703,[1]Mapping!$J$3:$Q$351,8,FALSE)</f>
        <v>#N/A</v>
      </c>
      <c r="M4703" t="s">
        <v>83</v>
      </c>
    </row>
    <row r="4704" spans="5:13" hidden="1" x14ac:dyDescent="0.35">
      <c r="E4704" s="81"/>
      <c r="I4704" s="83" t="e">
        <f>VLOOKUP(E4704,[1]Mapping!$A$3:$B$14,2,FALSE)</f>
        <v>#N/A</v>
      </c>
      <c r="J4704" s="84">
        <f t="shared" si="150"/>
        <v>0</v>
      </c>
      <c r="K4704" s="84">
        <f t="shared" si="151"/>
        <v>0</v>
      </c>
      <c r="L4704" s="61" t="e">
        <f>VLOOKUP(K4704,[1]Mapping!$J$3:$Q$351,8,FALSE)</f>
        <v>#N/A</v>
      </c>
      <c r="M4704" t="s">
        <v>83</v>
      </c>
    </row>
    <row r="4705" spans="5:13" hidden="1" x14ac:dyDescent="0.35">
      <c r="E4705" s="81"/>
      <c r="I4705" s="83" t="e">
        <f>VLOOKUP(E4705,[1]Mapping!$A$3:$B$14,2,FALSE)</f>
        <v>#N/A</v>
      </c>
      <c r="J4705" s="84">
        <f t="shared" si="150"/>
        <v>0</v>
      </c>
      <c r="K4705" s="84">
        <f t="shared" si="151"/>
        <v>0</v>
      </c>
      <c r="L4705" s="61" t="e">
        <f>VLOOKUP(K4705,[1]Mapping!$J$3:$Q$351,8,FALSE)</f>
        <v>#N/A</v>
      </c>
      <c r="M4705" t="s">
        <v>83</v>
      </c>
    </row>
    <row r="4706" spans="5:13" hidden="1" x14ac:dyDescent="0.35">
      <c r="E4706" s="81"/>
      <c r="I4706" s="83" t="e">
        <f>VLOOKUP(E4706,[1]Mapping!$A$3:$B$14,2,FALSE)</f>
        <v>#N/A</v>
      </c>
      <c r="J4706" s="84">
        <f t="shared" si="150"/>
        <v>0</v>
      </c>
      <c r="K4706" s="84">
        <f t="shared" si="151"/>
        <v>0</v>
      </c>
      <c r="L4706" s="61" t="e">
        <f>VLOOKUP(K4706,[1]Mapping!$J$3:$Q$351,8,FALSE)</f>
        <v>#N/A</v>
      </c>
      <c r="M4706" t="s">
        <v>83</v>
      </c>
    </row>
    <row r="4707" spans="5:13" hidden="1" x14ac:dyDescent="0.35">
      <c r="E4707" s="81"/>
      <c r="I4707" s="83" t="e">
        <f>VLOOKUP(E4707,[1]Mapping!$A$3:$B$14,2,FALSE)</f>
        <v>#N/A</v>
      </c>
      <c r="J4707" s="84">
        <f t="shared" si="150"/>
        <v>0</v>
      </c>
      <c r="K4707" s="84">
        <f t="shared" si="151"/>
        <v>0</v>
      </c>
      <c r="L4707" s="61" t="e">
        <f>VLOOKUP(K4707,[1]Mapping!$J$3:$Q$351,8,FALSE)</f>
        <v>#N/A</v>
      </c>
      <c r="M4707" t="s">
        <v>83</v>
      </c>
    </row>
    <row r="4708" spans="5:13" hidden="1" x14ac:dyDescent="0.35">
      <c r="E4708" s="81"/>
      <c r="I4708" s="83" t="e">
        <f>VLOOKUP(E4708,[1]Mapping!$A$3:$B$14,2,FALSE)</f>
        <v>#N/A</v>
      </c>
      <c r="J4708" s="84">
        <f t="shared" si="150"/>
        <v>0</v>
      </c>
      <c r="K4708" s="84">
        <f t="shared" si="151"/>
        <v>0</v>
      </c>
      <c r="L4708" s="61" t="e">
        <f>VLOOKUP(K4708,[1]Mapping!$J$3:$Q$351,8,FALSE)</f>
        <v>#N/A</v>
      </c>
      <c r="M4708" t="s">
        <v>83</v>
      </c>
    </row>
    <row r="4709" spans="5:13" hidden="1" x14ac:dyDescent="0.35">
      <c r="E4709" s="81"/>
      <c r="I4709" s="83" t="e">
        <f>VLOOKUP(E4709,[1]Mapping!$A$3:$B$14,2,FALSE)</f>
        <v>#N/A</v>
      </c>
      <c r="J4709" s="84">
        <f t="shared" si="150"/>
        <v>0</v>
      </c>
      <c r="K4709" s="84">
        <f t="shared" si="151"/>
        <v>0</v>
      </c>
      <c r="L4709" s="61" t="e">
        <f>VLOOKUP(K4709,[1]Mapping!$J$3:$Q$351,8,FALSE)</f>
        <v>#N/A</v>
      </c>
      <c r="M4709" t="s">
        <v>83</v>
      </c>
    </row>
    <row r="4710" spans="5:13" hidden="1" x14ac:dyDescent="0.35">
      <c r="E4710" s="81"/>
      <c r="I4710" s="83" t="e">
        <f>VLOOKUP(E4710,[1]Mapping!$A$3:$B$14,2,FALSE)</f>
        <v>#N/A</v>
      </c>
      <c r="J4710" s="84">
        <f t="shared" si="150"/>
        <v>0</v>
      </c>
      <c r="K4710" s="84">
        <f t="shared" si="151"/>
        <v>0</v>
      </c>
      <c r="L4710" s="61" t="e">
        <f>VLOOKUP(K4710,[1]Mapping!$J$3:$Q$351,8,FALSE)</f>
        <v>#N/A</v>
      </c>
      <c r="M4710" t="s">
        <v>83</v>
      </c>
    </row>
    <row r="4711" spans="5:13" hidden="1" x14ac:dyDescent="0.35">
      <c r="E4711" s="81"/>
      <c r="I4711" s="83" t="e">
        <f>VLOOKUP(E4711,[1]Mapping!$A$3:$B$14,2,FALSE)</f>
        <v>#N/A</v>
      </c>
      <c r="J4711" s="84">
        <f t="shared" si="150"/>
        <v>0</v>
      </c>
      <c r="K4711" s="84">
        <f t="shared" si="151"/>
        <v>0</v>
      </c>
      <c r="L4711" s="61" t="e">
        <f>VLOOKUP(K4711,[1]Mapping!$J$3:$Q$351,8,FALSE)</f>
        <v>#N/A</v>
      </c>
      <c r="M4711" t="s">
        <v>83</v>
      </c>
    </row>
    <row r="4712" spans="5:13" hidden="1" x14ac:dyDescent="0.35">
      <c r="E4712" s="81"/>
      <c r="I4712" s="83" t="e">
        <f>VLOOKUP(E4712,[1]Mapping!$A$3:$B$14,2,FALSE)</f>
        <v>#N/A</v>
      </c>
      <c r="J4712" s="84">
        <f t="shared" si="150"/>
        <v>0</v>
      </c>
      <c r="K4712" s="84">
        <f t="shared" si="151"/>
        <v>0</v>
      </c>
      <c r="L4712" s="61" t="e">
        <f>VLOOKUP(K4712,[1]Mapping!$J$3:$Q$351,8,FALSE)</f>
        <v>#N/A</v>
      </c>
      <c r="M4712" t="s">
        <v>83</v>
      </c>
    </row>
    <row r="4713" spans="5:13" hidden="1" x14ac:dyDescent="0.35">
      <c r="E4713" s="81"/>
      <c r="I4713" s="83" t="e">
        <f>VLOOKUP(E4713,[1]Mapping!$A$3:$B$14,2,FALSE)</f>
        <v>#N/A</v>
      </c>
      <c r="J4713" s="84">
        <f t="shared" si="150"/>
        <v>0</v>
      </c>
      <c r="K4713" s="84">
        <f t="shared" si="151"/>
        <v>0</v>
      </c>
      <c r="L4713" s="61" t="e">
        <f>VLOOKUP(K4713,[1]Mapping!$J$3:$Q$351,8,FALSE)</f>
        <v>#N/A</v>
      </c>
      <c r="M4713" t="s">
        <v>83</v>
      </c>
    </row>
    <row r="4714" spans="5:13" hidden="1" x14ac:dyDescent="0.35">
      <c r="E4714" s="81"/>
      <c r="I4714" s="83" t="e">
        <f>VLOOKUP(E4714,[1]Mapping!$A$3:$B$14,2,FALSE)</f>
        <v>#N/A</v>
      </c>
      <c r="J4714" s="84">
        <f t="shared" si="150"/>
        <v>0</v>
      </c>
      <c r="K4714" s="84">
        <f t="shared" si="151"/>
        <v>0</v>
      </c>
      <c r="L4714" s="61" t="e">
        <f>VLOOKUP(K4714,[1]Mapping!$J$3:$Q$351,8,FALSE)</f>
        <v>#N/A</v>
      </c>
      <c r="M4714" t="s">
        <v>83</v>
      </c>
    </row>
    <row r="4715" spans="5:13" hidden="1" x14ac:dyDescent="0.35">
      <c r="E4715" s="81"/>
      <c r="I4715" s="83" t="e">
        <f>VLOOKUP(E4715,[1]Mapping!$A$3:$B$14,2,FALSE)</f>
        <v>#N/A</v>
      </c>
      <c r="J4715" s="84">
        <f t="shared" si="150"/>
        <v>0</v>
      </c>
      <c r="K4715" s="84">
        <f t="shared" si="151"/>
        <v>0</v>
      </c>
      <c r="L4715" s="61" t="e">
        <f>VLOOKUP(K4715,[1]Mapping!$J$3:$Q$351,8,FALSE)</f>
        <v>#N/A</v>
      </c>
      <c r="M4715" t="s">
        <v>83</v>
      </c>
    </row>
    <row r="4716" spans="5:13" hidden="1" x14ac:dyDescent="0.35">
      <c r="E4716" s="81"/>
      <c r="I4716" s="83" t="e">
        <f>VLOOKUP(E4716,[1]Mapping!$A$3:$B$14,2,FALSE)</f>
        <v>#N/A</v>
      </c>
      <c r="J4716" s="84">
        <f t="shared" si="150"/>
        <v>0</v>
      </c>
      <c r="K4716" s="84">
        <f t="shared" si="151"/>
        <v>0</v>
      </c>
      <c r="L4716" s="61" t="e">
        <f>VLOOKUP(K4716,[1]Mapping!$J$3:$Q$351,8,FALSE)</f>
        <v>#N/A</v>
      </c>
      <c r="M4716" t="s">
        <v>83</v>
      </c>
    </row>
    <row r="4717" spans="5:13" hidden="1" x14ac:dyDescent="0.35">
      <c r="E4717" s="81"/>
      <c r="I4717" s="83" t="e">
        <f>VLOOKUP(E4717,[1]Mapping!$A$3:$B$14,2,FALSE)</f>
        <v>#N/A</v>
      </c>
      <c r="J4717" s="84">
        <f t="shared" si="150"/>
        <v>0</v>
      </c>
      <c r="K4717" s="84">
        <f t="shared" si="151"/>
        <v>0</v>
      </c>
      <c r="L4717" s="61" t="e">
        <f>VLOOKUP(K4717,[1]Mapping!$J$3:$Q$351,8,FALSE)</f>
        <v>#N/A</v>
      </c>
      <c r="M4717" t="s">
        <v>83</v>
      </c>
    </row>
    <row r="4718" spans="5:13" hidden="1" x14ac:dyDescent="0.35">
      <c r="E4718" s="81"/>
      <c r="I4718" s="83" t="e">
        <f>VLOOKUP(E4718,[1]Mapping!$A$3:$B$14,2,FALSE)</f>
        <v>#N/A</v>
      </c>
      <c r="J4718" s="84">
        <f t="shared" si="150"/>
        <v>0</v>
      </c>
      <c r="K4718" s="84">
        <f t="shared" si="151"/>
        <v>0</v>
      </c>
      <c r="L4718" s="61" t="e">
        <f>VLOOKUP(K4718,[1]Mapping!$J$3:$Q$351,8,FALSE)</f>
        <v>#N/A</v>
      </c>
      <c r="M4718" t="s">
        <v>83</v>
      </c>
    </row>
    <row r="4719" spans="5:13" hidden="1" x14ac:dyDescent="0.35">
      <c r="E4719" s="81"/>
      <c r="I4719" s="83" t="e">
        <f>VLOOKUP(E4719,[1]Mapping!$A$3:$B$14,2,FALSE)</f>
        <v>#N/A</v>
      </c>
      <c r="J4719" s="84">
        <f t="shared" si="150"/>
        <v>0</v>
      </c>
      <c r="K4719" s="84">
        <f t="shared" si="151"/>
        <v>0</v>
      </c>
      <c r="L4719" s="61" t="e">
        <f>VLOOKUP(K4719,[1]Mapping!$J$3:$Q$351,8,FALSE)</f>
        <v>#N/A</v>
      </c>
      <c r="M4719" t="s">
        <v>83</v>
      </c>
    </row>
    <row r="4720" spans="5:13" hidden="1" x14ac:dyDescent="0.35">
      <c r="E4720" s="81"/>
      <c r="I4720" s="83" t="e">
        <f>VLOOKUP(E4720,[1]Mapping!$A$3:$B$14,2,FALSE)</f>
        <v>#N/A</v>
      </c>
      <c r="J4720" s="84">
        <f t="shared" si="150"/>
        <v>0</v>
      </c>
      <c r="K4720" s="84">
        <f t="shared" si="151"/>
        <v>0</v>
      </c>
      <c r="L4720" s="61" t="e">
        <f>VLOOKUP(K4720,[1]Mapping!$J$3:$Q$351,8,FALSE)</f>
        <v>#N/A</v>
      </c>
      <c r="M4720" t="s">
        <v>83</v>
      </c>
    </row>
    <row r="4721" spans="5:13" hidden="1" x14ac:dyDescent="0.35">
      <c r="E4721" s="81"/>
      <c r="I4721" s="83" t="e">
        <f>VLOOKUP(E4721,[1]Mapping!$A$3:$B$14,2,FALSE)</f>
        <v>#N/A</v>
      </c>
      <c r="J4721" s="84">
        <f t="shared" si="150"/>
        <v>0</v>
      </c>
      <c r="K4721" s="84">
        <f t="shared" si="151"/>
        <v>0</v>
      </c>
      <c r="L4721" s="61" t="e">
        <f>VLOOKUP(K4721,[1]Mapping!$J$3:$Q$351,8,FALSE)</f>
        <v>#N/A</v>
      </c>
      <c r="M4721" t="s">
        <v>83</v>
      </c>
    </row>
    <row r="4722" spans="5:13" hidden="1" x14ac:dyDescent="0.35">
      <c r="E4722" s="81"/>
      <c r="I4722" s="83" t="e">
        <f>VLOOKUP(E4722,[1]Mapping!$A$3:$B$14,2,FALSE)</f>
        <v>#N/A</v>
      </c>
      <c r="J4722" s="84">
        <f t="shared" si="150"/>
        <v>0</v>
      </c>
      <c r="K4722" s="84">
        <f t="shared" si="151"/>
        <v>0</v>
      </c>
      <c r="L4722" s="61" t="e">
        <f>VLOOKUP(K4722,[1]Mapping!$J$3:$Q$351,8,FALSE)</f>
        <v>#N/A</v>
      </c>
      <c r="M4722" t="s">
        <v>83</v>
      </c>
    </row>
    <row r="4723" spans="5:13" hidden="1" x14ac:dyDescent="0.35">
      <c r="E4723" s="81"/>
      <c r="I4723" s="83" t="e">
        <f>VLOOKUP(E4723,[1]Mapping!$A$3:$B$14,2,FALSE)</f>
        <v>#N/A</v>
      </c>
      <c r="J4723" s="84">
        <f t="shared" si="150"/>
        <v>0</v>
      </c>
      <c r="K4723" s="84">
        <f t="shared" si="151"/>
        <v>0</v>
      </c>
      <c r="L4723" s="61" t="e">
        <f>VLOOKUP(K4723,[1]Mapping!$J$3:$Q$351,8,FALSE)</f>
        <v>#N/A</v>
      </c>
      <c r="M4723" t="s">
        <v>83</v>
      </c>
    </row>
    <row r="4724" spans="5:13" hidden="1" x14ac:dyDescent="0.35">
      <c r="E4724" s="81"/>
      <c r="I4724" s="83" t="e">
        <f>VLOOKUP(E4724,[1]Mapping!$A$3:$B$14,2,FALSE)</f>
        <v>#N/A</v>
      </c>
      <c r="J4724" s="84">
        <f t="shared" si="150"/>
        <v>0</v>
      </c>
      <c r="K4724" s="84">
        <f t="shared" si="151"/>
        <v>0</v>
      </c>
      <c r="L4724" s="61" t="e">
        <f>VLOOKUP(K4724,[1]Mapping!$J$3:$Q$351,8,FALSE)</f>
        <v>#N/A</v>
      </c>
      <c r="M4724" t="s">
        <v>83</v>
      </c>
    </row>
    <row r="4725" spans="5:13" hidden="1" x14ac:dyDescent="0.35">
      <c r="E4725" s="81"/>
      <c r="I4725" s="83" t="e">
        <f>VLOOKUP(E4725,[1]Mapping!$A$3:$B$14,2,FALSE)</f>
        <v>#N/A</v>
      </c>
      <c r="J4725" s="84">
        <f t="shared" si="150"/>
        <v>0</v>
      </c>
      <c r="K4725" s="84">
        <f t="shared" si="151"/>
        <v>0</v>
      </c>
      <c r="L4725" s="61" t="e">
        <f>VLOOKUP(K4725,[1]Mapping!$J$3:$Q$351,8,FALSE)</f>
        <v>#N/A</v>
      </c>
      <c r="M4725" t="s">
        <v>83</v>
      </c>
    </row>
    <row r="4726" spans="5:13" hidden="1" x14ac:dyDescent="0.35">
      <c r="E4726" s="81"/>
      <c r="I4726" s="83" t="e">
        <f>VLOOKUP(E4726,[1]Mapping!$A$3:$B$14,2,FALSE)</f>
        <v>#N/A</v>
      </c>
      <c r="J4726" s="84">
        <f t="shared" si="150"/>
        <v>0</v>
      </c>
      <c r="K4726" s="84">
        <f t="shared" si="151"/>
        <v>0</v>
      </c>
      <c r="L4726" s="61" t="e">
        <f>VLOOKUP(K4726,[1]Mapping!$J$3:$Q$351,8,FALSE)</f>
        <v>#N/A</v>
      </c>
      <c r="M4726" t="s">
        <v>83</v>
      </c>
    </row>
    <row r="4727" spans="5:13" hidden="1" x14ac:dyDescent="0.35">
      <c r="E4727" s="81"/>
      <c r="I4727" s="83" t="e">
        <f>VLOOKUP(E4727,[1]Mapping!$A$3:$B$14,2,FALSE)</f>
        <v>#N/A</v>
      </c>
      <c r="J4727" s="84">
        <f t="shared" si="150"/>
        <v>0</v>
      </c>
      <c r="K4727" s="84">
        <f t="shared" si="151"/>
        <v>0</v>
      </c>
      <c r="L4727" s="61" t="e">
        <f>VLOOKUP(K4727,[1]Mapping!$J$3:$Q$351,8,FALSE)</f>
        <v>#N/A</v>
      </c>
      <c r="M4727" t="s">
        <v>83</v>
      </c>
    </row>
    <row r="4728" spans="5:13" hidden="1" x14ac:dyDescent="0.35">
      <c r="E4728" s="81"/>
      <c r="I4728" s="83" t="e">
        <f>VLOOKUP(E4728,[1]Mapping!$A$3:$B$14,2,FALSE)</f>
        <v>#N/A</v>
      </c>
      <c r="J4728" s="84">
        <f t="shared" si="150"/>
        <v>0</v>
      </c>
      <c r="K4728" s="84">
        <f t="shared" si="151"/>
        <v>0</v>
      </c>
      <c r="L4728" s="61" t="e">
        <f>VLOOKUP(K4728,[1]Mapping!$J$3:$Q$351,8,FALSE)</f>
        <v>#N/A</v>
      </c>
      <c r="M4728" t="s">
        <v>83</v>
      </c>
    </row>
    <row r="4729" spans="5:13" hidden="1" x14ac:dyDescent="0.35">
      <c r="E4729" s="81"/>
      <c r="I4729" s="83" t="e">
        <f>VLOOKUP(E4729,[1]Mapping!$A$3:$B$14,2,FALSE)</f>
        <v>#N/A</v>
      </c>
      <c r="J4729" s="84">
        <f t="shared" si="150"/>
        <v>0</v>
      </c>
      <c r="K4729" s="84">
        <f t="shared" si="151"/>
        <v>0</v>
      </c>
      <c r="L4729" s="61" t="e">
        <f>VLOOKUP(K4729,[1]Mapping!$J$3:$Q$351,8,FALSE)</f>
        <v>#N/A</v>
      </c>
      <c r="M4729" t="s">
        <v>83</v>
      </c>
    </row>
    <row r="4730" spans="5:13" hidden="1" x14ac:dyDescent="0.35">
      <c r="E4730" s="81"/>
      <c r="I4730" s="83" t="e">
        <f>VLOOKUP(E4730,[1]Mapping!$A$3:$B$14,2,FALSE)</f>
        <v>#N/A</v>
      </c>
      <c r="J4730" s="84">
        <f t="shared" si="150"/>
        <v>0</v>
      </c>
      <c r="K4730" s="84">
        <f t="shared" si="151"/>
        <v>0</v>
      </c>
      <c r="L4730" s="61" t="e">
        <f>VLOOKUP(K4730,[1]Mapping!$J$3:$Q$351,8,FALSE)</f>
        <v>#N/A</v>
      </c>
      <c r="M4730" t="s">
        <v>83</v>
      </c>
    </row>
    <row r="4731" spans="5:13" hidden="1" x14ac:dyDescent="0.35">
      <c r="E4731" s="81"/>
      <c r="I4731" s="83" t="e">
        <f>VLOOKUP(E4731,[1]Mapping!$A$3:$B$14,2,FALSE)</f>
        <v>#N/A</v>
      </c>
      <c r="J4731" s="84">
        <f t="shared" si="150"/>
        <v>0</v>
      </c>
      <c r="K4731" s="84">
        <f t="shared" si="151"/>
        <v>0</v>
      </c>
      <c r="L4731" s="61" t="e">
        <f>VLOOKUP(K4731,[1]Mapping!$J$3:$Q$351,8,FALSE)</f>
        <v>#N/A</v>
      </c>
      <c r="M4731" t="s">
        <v>83</v>
      </c>
    </row>
    <row r="4732" spans="5:13" hidden="1" x14ac:dyDescent="0.35">
      <c r="E4732" s="81"/>
      <c r="I4732" s="83" t="e">
        <f>VLOOKUP(E4732,[1]Mapping!$A$3:$B$14,2,FALSE)</f>
        <v>#N/A</v>
      </c>
      <c r="J4732" s="84">
        <f t="shared" si="150"/>
        <v>0</v>
      </c>
      <c r="K4732" s="84">
        <f t="shared" si="151"/>
        <v>0</v>
      </c>
      <c r="L4732" s="61" t="e">
        <f>VLOOKUP(K4732,[1]Mapping!$J$3:$Q$351,8,FALSE)</f>
        <v>#N/A</v>
      </c>
      <c r="M4732" t="s">
        <v>83</v>
      </c>
    </row>
    <row r="4733" spans="5:13" hidden="1" x14ac:dyDescent="0.35">
      <c r="E4733" s="81"/>
      <c r="I4733" s="83" t="e">
        <f>VLOOKUP(E4733,[1]Mapping!$A$3:$B$14,2,FALSE)</f>
        <v>#N/A</v>
      </c>
      <c r="J4733" s="84">
        <f t="shared" si="150"/>
        <v>0</v>
      </c>
      <c r="K4733" s="84">
        <f t="shared" si="151"/>
        <v>0</v>
      </c>
      <c r="L4733" s="61" t="e">
        <f>VLOOKUP(K4733,[1]Mapping!$J$3:$Q$351,8,FALSE)</f>
        <v>#N/A</v>
      </c>
      <c r="M4733" t="s">
        <v>83</v>
      </c>
    </row>
    <row r="4734" spans="5:13" hidden="1" x14ac:dyDescent="0.35">
      <c r="E4734" s="81"/>
      <c r="I4734" s="83" t="e">
        <f>VLOOKUP(E4734,[1]Mapping!$A$3:$B$14,2,FALSE)</f>
        <v>#N/A</v>
      </c>
      <c r="J4734" s="84">
        <f t="shared" si="150"/>
        <v>0</v>
      </c>
      <c r="K4734" s="84">
        <f t="shared" si="151"/>
        <v>0</v>
      </c>
      <c r="L4734" s="61" t="e">
        <f>VLOOKUP(K4734,[1]Mapping!$J$3:$Q$351,8,FALSE)</f>
        <v>#N/A</v>
      </c>
      <c r="M4734" t="s">
        <v>83</v>
      </c>
    </row>
    <row r="4735" spans="5:13" hidden="1" x14ac:dyDescent="0.35">
      <c r="E4735" s="81"/>
      <c r="I4735" s="83" t="e">
        <f>VLOOKUP(E4735,[1]Mapping!$A$3:$B$14,2,FALSE)</f>
        <v>#N/A</v>
      </c>
      <c r="J4735" s="84">
        <f t="shared" si="150"/>
        <v>0</v>
      </c>
      <c r="K4735" s="84">
        <f t="shared" si="151"/>
        <v>0</v>
      </c>
      <c r="L4735" s="61" t="e">
        <f>VLOOKUP(K4735,[1]Mapping!$J$3:$Q$351,8,FALSE)</f>
        <v>#N/A</v>
      </c>
      <c r="M4735" t="s">
        <v>83</v>
      </c>
    </row>
    <row r="4736" spans="5:13" hidden="1" x14ac:dyDescent="0.35">
      <c r="E4736" s="81"/>
      <c r="I4736" s="83" t="e">
        <f>VLOOKUP(E4736,[1]Mapping!$A$3:$B$14,2,FALSE)</f>
        <v>#N/A</v>
      </c>
      <c r="J4736" s="84">
        <f t="shared" si="150"/>
        <v>0</v>
      </c>
      <c r="K4736" s="84">
        <f t="shared" si="151"/>
        <v>0</v>
      </c>
      <c r="L4736" s="61" t="e">
        <f>VLOOKUP(K4736,[1]Mapping!$J$3:$Q$351,8,FALSE)</f>
        <v>#N/A</v>
      </c>
      <c r="M4736" t="s">
        <v>83</v>
      </c>
    </row>
    <row r="4737" spans="5:13" hidden="1" x14ac:dyDescent="0.35">
      <c r="E4737" s="81"/>
      <c r="I4737" s="83" t="e">
        <f>VLOOKUP(E4737,[1]Mapping!$A$3:$B$14,2,FALSE)</f>
        <v>#N/A</v>
      </c>
      <c r="J4737" s="84">
        <f t="shared" si="150"/>
        <v>0</v>
      </c>
      <c r="K4737" s="84">
        <f t="shared" si="151"/>
        <v>0</v>
      </c>
      <c r="L4737" s="61" t="e">
        <f>VLOOKUP(K4737,[1]Mapping!$J$3:$Q$351,8,FALSE)</f>
        <v>#N/A</v>
      </c>
      <c r="M4737" t="s">
        <v>83</v>
      </c>
    </row>
    <row r="4738" spans="5:13" hidden="1" x14ac:dyDescent="0.35">
      <c r="E4738" s="81"/>
      <c r="I4738" s="83" t="e">
        <f>VLOOKUP(E4738,[1]Mapping!$A$3:$B$14,2,FALSE)</f>
        <v>#N/A</v>
      </c>
      <c r="J4738" s="84">
        <f t="shared" si="150"/>
        <v>0</v>
      </c>
      <c r="K4738" s="84">
        <f t="shared" si="151"/>
        <v>0</v>
      </c>
      <c r="L4738" s="61" t="e">
        <f>VLOOKUP(K4738,[1]Mapping!$J$3:$Q$351,8,FALSE)</f>
        <v>#N/A</v>
      </c>
      <c r="M4738" t="s">
        <v>83</v>
      </c>
    </row>
    <row r="4739" spans="5:13" hidden="1" x14ac:dyDescent="0.35">
      <c r="E4739" s="81"/>
      <c r="I4739" s="83" t="e">
        <f>VLOOKUP(E4739,[1]Mapping!$A$3:$B$14,2,FALSE)</f>
        <v>#N/A</v>
      </c>
      <c r="J4739" s="84">
        <f t="shared" si="150"/>
        <v>0</v>
      </c>
      <c r="K4739" s="84">
        <f t="shared" si="151"/>
        <v>0</v>
      </c>
      <c r="L4739" s="61" t="e">
        <f>VLOOKUP(K4739,[1]Mapping!$J$3:$Q$351,8,FALSE)</f>
        <v>#N/A</v>
      </c>
      <c r="M4739" t="s">
        <v>83</v>
      </c>
    </row>
    <row r="4740" spans="5:13" hidden="1" x14ac:dyDescent="0.35">
      <c r="E4740" s="81"/>
      <c r="I4740" s="83" t="e">
        <f>VLOOKUP(E4740,[1]Mapping!$A$3:$B$14,2,FALSE)</f>
        <v>#N/A</v>
      </c>
      <c r="J4740" s="84">
        <f t="shared" si="150"/>
        <v>0</v>
      </c>
      <c r="K4740" s="84">
        <f t="shared" si="151"/>
        <v>0</v>
      </c>
      <c r="L4740" s="61" t="e">
        <f>VLOOKUP(K4740,[1]Mapping!$J$3:$Q$351,8,FALSE)</f>
        <v>#N/A</v>
      </c>
      <c r="M4740" t="s">
        <v>83</v>
      </c>
    </row>
    <row r="4741" spans="5:13" hidden="1" x14ac:dyDescent="0.35">
      <c r="E4741" s="81"/>
      <c r="I4741" s="83" t="e">
        <f>VLOOKUP(E4741,[1]Mapping!$A$3:$B$14,2,FALSE)</f>
        <v>#N/A</v>
      </c>
      <c r="J4741" s="84">
        <f t="shared" si="150"/>
        <v>0</v>
      </c>
      <c r="K4741" s="84">
        <f t="shared" si="151"/>
        <v>0</v>
      </c>
      <c r="L4741" s="61" t="e">
        <f>VLOOKUP(K4741,[1]Mapping!$J$3:$Q$351,8,FALSE)</f>
        <v>#N/A</v>
      </c>
      <c r="M4741" t="s">
        <v>83</v>
      </c>
    </row>
    <row r="4742" spans="5:13" hidden="1" x14ac:dyDescent="0.35">
      <c r="E4742" s="81"/>
      <c r="I4742" s="83" t="e">
        <f>VLOOKUP(E4742,[1]Mapping!$A$3:$B$14,2,FALSE)</f>
        <v>#N/A</v>
      </c>
      <c r="J4742" s="84">
        <f t="shared" si="150"/>
        <v>0</v>
      </c>
      <c r="K4742" s="84">
        <f t="shared" si="151"/>
        <v>0</v>
      </c>
      <c r="L4742" s="61" t="e">
        <f>VLOOKUP(K4742,[1]Mapping!$J$3:$Q$351,8,FALSE)</f>
        <v>#N/A</v>
      </c>
      <c r="M4742" t="s">
        <v>83</v>
      </c>
    </row>
    <row r="4743" spans="5:13" hidden="1" x14ac:dyDescent="0.35">
      <c r="E4743" s="81"/>
      <c r="I4743" s="83" t="e">
        <f>VLOOKUP(E4743,[1]Mapping!$A$3:$B$14,2,FALSE)</f>
        <v>#N/A</v>
      </c>
      <c r="J4743" s="84">
        <f t="shared" si="150"/>
        <v>0</v>
      </c>
      <c r="K4743" s="84">
        <f t="shared" si="151"/>
        <v>0</v>
      </c>
      <c r="L4743" s="61" t="e">
        <f>VLOOKUP(K4743,[1]Mapping!$J$3:$Q$351,8,FALSE)</f>
        <v>#N/A</v>
      </c>
      <c r="M4743" t="s">
        <v>83</v>
      </c>
    </row>
    <row r="4744" spans="5:13" hidden="1" x14ac:dyDescent="0.35">
      <c r="E4744" s="81"/>
      <c r="I4744" s="83" t="e">
        <f>VLOOKUP(E4744,[1]Mapping!$A$3:$B$14,2,FALSE)</f>
        <v>#N/A</v>
      </c>
      <c r="J4744" s="84">
        <f t="shared" si="150"/>
        <v>0</v>
      </c>
      <c r="K4744" s="84">
        <f t="shared" si="151"/>
        <v>0</v>
      </c>
      <c r="L4744" s="61" t="e">
        <f>VLOOKUP(K4744,[1]Mapping!$J$3:$Q$351,8,FALSE)</f>
        <v>#N/A</v>
      </c>
      <c r="M4744" t="s">
        <v>83</v>
      </c>
    </row>
    <row r="4745" spans="5:13" hidden="1" x14ac:dyDescent="0.35">
      <c r="E4745" s="81"/>
      <c r="I4745" s="83" t="e">
        <f>VLOOKUP(E4745,[1]Mapping!$A$3:$B$14,2,FALSE)</f>
        <v>#N/A</v>
      </c>
      <c r="J4745" s="84">
        <f t="shared" si="150"/>
        <v>0</v>
      </c>
      <c r="K4745" s="84">
        <f t="shared" si="151"/>
        <v>0</v>
      </c>
      <c r="L4745" s="61" t="e">
        <f>VLOOKUP(K4745,[1]Mapping!$J$3:$Q$351,8,FALSE)</f>
        <v>#N/A</v>
      </c>
      <c r="M4745" t="s">
        <v>83</v>
      </c>
    </row>
    <row r="4746" spans="5:13" hidden="1" x14ac:dyDescent="0.35">
      <c r="E4746" s="81"/>
      <c r="I4746" s="83" t="e">
        <f>VLOOKUP(E4746,[1]Mapping!$A$3:$B$14,2,FALSE)</f>
        <v>#N/A</v>
      </c>
      <c r="J4746" s="84">
        <f t="shared" si="150"/>
        <v>0</v>
      </c>
      <c r="K4746" s="84">
        <f t="shared" si="151"/>
        <v>0</v>
      </c>
      <c r="L4746" s="61" t="e">
        <f>VLOOKUP(K4746,[1]Mapping!$J$3:$Q$351,8,FALSE)</f>
        <v>#N/A</v>
      </c>
      <c r="M4746" t="s">
        <v>83</v>
      </c>
    </row>
    <row r="4747" spans="5:13" hidden="1" x14ac:dyDescent="0.35">
      <c r="E4747" s="81"/>
      <c r="I4747" s="83" t="e">
        <f>VLOOKUP(E4747,[1]Mapping!$A$3:$B$14,2,FALSE)</f>
        <v>#N/A</v>
      </c>
      <c r="J4747" s="84">
        <f t="shared" si="150"/>
        <v>0</v>
      </c>
      <c r="K4747" s="84">
        <f t="shared" si="151"/>
        <v>0</v>
      </c>
      <c r="L4747" s="61" t="e">
        <f>VLOOKUP(K4747,[1]Mapping!$J$3:$Q$351,8,FALSE)</f>
        <v>#N/A</v>
      </c>
      <c r="M4747" t="s">
        <v>83</v>
      </c>
    </row>
    <row r="4748" spans="5:13" hidden="1" x14ac:dyDescent="0.35">
      <c r="E4748" s="81"/>
      <c r="I4748" s="83" t="e">
        <f>VLOOKUP(E4748,[1]Mapping!$A$3:$B$14,2,FALSE)</f>
        <v>#N/A</v>
      </c>
      <c r="J4748" s="84">
        <f t="shared" si="150"/>
        <v>0</v>
      </c>
      <c r="K4748" s="84">
        <f t="shared" si="151"/>
        <v>0</v>
      </c>
      <c r="L4748" s="61" t="e">
        <f>VLOOKUP(K4748,[1]Mapping!$J$3:$Q$351,8,FALSE)</f>
        <v>#N/A</v>
      </c>
      <c r="M4748" t="s">
        <v>83</v>
      </c>
    </row>
    <row r="4749" spans="5:13" hidden="1" x14ac:dyDescent="0.35">
      <c r="E4749" s="81"/>
      <c r="I4749" s="83" t="e">
        <f>VLOOKUP(E4749,[1]Mapping!$A$3:$B$14,2,FALSE)</f>
        <v>#N/A</v>
      </c>
      <c r="J4749" s="84">
        <f t="shared" si="150"/>
        <v>0</v>
      </c>
      <c r="K4749" s="84">
        <f t="shared" si="151"/>
        <v>0</v>
      </c>
      <c r="L4749" s="61" t="e">
        <f>VLOOKUP(K4749,[1]Mapping!$J$3:$Q$351,8,FALSE)</f>
        <v>#N/A</v>
      </c>
      <c r="M4749" t="s">
        <v>83</v>
      </c>
    </row>
    <row r="4750" spans="5:13" hidden="1" x14ac:dyDescent="0.35">
      <c r="E4750" s="81"/>
      <c r="I4750" s="83" t="e">
        <f>VLOOKUP(E4750,[1]Mapping!$A$3:$B$14,2,FALSE)</f>
        <v>#N/A</v>
      </c>
      <c r="J4750" s="84">
        <f t="shared" si="150"/>
        <v>0</v>
      </c>
      <c r="K4750" s="84">
        <f t="shared" si="151"/>
        <v>0</v>
      </c>
      <c r="L4750" s="61" t="e">
        <f>VLOOKUP(K4750,[1]Mapping!$J$3:$Q$351,8,FALSE)</f>
        <v>#N/A</v>
      </c>
      <c r="M4750" t="s">
        <v>83</v>
      </c>
    </row>
    <row r="4751" spans="5:13" hidden="1" x14ac:dyDescent="0.35">
      <c r="E4751" s="81"/>
      <c r="I4751" s="83" t="e">
        <f>VLOOKUP(E4751,[1]Mapping!$A$3:$B$14,2,FALSE)</f>
        <v>#N/A</v>
      </c>
      <c r="J4751" s="84">
        <f t="shared" si="150"/>
        <v>0</v>
      </c>
      <c r="K4751" s="84">
        <f t="shared" si="151"/>
        <v>0</v>
      </c>
      <c r="L4751" s="61" t="e">
        <f>VLOOKUP(K4751,[1]Mapping!$J$3:$Q$351,8,FALSE)</f>
        <v>#N/A</v>
      </c>
      <c r="M4751" t="s">
        <v>83</v>
      </c>
    </row>
    <row r="4752" spans="5:13" hidden="1" x14ac:dyDescent="0.35">
      <c r="E4752" s="81"/>
      <c r="I4752" s="83" t="e">
        <f>VLOOKUP(E4752,[1]Mapping!$A$3:$B$14,2,FALSE)</f>
        <v>#N/A</v>
      </c>
      <c r="J4752" s="84">
        <f t="shared" ref="J4752:J4815" si="152">VALUE(A4752)</f>
        <v>0</v>
      </c>
      <c r="K4752" s="84">
        <f t="shared" ref="K4752:K4815" si="153">VALUE(C4752)</f>
        <v>0</v>
      </c>
      <c r="L4752" s="61" t="e">
        <f>VLOOKUP(K4752,[1]Mapping!$J$3:$Q$351,8,FALSE)</f>
        <v>#N/A</v>
      </c>
      <c r="M4752" t="s">
        <v>83</v>
      </c>
    </row>
    <row r="4753" spans="5:13" hidden="1" x14ac:dyDescent="0.35">
      <c r="E4753" s="81"/>
      <c r="I4753" s="83" t="e">
        <f>VLOOKUP(E4753,[1]Mapping!$A$3:$B$14,2,FALSE)</f>
        <v>#N/A</v>
      </c>
      <c r="J4753" s="84">
        <f t="shared" si="152"/>
        <v>0</v>
      </c>
      <c r="K4753" s="84">
        <f t="shared" si="153"/>
        <v>0</v>
      </c>
      <c r="L4753" s="61" t="e">
        <f>VLOOKUP(K4753,[1]Mapping!$J$3:$Q$351,8,FALSE)</f>
        <v>#N/A</v>
      </c>
      <c r="M4753" t="s">
        <v>83</v>
      </c>
    </row>
    <row r="4754" spans="5:13" hidden="1" x14ac:dyDescent="0.35">
      <c r="E4754" s="81"/>
      <c r="I4754" s="83" t="e">
        <f>VLOOKUP(E4754,[1]Mapping!$A$3:$B$14,2,FALSE)</f>
        <v>#N/A</v>
      </c>
      <c r="J4754" s="84">
        <f t="shared" si="152"/>
        <v>0</v>
      </c>
      <c r="K4754" s="84">
        <f t="shared" si="153"/>
        <v>0</v>
      </c>
      <c r="L4754" s="61" t="e">
        <f>VLOOKUP(K4754,[1]Mapping!$J$3:$Q$351,8,FALSE)</f>
        <v>#N/A</v>
      </c>
      <c r="M4754" t="s">
        <v>83</v>
      </c>
    </row>
    <row r="4755" spans="5:13" hidden="1" x14ac:dyDescent="0.35">
      <c r="E4755" s="81"/>
      <c r="I4755" s="83" t="e">
        <f>VLOOKUP(E4755,[1]Mapping!$A$3:$B$14,2,FALSE)</f>
        <v>#N/A</v>
      </c>
      <c r="J4755" s="84">
        <f t="shared" si="152"/>
        <v>0</v>
      </c>
      <c r="K4755" s="84">
        <f t="shared" si="153"/>
        <v>0</v>
      </c>
      <c r="L4755" s="61" t="e">
        <f>VLOOKUP(K4755,[1]Mapping!$J$3:$Q$351,8,FALSE)</f>
        <v>#N/A</v>
      </c>
      <c r="M4755" t="s">
        <v>83</v>
      </c>
    </row>
    <row r="4756" spans="5:13" hidden="1" x14ac:dyDescent="0.35">
      <c r="E4756" s="81"/>
      <c r="I4756" s="83" t="e">
        <f>VLOOKUP(E4756,[1]Mapping!$A$3:$B$14,2,FALSE)</f>
        <v>#N/A</v>
      </c>
      <c r="J4756" s="84">
        <f t="shared" si="152"/>
        <v>0</v>
      </c>
      <c r="K4756" s="84">
        <f t="shared" si="153"/>
        <v>0</v>
      </c>
      <c r="L4756" s="61" t="e">
        <f>VLOOKUP(K4756,[1]Mapping!$J$3:$Q$351,8,FALSE)</f>
        <v>#N/A</v>
      </c>
      <c r="M4756" t="s">
        <v>83</v>
      </c>
    </row>
    <row r="4757" spans="5:13" hidden="1" x14ac:dyDescent="0.35">
      <c r="E4757" s="81"/>
      <c r="I4757" s="83" t="e">
        <f>VLOOKUP(E4757,[1]Mapping!$A$3:$B$14,2,FALSE)</f>
        <v>#N/A</v>
      </c>
      <c r="J4757" s="84">
        <f t="shared" si="152"/>
        <v>0</v>
      </c>
      <c r="K4757" s="84">
        <f t="shared" si="153"/>
        <v>0</v>
      </c>
      <c r="L4757" s="61" t="e">
        <f>VLOOKUP(K4757,[1]Mapping!$J$3:$Q$351,8,FALSE)</f>
        <v>#N/A</v>
      </c>
      <c r="M4757" t="s">
        <v>83</v>
      </c>
    </row>
    <row r="4758" spans="5:13" hidden="1" x14ac:dyDescent="0.35">
      <c r="E4758" s="81"/>
      <c r="I4758" s="83" t="e">
        <f>VLOOKUP(E4758,[1]Mapping!$A$3:$B$14,2,FALSE)</f>
        <v>#N/A</v>
      </c>
      <c r="J4758" s="84">
        <f t="shared" si="152"/>
        <v>0</v>
      </c>
      <c r="K4758" s="84">
        <f t="shared" si="153"/>
        <v>0</v>
      </c>
      <c r="L4758" s="61" t="e">
        <f>VLOOKUP(K4758,[1]Mapping!$J$3:$Q$351,8,FALSE)</f>
        <v>#N/A</v>
      </c>
      <c r="M4758" t="s">
        <v>83</v>
      </c>
    </row>
    <row r="4759" spans="5:13" hidden="1" x14ac:dyDescent="0.35">
      <c r="E4759" s="81"/>
      <c r="I4759" s="83" t="e">
        <f>VLOOKUP(E4759,[1]Mapping!$A$3:$B$14,2,FALSE)</f>
        <v>#N/A</v>
      </c>
      <c r="J4759" s="84">
        <f t="shared" si="152"/>
        <v>0</v>
      </c>
      <c r="K4759" s="84">
        <f t="shared" si="153"/>
        <v>0</v>
      </c>
      <c r="L4759" s="61" t="e">
        <f>VLOOKUP(K4759,[1]Mapping!$J$3:$Q$351,8,FALSE)</f>
        <v>#N/A</v>
      </c>
      <c r="M4759" t="s">
        <v>83</v>
      </c>
    </row>
    <row r="4760" spans="5:13" hidden="1" x14ac:dyDescent="0.35">
      <c r="E4760" s="81"/>
      <c r="I4760" s="83" t="e">
        <f>VLOOKUP(E4760,[1]Mapping!$A$3:$B$14,2,FALSE)</f>
        <v>#N/A</v>
      </c>
      <c r="J4760" s="84">
        <f t="shared" si="152"/>
        <v>0</v>
      </c>
      <c r="K4760" s="84">
        <f t="shared" si="153"/>
        <v>0</v>
      </c>
      <c r="L4760" s="61" t="e">
        <f>VLOOKUP(K4760,[1]Mapping!$J$3:$Q$351,8,FALSE)</f>
        <v>#N/A</v>
      </c>
      <c r="M4760" t="s">
        <v>83</v>
      </c>
    </row>
    <row r="4761" spans="5:13" hidden="1" x14ac:dyDescent="0.35">
      <c r="E4761" s="81"/>
      <c r="I4761" s="83" t="e">
        <f>VLOOKUP(E4761,[1]Mapping!$A$3:$B$14,2,FALSE)</f>
        <v>#N/A</v>
      </c>
      <c r="J4761" s="84">
        <f t="shared" si="152"/>
        <v>0</v>
      </c>
      <c r="K4761" s="84">
        <f t="shared" si="153"/>
        <v>0</v>
      </c>
      <c r="L4761" s="61" t="e">
        <f>VLOOKUP(K4761,[1]Mapping!$J$3:$Q$351,8,FALSE)</f>
        <v>#N/A</v>
      </c>
      <c r="M4761" t="s">
        <v>83</v>
      </c>
    </row>
    <row r="4762" spans="5:13" hidden="1" x14ac:dyDescent="0.35">
      <c r="E4762" s="81"/>
      <c r="I4762" s="83" t="e">
        <f>VLOOKUP(E4762,[1]Mapping!$A$3:$B$14,2,FALSE)</f>
        <v>#N/A</v>
      </c>
      <c r="J4762" s="84">
        <f t="shared" si="152"/>
        <v>0</v>
      </c>
      <c r="K4762" s="84">
        <f t="shared" si="153"/>
        <v>0</v>
      </c>
      <c r="L4762" s="61" t="e">
        <f>VLOOKUP(K4762,[1]Mapping!$J$3:$Q$351,8,FALSE)</f>
        <v>#N/A</v>
      </c>
      <c r="M4762" t="s">
        <v>83</v>
      </c>
    </row>
    <row r="4763" spans="5:13" hidden="1" x14ac:dyDescent="0.35">
      <c r="E4763" s="81"/>
      <c r="I4763" s="83" t="e">
        <f>VLOOKUP(E4763,[1]Mapping!$A$3:$B$14,2,FALSE)</f>
        <v>#N/A</v>
      </c>
      <c r="J4763" s="84">
        <f t="shared" si="152"/>
        <v>0</v>
      </c>
      <c r="K4763" s="84">
        <f t="shared" si="153"/>
        <v>0</v>
      </c>
      <c r="L4763" s="61" t="e">
        <f>VLOOKUP(K4763,[1]Mapping!$J$3:$Q$351,8,FALSE)</f>
        <v>#N/A</v>
      </c>
      <c r="M4763" t="s">
        <v>83</v>
      </c>
    </row>
    <row r="4764" spans="5:13" hidden="1" x14ac:dyDescent="0.35">
      <c r="E4764" s="81"/>
      <c r="I4764" s="83" t="e">
        <f>VLOOKUP(E4764,[1]Mapping!$A$3:$B$14,2,FALSE)</f>
        <v>#N/A</v>
      </c>
      <c r="J4764" s="84">
        <f t="shared" si="152"/>
        <v>0</v>
      </c>
      <c r="K4764" s="84">
        <f t="shared" si="153"/>
        <v>0</v>
      </c>
      <c r="L4764" s="61" t="e">
        <f>VLOOKUP(K4764,[1]Mapping!$J$3:$Q$351,8,FALSE)</f>
        <v>#N/A</v>
      </c>
      <c r="M4764" t="s">
        <v>83</v>
      </c>
    </row>
    <row r="4765" spans="5:13" hidden="1" x14ac:dyDescent="0.35">
      <c r="E4765" s="81"/>
      <c r="I4765" s="83" t="e">
        <f>VLOOKUP(E4765,[1]Mapping!$A$3:$B$14,2,FALSE)</f>
        <v>#N/A</v>
      </c>
      <c r="J4765" s="84">
        <f t="shared" si="152"/>
        <v>0</v>
      </c>
      <c r="K4765" s="84">
        <f t="shared" si="153"/>
        <v>0</v>
      </c>
      <c r="L4765" s="61" t="e">
        <f>VLOOKUP(K4765,[1]Mapping!$J$3:$Q$351,8,FALSE)</f>
        <v>#N/A</v>
      </c>
      <c r="M4765" t="s">
        <v>83</v>
      </c>
    </row>
    <row r="4766" spans="5:13" hidden="1" x14ac:dyDescent="0.35">
      <c r="E4766" s="81"/>
      <c r="I4766" s="83" t="e">
        <f>VLOOKUP(E4766,[1]Mapping!$A$3:$B$14,2,FALSE)</f>
        <v>#N/A</v>
      </c>
      <c r="J4766" s="84">
        <f t="shared" si="152"/>
        <v>0</v>
      </c>
      <c r="K4766" s="84">
        <f t="shared" si="153"/>
        <v>0</v>
      </c>
      <c r="L4766" s="61" t="e">
        <f>VLOOKUP(K4766,[1]Mapping!$J$3:$Q$351,8,FALSE)</f>
        <v>#N/A</v>
      </c>
      <c r="M4766" t="s">
        <v>83</v>
      </c>
    </row>
    <row r="4767" spans="5:13" hidden="1" x14ac:dyDescent="0.35">
      <c r="E4767" s="81"/>
      <c r="I4767" s="83" t="e">
        <f>VLOOKUP(E4767,[1]Mapping!$A$3:$B$14,2,FALSE)</f>
        <v>#N/A</v>
      </c>
      <c r="J4767" s="84">
        <f t="shared" si="152"/>
        <v>0</v>
      </c>
      <c r="K4767" s="84">
        <f t="shared" si="153"/>
        <v>0</v>
      </c>
      <c r="L4767" s="61" t="e">
        <f>VLOOKUP(K4767,[1]Mapping!$J$3:$Q$351,8,FALSE)</f>
        <v>#N/A</v>
      </c>
      <c r="M4767" t="s">
        <v>83</v>
      </c>
    </row>
    <row r="4768" spans="5:13" hidden="1" x14ac:dyDescent="0.35">
      <c r="E4768" s="81"/>
      <c r="I4768" s="83" t="e">
        <f>VLOOKUP(E4768,[1]Mapping!$A$3:$B$14,2,FALSE)</f>
        <v>#N/A</v>
      </c>
      <c r="J4768" s="84">
        <f t="shared" si="152"/>
        <v>0</v>
      </c>
      <c r="K4768" s="84">
        <f t="shared" si="153"/>
        <v>0</v>
      </c>
      <c r="L4768" s="61" t="e">
        <f>VLOOKUP(K4768,[1]Mapping!$J$3:$Q$351,8,FALSE)</f>
        <v>#N/A</v>
      </c>
      <c r="M4768" t="s">
        <v>83</v>
      </c>
    </row>
    <row r="4769" spans="5:13" hidden="1" x14ac:dyDescent="0.35">
      <c r="E4769" s="81"/>
      <c r="I4769" s="83" t="e">
        <f>VLOOKUP(E4769,[1]Mapping!$A$3:$B$14,2,FALSE)</f>
        <v>#N/A</v>
      </c>
      <c r="J4769" s="84">
        <f t="shared" si="152"/>
        <v>0</v>
      </c>
      <c r="K4769" s="84">
        <f t="shared" si="153"/>
        <v>0</v>
      </c>
      <c r="L4769" s="61" t="e">
        <f>VLOOKUP(K4769,[1]Mapping!$J$3:$Q$351,8,FALSE)</f>
        <v>#N/A</v>
      </c>
      <c r="M4769" t="s">
        <v>83</v>
      </c>
    </row>
    <row r="4770" spans="5:13" hidden="1" x14ac:dyDescent="0.35">
      <c r="E4770" s="81"/>
      <c r="I4770" s="83" t="e">
        <f>VLOOKUP(E4770,[1]Mapping!$A$3:$B$14,2,FALSE)</f>
        <v>#N/A</v>
      </c>
      <c r="J4770" s="84">
        <f t="shared" si="152"/>
        <v>0</v>
      </c>
      <c r="K4770" s="84">
        <f t="shared" si="153"/>
        <v>0</v>
      </c>
      <c r="L4770" s="61" t="e">
        <f>VLOOKUP(K4770,[1]Mapping!$J$3:$Q$351,8,FALSE)</f>
        <v>#N/A</v>
      </c>
      <c r="M4770" t="s">
        <v>83</v>
      </c>
    </row>
    <row r="4771" spans="5:13" hidden="1" x14ac:dyDescent="0.35">
      <c r="E4771" s="81"/>
      <c r="I4771" s="83" t="e">
        <f>VLOOKUP(E4771,[1]Mapping!$A$3:$B$14,2,FALSE)</f>
        <v>#N/A</v>
      </c>
      <c r="J4771" s="84">
        <f t="shared" si="152"/>
        <v>0</v>
      </c>
      <c r="K4771" s="84">
        <f t="shared" si="153"/>
        <v>0</v>
      </c>
      <c r="L4771" s="61" t="e">
        <f>VLOOKUP(K4771,[1]Mapping!$J$3:$Q$351,8,FALSE)</f>
        <v>#N/A</v>
      </c>
      <c r="M4771" t="s">
        <v>83</v>
      </c>
    </row>
    <row r="4772" spans="5:13" hidden="1" x14ac:dyDescent="0.35">
      <c r="E4772" s="81"/>
      <c r="I4772" s="83" t="e">
        <f>VLOOKUP(E4772,[1]Mapping!$A$3:$B$14,2,FALSE)</f>
        <v>#N/A</v>
      </c>
      <c r="J4772" s="84">
        <f t="shared" si="152"/>
        <v>0</v>
      </c>
      <c r="K4772" s="84">
        <f t="shared" si="153"/>
        <v>0</v>
      </c>
      <c r="L4772" s="61" t="e">
        <f>VLOOKUP(K4772,[1]Mapping!$J$3:$Q$351,8,FALSE)</f>
        <v>#N/A</v>
      </c>
      <c r="M4772" t="s">
        <v>83</v>
      </c>
    </row>
    <row r="4773" spans="5:13" hidden="1" x14ac:dyDescent="0.35">
      <c r="E4773" s="81"/>
      <c r="I4773" s="83" t="e">
        <f>VLOOKUP(E4773,[1]Mapping!$A$3:$B$14,2,FALSE)</f>
        <v>#N/A</v>
      </c>
      <c r="J4773" s="84">
        <f t="shared" si="152"/>
        <v>0</v>
      </c>
      <c r="K4773" s="84">
        <f t="shared" si="153"/>
        <v>0</v>
      </c>
      <c r="L4773" s="61" t="e">
        <f>VLOOKUP(K4773,[1]Mapping!$J$3:$Q$351,8,FALSE)</f>
        <v>#N/A</v>
      </c>
      <c r="M4773" t="s">
        <v>83</v>
      </c>
    </row>
    <row r="4774" spans="5:13" hidden="1" x14ac:dyDescent="0.35">
      <c r="E4774" s="81"/>
      <c r="I4774" s="83" t="e">
        <f>VLOOKUP(E4774,[1]Mapping!$A$3:$B$14,2,FALSE)</f>
        <v>#N/A</v>
      </c>
      <c r="J4774" s="84">
        <f t="shared" si="152"/>
        <v>0</v>
      </c>
      <c r="K4774" s="84">
        <f t="shared" si="153"/>
        <v>0</v>
      </c>
      <c r="L4774" s="61" t="e">
        <f>VLOOKUP(K4774,[1]Mapping!$J$3:$Q$351,8,FALSE)</f>
        <v>#N/A</v>
      </c>
      <c r="M4774" t="s">
        <v>83</v>
      </c>
    </row>
    <row r="4775" spans="5:13" hidden="1" x14ac:dyDescent="0.35">
      <c r="E4775" s="81"/>
      <c r="I4775" s="83" t="e">
        <f>VLOOKUP(E4775,[1]Mapping!$A$3:$B$14,2,FALSE)</f>
        <v>#N/A</v>
      </c>
      <c r="J4775" s="84">
        <f t="shared" si="152"/>
        <v>0</v>
      </c>
      <c r="K4775" s="84">
        <f t="shared" si="153"/>
        <v>0</v>
      </c>
      <c r="L4775" s="61" t="e">
        <f>VLOOKUP(K4775,[1]Mapping!$J$3:$Q$351,8,FALSE)</f>
        <v>#N/A</v>
      </c>
      <c r="M4775" t="s">
        <v>83</v>
      </c>
    </row>
    <row r="4776" spans="5:13" hidden="1" x14ac:dyDescent="0.35">
      <c r="E4776" s="81"/>
      <c r="I4776" s="83" t="e">
        <f>VLOOKUP(E4776,[1]Mapping!$A$3:$B$14,2,FALSE)</f>
        <v>#N/A</v>
      </c>
      <c r="J4776" s="84">
        <f t="shared" si="152"/>
        <v>0</v>
      </c>
      <c r="K4776" s="84">
        <f t="shared" si="153"/>
        <v>0</v>
      </c>
      <c r="L4776" s="61" t="e">
        <f>VLOOKUP(K4776,[1]Mapping!$J$3:$Q$351,8,FALSE)</f>
        <v>#N/A</v>
      </c>
      <c r="M4776" t="s">
        <v>83</v>
      </c>
    </row>
    <row r="4777" spans="5:13" hidden="1" x14ac:dyDescent="0.35">
      <c r="E4777" s="81"/>
      <c r="I4777" s="83" t="e">
        <f>VLOOKUP(E4777,[1]Mapping!$A$3:$B$14,2,FALSE)</f>
        <v>#N/A</v>
      </c>
      <c r="J4777" s="84">
        <f t="shared" si="152"/>
        <v>0</v>
      </c>
      <c r="K4777" s="84">
        <f t="shared" si="153"/>
        <v>0</v>
      </c>
      <c r="L4777" s="61" t="e">
        <f>VLOOKUP(K4777,[1]Mapping!$J$3:$Q$351,8,FALSE)</f>
        <v>#N/A</v>
      </c>
      <c r="M4777" t="s">
        <v>83</v>
      </c>
    </row>
    <row r="4778" spans="5:13" hidden="1" x14ac:dyDescent="0.35">
      <c r="E4778" s="81"/>
      <c r="I4778" s="83" t="e">
        <f>VLOOKUP(E4778,[1]Mapping!$A$3:$B$14,2,FALSE)</f>
        <v>#N/A</v>
      </c>
      <c r="J4778" s="84">
        <f t="shared" si="152"/>
        <v>0</v>
      </c>
      <c r="K4778" s="84">
        <f t="shared" si="153"/>
        <v>0</v>
      </c>
      <c r="L4778" s="61" t="e">
        <f>VLOOKUP(K4778,[1]Mapping!$J$3:$Q$351,8,FALSE)</f>
        <v>#N/A</v>
      </c>
      <c r="M4778" t="s">
        <v>83</v>
      </c>
    </row>
    <row r="4779" spans="5:13" hidden="1" x14ac:dyDescent="0.35">
      <c r="E4779" s="81"/>
      <c r="I4779" s="83" t="e">
        <f>VLOOKUP(E4779,[1]Mapping!$A$3:$B$14,2,FALSE)</f>
        <v>#N/A</v>
      </c>
      <c r="J4779" s="84">
        <f t="shared" si="152"/>
        <v>0</v>
      </c>
      <c r="K4779" s="84">
        <f t="shared" si="153"/>
        <v>0</v>
      </c>
      <c r="L4779" s="61" t="e">
        <f>VLOOKUP(K4779,[1]Mapping!$J$3:$Q$351,8,FALSE)</f>
        <v>#N/A</v>
      </c>
      <c r="M4779" t="s">
        <v>83</v>
      </c>
    </row>
    <row r="4780" spans="5:13" hidden="1" x14ac:dyDescent="0.35">
      <c r="E4780" s="81"/>
      <c r="I4780" s="83" t="e">
        <f>VLOOKUP(E4780,[1]Mapping!$A$3:$B$14,2,FALSE)</f>
        <v>#N/A</v>
      </c>
      <c r="J4780" s="84">
        <f t="shared" si="152"/>
        <v>0</v>
      </c>
      <c r="K4780" s="84">
        <f t="shared" si="153"/>
        <v>0</v>
      </c>
      <c r="L4780" s="61" t="e">
        <f>VLOOKUP(K4780,[1]Mapping!$J$3:$Q$351,8,FALSE)</f>
        <v>#N/A</v>
      </c>
      <c r="M4780" t="s">
        <v>83</v>
      </c>
    </row>
    <row r="4781" spans="5:13" hidden="1" x14ac:dyDescent="0.35">
      <c r="E4781" s="81"/>
      <c r="I4781" s="83" t="e">
        <f>VLOOKUP(E4781,[1]Mapping!$A$3:$B$14,2,FALSE)</f>
        <v>#N/A</v>
      </c>
      <c r="J4781" s="84">
        <f t="shared" si="152"/>
        <v>0</v>
      </c>
      <c r="K4781" s="84">
        <f t="shared" si="153"/>
        <v>0</v>
      </c>
      <c r="L4781" s="61" t="e">
        <f>VLOOKUP(K4781,[1]Mapping!$J$3:$Q$351,8,FALSE)</f>
        <v>#N/A</v>
      </c>
      <c r="M4781" t="s">
        <v>83</v>
      </c>
    </row>
    <row r="4782" spans="5:13" hidden="1" x14ac:dyDescent="0.35">
      <c r="E4782" s="81"/>
      <c r="I4782" s="83" t="e">
        <f>VLOOKUP(E4782,[1]Mapping!$A$3:$B$14,2,FALSE)</f>
        <v>#N/A</v>
      </c>
      <c r="J4782" s="84">
        <f t="shared" si="152"/>
        <v>0</v>
      </c>
      <c r="K4782" s="84">
        <f t="shared" si="153"/>
        <v>0</v>
      </c>
      <c r="L4782" s="61" t="e">
        <f>VLOOKUP(K4782,[1]Mapping!$J$3:$Q$351,8,FALSE)</f>
        <v>#N/A</v>
      </c>
      <c r="M4782" t="s">
        <v>83</v>
      </c>
    </row>
    <row r="4783" spans="5:13" hidden="1" x14ac:dyDescent="0.35">
      <c r="E4783" s="81"/>
      <c r="I4783" s="83" t="e">
        <f>VLOOKUP(E4783,[1]Mapping!$A$3:$B$14,2,FALSE)</f>
        <v>#N/A</v>
      </c>
      <c r="J4783" s="84">
        <f t="shared" si="152"/>
        <v>0</v>
      </c>
      <c r="K4783" s="84">
        <f t="shared" si="153"/>
        <v>0</v>
      </c>
      <c r="L4783" s="61" t="e">
        <f>VLOOKUP(K4783,[1]Mapping!$J$3:$Q$351,8,FALSE)</f>
        <v>#N/A</v>
      </c>
      <c r="M4783" t="s">
        <v>83</v>
      </c>
    </row>
    <row r="4784" spans="5:13" hidden="1" x14ac:dyDescent="0.35">
      <c r="E4784" s="81"/>
      <c r="I4784" s="83" t="e">
        <f>VLOOKUP(E4784,[1]Mapping!$A$3:$B$14,2,FALSE)</f>
        <v>#N/A</v>
      </c>
      <c r="J4784" s="84">
        <f t="shared" si="152"/>
        <v>0</v>
      </c>
      <c r="K4784" s="84">
        <f t="shared" si="153"/>
        <v>0</v>
      </c>
      <c r="L4784" s="61" t="e">
        <f>VLOOKUP(K4784,[1]Mapping!$J$3:$Q$351,8,FALSE)</f>
        <v>#N/A</v>
      </c>
      <c r="M4784" t="s">
        <v>83</v>
      </c>
    </row>
    <row r="4785" spans="5:13" hidden="1" x14ac:dyDescent="0.35">
      <c r="E4785" s="81"/>
      <c r="I4785" s="83" t="e">
        <f>VLOOKUP(E4785,[1]Mapping!$A$3:$B$14,2,FALSE)</f>
        <v>#N/A</v>
      </c>
      <c r="J4785" s="84">
        <f t="shared" si="152"/>
        <v>0</v>
      </c>
      <c r="K4785" s="84">
        <f t="shared" si="153"/>
        <v>0</v>
      </c>
      <c r="L4785" s="61" t="e">
        <f>VLOOKUP(K4785,[1]Mapping!$J$3:$Q$351,8,FALSE)</f>
        <v>#N/A</v>
      </c>
      <c r="M4785" t="s">
        <v>83</v>
      </c>
    </row>
    <row r="4786" spans="5:13" hidden="1" x14ac:dyDescent="0.35">
      <c r="E4786" s="81"/>
      <c r="I4786" s="83" t="e">
        <f>VLOOKUP(E4786,[1]Mapping!$A$3:$B$14,2,FALSE)</f>
        <v>#N/A</v>
      </c>
      <c r="J4786" s="84">
        <f t="shared" si="152"/>
        <v>0</v>
      </c>
      <c r="K4786" s="84">
        <f t="shared" si="153"/>
        <v>0</v>
      </c>
      <c r="L4786" s="61" t="e">
        <f>VLOOKUP(K4786,[1]Mapping!$J$3:$Q$351,8,FALSE)</f>
        <v>#N/A</v>
      </c>
      <c r="M4786" t="s">
        <v>83</v>
      </c>
    </row>
    <row r="4787" spans="5:13" hidden="1" x14ac:dyDescent="0.35">
      <c r="E4787" s="81"/>
      <c r="I4787" s="83" t="e">
        <f>VLOOKUP(E4787,[1]Mapping!$A$3:$B$14,2,FALSE)</f>
        <v>#N/A</v>
      </c>
      <c r="J4787" s="84">
        <f t="shared" si="152"/>
        <v>0</v>
      </c>
      <c r="K4787" s="84">
        <f t="shared" si="153"/>
        <v>0</v>
      </c>
      <c r="L4787" s="61" t="e">
        <f>VLOOKUP(K4787,[1]Mapping!$J$3:$Q$351,8,FALSE)</f>
        <v>#N/A</v>
      </c>
      <c r="M4787" t="s">
        <v>83</v>
      </c>
    </row>
    <row r="4788" spans="5:13" hidden="1" x14ac:dyDescent="0.35">
      <c r="E4788" s="81"/>
      <c r="I4788" s="83" t="e">
        <f>VLOOKUP(E4788,[1]Mapping!$A$3:$B$14,2,FALSE)</f>
        <v>#N/A</v>
      </c>
      <c r="J4788" s="84">
        <f t="shared" si="152"/>
        <v>0</v>
      </c>
      <c r="K4788" s="84">
        <f t="shared" si="153"/>
        <v>0</v>
      </c>
      <c r="L4788" s="61" t="e">
        <f>VLOOKUP(K4788,[1]Mapping!$J$3:$Q$351,8,FALSE)</f>
        <v>#N/A</v>
      </c>
      <c r="M4788" t="s">
        <v>83</v>
      </c>
    </row>
    <row r="4789" spans="5:13" hidden="1" x14ac:dyDescent="0.35">
      <c r="E4789" s="81"/>
      <c r="I4789" s="83" t="e">
        <f>VLOOKUP(E4789,[1]Mapping!$A$3:$B$14,2,FALSE)</f>
        <v>#N/A</v>
      </c>
      <c r="J4789" s="84">
        <f t="shared" si="152"/>
        <v>0</v>
      </c>
      <c r="K4789" s="84">
        <f t="shared" si="153"/>
        <v>0</v>
      </c>
      <c r="L4789" s="61" t="e">
        <f>VLOOKUP(K4789,[1]Mapping!$J$3:$Q$351,8,FALSE)</f>
        <v>#N/A</v>
      </c>
      <c r="M4789" t="s">
        <v>83</v>
      </c>
    </row>
    <row r="4790" spans="5:13" hidden="1" x14ac:dyDescent="0.35">
      <c r="E4790" s="81"/>
      <c r="I4790" s="83" t="e">
        <f>VLOOKUP(E4790,[1]Mapping!$A$3:$B$14,2,FALSE)</f>
        <v>#N/A</v>
      </c>
      <c r="J4790" s="84">
        <f t="shared" si="152"/>
        <v>0</v>
      </c>
      <c r="K4790" s="84">
        <f t="shared" si="153"/>
        <v>0</v>
      </c>
      <c r="L4790" s="61" t="e">
        <f>VLOOKUP(K4790,[1]Mapping!$J$3:$Q$351,8,FALSE)</f>
        <v>#N/A</v>
      </c>
      <c r="M4790" t="s">
        <v>83</v>
      </c>
    </row>
    <row r="4791" spans="5:13" hidden="1" x14ac:dyDescent="0.35">
      <c r="E4791" s="81"/>
      <c r="I4791" s="83" t="e">
        <f>VLOOKUP(E4791,[1]Mapping!$A$3:$B$14,2,FALSE)</f>
        <v>#N/A</v>
      </c>
      <c r="J4791" s="84">
        <f t="shared" si="152"/>
        <v>0</v>
      </c>
      <c r="K4791" s="84">
        <f t="shared" si="153"/>
        <v>0</v>
      </c>
      <c r="L4791" s="61" t="e">
        <f>VLOOKUP(K4791,[1]Mapping!$J$3:$Q$351,8,FALSE)</f>
        <v>#N/A</v>
      </c>
      <c r="M4791" t="s">
        <v>83</v>
      </c>
    </row>
    <row r="4792" spans="5:13" hidden="1" x14ac:dyDescent="0.35">
      <c r="E4792" s="81"/>
      <c r="I4792" s="83" t="e">
        <f>VLOOKUP(E4792,[1]Mapping!$A$3:$B$14,2,FALSE)</f>
        <v>#N/A</v>
      </c>
      <c r="J4792" s="84">
        <f t="shared" si="152"/>
        <v>0</v>
      </c>
      <c r="K4792" s="84">
        <f t="shared" si="153"/>
        <v>0</v>
      </c>
      <c r="L4792" s="61" t="e">
        <f>VLOOKUP(K4792,[1]Mapping!$J$3:$Q$351,8,FALSE)</f>
        <v>#N/A</v>
      </c>
      <c r="M4792" t="s">
        <v>83</v>
      </c>
    </row>
    <row r="4793" spans="5:13" hidden="1" x14ac:dyDescent="0.35">
      <c r="E4793" s="81"/>
      <c r="I4793" s="83" t="e">
        <f>VLOOKUP(E4793,[1]Mapping!$A$3:$B$14,2,FALSE)</f>
        <v>#N/A</v>
      </c>
      <c r="J4793" s="84">
        <f t="shared" si="152"/>
        <v>0</v>
      </c>
      <c r="K4793" s="84">
        <f t="shared" si="153"/>
        <v>0</v>
      </c>
      <c r="L4793" s="61" t="e">
        <f>VLOOKUP(K4793,[1]Mapping!$J$3:$Q$351,8,FALSE)</f>
        <v>#N/A</v>
      </c>
      <c r="M4793" t="s">
        <v>83</v>
      </c>
    </row>
    <row r="4794" spans="5:13" hidden="1" x14ac:dyDescent="0.35">
      <c r="E4794" s="81"/>
      <c r="I4794" s="83" t="e">
        <f>VLOOKUP(E4794,[1]Mapping!$A$3:$B$14,2,FALSE)</f>
        <v>#N/A</v>
      </c>
      <c r="J4794" s="84">
        <f t="shared" si="152"/>
        <v>0</v>
      </c>
      <c r="K4794" s="84">
        <f t="shared" si="153"/>
        <v>0</v>
      </c>
      <c r="L4794" s="61" t="e">
        <f>VLOOKUP(K4794,[1]Mapping!$J$3:$Q$351,8,FALSE)</f>
        <v>#N/A</v>
      </c>
      <c r="M4794" t="s">
        <v>83</v>
      </c>
    </row>
    <row r="4795" spans="5:13" hidden="1" x14ac:dyDescent="0.35">
      <c r="E4795" s="81"/>
      <c r="I4795" s="83" t="e">
        <f>VLOOKUP(E4795,[1]Mapping!$A$3:$B$14,2,FALSE)</f>
        <v>#N/A</v>
      </c>
      <c r="J4795" s="84">
        <f t="shared" si="152"/>
        <v>0</v>
      </c>
      <c r="K4795" s="84">
        <f t="shared" si="153"/>
        <v>0</v>
      </c>
      <c r="L4795" s="61" t="e">
        <f>VLOOKUP(K4795,[1]Mapping!$J$3:$Q$351,8,FALSE)</f>
        <v>#N/A</v>
      </c>
      <c r="M4795" t="s">
        <v>83</v>
      </c>
    </row>
    <row r="4796" spans="5:13" hidden="1" x14ac:dyDescent="0.35">
      <c r="E4796" s="81"/>
      <c r="I4796" s="83" t="e">
        <f>VLOOKUP(E4796,[1]Mapping!$A$3:$B$14,2,FALSE)</f>
        <v>#N/A</v>
      </c>
      <c r="J4796" s="84">
        <f t="shared" si="152"/>
        <v>0</v>
      </c>
      <c r="K4796" s="84">
        <f t="shared" si="153"/>
        <v>0</v>
      </c>
      <c r="L4796" s="61" t="e">
        <f>VLOOKUP(K4796,[1]Mapping!$J$3:$Q$351,8,FALSE)</f>
        <v>#N/A</v>
      </c>
      <c r="M4796" t="s">
        <v>83</v>
      </c>
    </row>
    <row r="4797" spans="5:13" hidden="1" x14ac:dyDescent="0.35">
      <c r="E4797" s="81"/>
      <c r="I4797" s="83" t="e">
        <f>VLOOKUP(E4797,[1]Mapping!$A$3:$B$14,2,FALSE)</f>
        <v>#N/A</v>
      </c>
      <c r="J4797" s="84">
        <f t="shared" si="152"/>
        <v>0</v>
      </c>
      <c r="K4797" s="84">
        <f t="shared" si="153"/>
        <v>0</v>
      </c>
      <c r="L4797" s="61" t="e">
        <f>VLOOKUP(K4797,[1]Mapping!$J$3:$Q$351,8,FALSE)</f>
        <v>#N/A</v>
      </c>
      <c r="M4797" t="s">
        <v>83</v>
      </c>
    </row>
    <row r="4798" spans="5:13" hidden="1" x14ac:dyDescent="0.35">
      <c r="E4798" s="81"/>
      <c r="I4798" s="83" t="e">
        <f>VLOOKUP(E4798,[1]Mapping!$A$3:$B$14,2,FALSE)</f>
        <v>#N/A</v>
      </c>
      <c r="J4798" s="84">
        <f t="shared" si="152"/>
        <v>0</v>
      </c>
      <c r="K4798" s="84">
        <f t="shared" si="153"/>
        <v>0</v>
      </c>
      <c r="L4798" s="61" t="e">
        <f>VLOOKUP(K4798,[1]Mapping!$J$3:$Q$351,8,FALSE)</f>
        <v>#N/A</v>
      </c>
      <c r="M4798" t="s">
        <v>83</v>
      </c>
    </row>
    <row r="4799" spans="5:13" hidden="1" x14ac:dyDescent="0.35">
      <c r="E4799" s="81"/>
      <c r="I4799" s="83" t="e">
        <f>VLOOKUP(E4799,[1]Mapping!$A$3:$B$14,2,FALSE)</f>
        <v>#N/A</v>
      </c>
      <c r="J4799" s="84">
        <f t="shared" si="152"/>
        <v>0</v>
      </c>
      <c r="K4799" s="84">
        <f t="shared" si="153"/>
        <v>0</v>
      </c>
      <c r="L4799" s="61" t="e">
        <f>VLOOKUP(K4799,[1]Mapping!$J$3:$Q$351,8,FALSE)</f>
        <v>#N/A</v>
      </c>
      <c r="M4799" t="s">
        <v>83</v>
      </c>
    </row>
    <row r="4800" spans="5:13" hidden="1" x14ac:dyDescent="0.35">
      <c r="E4800" s="81"/>
      <c r="I4800" s="83" t="e">
        <f>VLOOKUP(E4800,[1]Mapping!$A$3:$B$14,2,FALSE)</f>
        <v>#N/A</v>
      </c>
      <c r="J4800" s="84">
        <f t="shared" si="152"/>
        <v>0</v>
      </c>
      <c r="K4800" s="84">
        <f t="shared" si="153"/>
        <v>0</v>
      </c>
      <c r="L4800" s="61" t="e">
        <f>VLOOKUP(K4800,[1]Mapping!$J$3:$Q$351,8,FALSE)</f>
        <v>#N/A</v>
      </c>
      <c r="M4800" t="s">
        <v>83</v>
      </c>
    </row>
    <row r="4801" spans="5:13" hidden="1" x14ac:dyDescent="0.35">
      <c r="E4801" s="81"/>
      <c r="I4801" s="83" t="e">
        <f>VLOOKUP(E4801,[1]Mapping!$A$3:$B$14,2,FALSE)</f>
        <v>#N/A</v>
      </c>
      <c r="J4801" s="84">
        <f t="shared" si="152"/>
        <v>0</v>
      </c>
      <c r="K4801" s="84">
        <f t="shared" si="153"/>
        <v>0</v>
      </c>
      <c r="L4801" s="61" t="e">
        <f>VLOOKUP(K4801,[1]Mapping!$J$3:$Q$351,8,FALSE)</f>
        <v>#N/A</v>
      </c>
      <c r="M4801" t="s">
        <v>83</v>
      </c>
    </row>
    <row r="4802" spans="5:13" hidden="1" x14ac:dyDescent="0.35">
      <c r="E4802" s="81"/>
      <c r="I4802" s="83" t="e">
        <f>VLOOKUP(E4802,[1]Mapping!$A$3:$B$14,2,FALSE)</f>
        <v>#N/A</v>
      </c>
      <c r="J4802" s="84">
        <f t="shared" si="152"/>
        <v>0</v>
      </c>
      <c r="K4802" s="84">
        <f t="shared" si="153"/>
        <v>0</v>
      </c>
      <c r="L4802" s="61" t="e">
        <f>VLOOKUP(K4802,[1]Mapping!$J$3:$Q$351,8,FALSE)</f>
        <v>#N/A</v>
      </c>
      <c r="M4802" t="s">
        <v>83</v>
      </c>
    </row>
    <row r="4803" spans="5:13" hidden="1" x14ac:dyDescent="0.35">
      <c r="E4803" s="81"/>
      <c r="I4803" s="83" t="e">
        <f>VLOOKUP(E4803,[1]Mapping!$A$3:$B$14,2,FALSE)</f>
        <v>#N/A</v>
      </c>
      <c r="J4803" s="84">
        <f t="shared" si="152"/>
        <v>0</v>
      </c>
      <c r="K4803" s="84">
        <f t="shared" si="153"/>
        <v>0</v>
      </c>
      <c r="L4803" s="61" t="e">
        <f>VLOOKUP(K4803,[1]Mapping!$J$3:$Q$351,8,FALSE)</f>
        <v>#N/A</v>
      </c>
      <c r="M4803" t="s">
        <v>83</v>
      </c>
    </row>
    <row r="4804" spans="5:13" hidden="1" x14ac:dyDescent="0.35">
      <c r="E4804" s="81"/>
      <c r="I4804" s="83" t="e">
        <f>VLOOKUP(E4804,[1]Mapping!$A$3:$B$14,2,FALSE)</f>
        <v>#N/A</v>
      </c>
      <c r="J4804" s="84">
        <f t="shared" si="152"/>
        <v>0</v>
      </c>
      <c r="K4804" s="84">
        <f t="shared" si="153"/>
        <v>0</v>
      </c>
      <c r="L4804" s="61" t="e">
        <f>VLOOKUP(K4804,[1]Mapping!$J$3:$Q$351,8,FALSE)</f>
        <v>#N/A</v>
      </c>
      <c r="M4804" t="s">
        <v>83</v>
      </c>
    </row>
    <row r="4805" spans="5:13" hidden="1" x14ac:dyDescent="0.35">
      <c r="E4805" s="81"/>
      <c r="I4805" s="83" t="e">
        <f>VLOOKUP(E4805,[1]Mapping!$A$3:$B$14,2,FALSE)</f>
        <v>#N/A</v>
      </c>
      <c r="J4805" s="84">
        <f t="shared" si="152"/>
        <v>0</v>
      </c>
      <c r="K4805" s="84">
        <f t="shared" si="153"/>
        <v>0</v>
      </c>
      <c r="L4805" s="61" t="e">
        <f>VLOOKUP(K4805,[1]Mapping!$J$3:$Q$351,8,FALSE)</f>
        <v>#N/A</v>
      </c>
      <c r="M4805" t="s">
        <v>83</v>
      </c>
    </row>
    <row r="4806" spans="5:13" hidden="1" x14ac:dyDescent="0.35">
      <c r="E4806" s="81"/>
      <c r="I4806" s="83" t="e">
        <f>VLOOKUP(E4806,[1]Mapping!$A$3:$B$14,2,FALSE)</f>
        <v>#N/A</v>
      </c>
      <c r="J4806" s="84">
        <f t="shared" si="152"/>
        <v>0</v>
      </c>
      <c r="K4806" s="84">
        <f t="shared" si="153"/>
        <v>0</v>
      </c>
      <c r="L4806" s="61" t="e">
        <f>VLOOKUP(K4806,[1]Mapping!$J$3:$Q$351,8,FALSE)</f>
        <v>#N/A</v>
      </c>
      <c r="M4806" t="s">
        <v>83</v>
      </c>
    </row>
    <row r="4807" spans="5:13" hidden="1" x14ac:dyDescent="0.35">
      <c r="E4807" s="81"/>
      <c r="I4807" s="83" t="e">
        <f>VLOOKUP(E4807,[1]Mapping!$A$3:$B$14,2,FALSE)</f>
        <v>#N/A</v>
      </c>
      <c r="J4807" s="84">
        <f t="shared" si="152"/>
        <v>0</v>
      </c>
      <c r="K4807" s="84">
        <f t="shared" si="153"/>
        <v>0</v>
      </c>
      <c r="L4807" s="61" t="e">
        <f>VLOOKUP(K4807,[1]Mapping!$J$3:$Q$351,8,FALSE)</f>
        <v>#N/A</v>
      </c>
      <c r="M4807" t="s">
        <v>83</v>
      </c>
    </row>
    <row r="4808" spans="5:13" hidden="1" x14ac:dyDescent="0.35">
      <c r="E4808" s="81"/>
      <c r="I4808" s="83" t="e">
        <f>VLOOKUP(E4808,[1]Mapping!$A$3:$B$14,2,FALSE)</f>
        <v>#N/A</v>
      </c>
      <c r="J4808" s="84">
        <f t="shared" si="152"/>
        <v>0</v>
      </c>
      <c r="K4808" s="84">
        <f t="shared" si="153"/>
        <v>0</v>
      </c>
      <c r="L4808" s="61" t="e">
        <f>VLOOKUP(K4808,[1]Mapping!$J$3:$Q$351,8,FALSE)</f>
        <v>#N/A</v>
      </c>
      <c r="M4808" t="s">
        <v>83</v>
      </c>
    </row>
    <row r="4809" spans="5:13" hidden="1" x14ac:dyDescent="0.35">
      <c r="E4809" s="81"/>
      <c r="I4809" s="83" t="e">
        <f>VLOOKUP(E4809,[1]Mapping!$A$3:$B$14,2,FALSE)</f>
        <v>#N/A</v>
      </c>
      <c r="J4809" s="84">
        <f t="shared" si="152"/>
        <v>0</v>
      </c>
      <c r="K4809" s="84">
        <f t="shared" si="153"/>
        <v>0</v>
      </c>
      <c r="L4809" s="61" t="e">
        <f>VLOOKUP(K4809,[1]Mapping!$J$3:$Q$351,8,FALSE)</f>
        <v>#N/A</v>
      </c>
      <c r="M4809" t="s">
        <v>83</v>
      </c>
    </row>
    <row r="4810" spans="5:13" hidden="1" x14ac:dyDescent="0.35">
      <c r="E4810" s="81"/>
      <c r="I4810" s="83" t="e">
        <f>VLOOKUP(E4810,[1]Mapping!$A$3:$B$14,2,FALSE)</f>
        <v>#N/A</v>
      </c>
      <c r="J4810" s="84">
        <f t="shared" si="152"/>
        <v>0</v>
      </c>
      <c r="K4810" s="84">
        <f t="shared" si="153"/>
        <v>0</v>
      </c>
      <c r="L4810" s="61" t="e">
        <f>VLOOKUP(K4810,[1]Mapping!$J$3:$Q$351,8,FALSE)</f>
        <v>#N/A</v>
      </c>
      <c r="M4810" t="s">
        <v>83</v>
      </c>
    </row>
    <row r="4811" spans="5:13" hidden="1" x14ac:dyDescent="0.35">
      <c r="E4811" s="81"/>
      <c r="I4811" s="83" t="e">
        <f>VLOOKUP(E4811,[1]Mapping!$A$3:$B$14,2,FALSE)</f>
        <v>#N/A</v>
      </c>
      <c r="J4811" s="84">
        <f t="shared" si="152"/>
        <v>0</v>
      </c>
      <c r="K4811" s="84">
        <f t="shared" si="153"/>
        <v>0</v>
      </c>
      <c r="L4811" s="61" t="e">
        <f>VLOOKUP(K4811,[1]Mapping!$J$3:$Q$351,8,FALSE)</f>
        <v>#N/A</v>
      </c>
      <c r="M4811" t="s">
        <v>83</v>
      </c>
    </row>
    <row r="4812" spans="5:13" hidden="1" x14ac:dyDescent="0.35">
      <c r="E4812" s="81"/>
      <c r="I4812" s="83" t="e">
        <f>VLOOKUP(E4812,[1]Mapping!$A$3:$B$14,2,FALSE)</f>
        <v>#N/A</v>
      </c>
      <c r="J4812" s="84">
        <f t="shared" si="152"/>
        <v>0</v>
      </c>
      <c r="K4812" s="84">
        <f t="shared" si="153"/>
        <v>0</v>
      </c>
      <c r="L4812" s="61" t="e">
        <f>VLOOKUP(K4812,[1]Mapping!$J$3:$Q$351,8,FALSE)</f>
        <v>#N/A</v>
      </c>
      <c r="M4812" t="s">
        <v>83</v>
      </c>
    </row>
    <row r="4813" spans="5:13" hidden="1" x14ac:dyDescent="0.35">
      <c r="E4813" s="81"/>
      <c r="I4813" s="83" t="e">
        <f>VLOOKUP(E4813,[1]Mapping!$A$3:$B$14,2,FALSE)</f>
        <v>#N/A</v>
      </c>
      <c r="J4813" s="84">
        <f t="shared" si="152"/>
        <v>0</v>
      </c>
      <c r="K4813" s="84">
        <f t="shared" si="153"/>
        <v>0</v>
      </c>
      <c r="L4813" s="61" t="e">
        <f>VLOOKUP(K4813,[1]Mapping!$J$3:$Q$351,8,FALSE)</f>
        <v>#N/A</v>
      </c>
      <c r="M4813" t="s">
        <v>83</v>
      </c>
    </row>
    <row r="4814" spans="5:13" hidden="1" x14ac:dyDescent="0.35">
      <c r="E4814" s="81"/>
      <c r="I4814" s="83" t="e">
        <f>VLOOKUP(E4814,[1]Mapping!$A$3:$B$14,2,FALSE)</f>
        <v>#N/A</v>
      </c>
      <c r="J4814" s="84">
        <f t="shared" si="152"/>
        <v>0</v>
      </c>
      <c r="K4814" s="84">
        <f t="shared" si="153"/>
        <v>0</v>
      </c>
      <c r="L4814" s="61" t="e">
        <f>VLOOKUP(K4814,[1]Mapping!$J$3:$Q$351,8,FALSE)</f>
        <v>#N/A</v>
      </c>
      <c r="M4814" t="s">
        <v>83</v>
      </c>
    </row>
    <row r="4815" spans="5:13" hidden="1" x14ac:dyDescent="0.35">
      <c r="E4815" s="81"/>
      <c r="I4815" s="83" t="e">
        <f>VLOOKUP(E4815,[1]Mapping!$A$3:$B$14,2,FALSE)</f>
        <v>#N/A</v>
      </c>
      <c r="J4815" s="84">
        <f t="shared" si="152"/>
        <v>0</v>
      </c>
      <c r="K4815" s="84">
        <f t="shared" si="153"/>
        <v>0</v>
      </c>
      <c r="L4815" s="61" t="e">
        <f>VLOOKUP(K4815,[1]Mapping!$J$3:$Q$351,8,FALSE)</f>
        <v>#N/A</v>
      </c>
      <c r="M4815" t="s">
        <v>83</v>
      </c>
    </row>
    <row r="4816" spans="5:13" hidden="1" x14ac:dyDescent="0.35">
      <c r="E4816" s="81"/>
      <c r="I4816" s="83" t="e">
        <f>VLOOKUP(E4816,[1]Mapping!$A$3:$B$14,2,FALSE)</f>
        <v>#N/A</v>
      </c>
      <c r="J4816" s="84">
        <f t="shared" ref="J4816:J4879" si="154">VALUE(A4816)</f>
        <v>0</v>
      </c>
      <c r="K4816" s="84">
        <f t="shared" ref="K4816:K4879" si="155">VALUE(C4816)</f>
        <v>0</v>
      </c>
      <c r="L4816" s="61" t="e">
        <f>VLOOKUP(K4816,[1]Mapping!$J$3:$Q$351,8,FALSE)</f>
        <v>#N/A</v>
      </c>
      <c r="M4816" t="s">
        <v>83</v>
      </c>
    </row>
    <row r="4817" spans="5:13" hidden="1" x14ac:dyDescent="0.35">
      <c r="E4817" s="81"/>
      <c r="I4817" s="83" t="e">
        <f>VLOOKUP(E4817,[1]Mapping!$A$3:$B$14,2,FALSE)</f>
        <v>#N/A</v>
      </c>
      <c r="J4817" s="84">
        <f t="shared" si="154"/>
        <v>0</v>
      </c>
      <c r="K4817" s="84">
        <f t="shared" si="155"/>
        <v>0</v>
      </c>
      <c r="L4817" s="61" t="e">
        <f>VLOOKUP(K4817,[1]Mapping!$J$3:$Q$351,8,FALSE)</f>
        <v>#N/A</v>
      </c>
      <c r="M4817" t="s">
        <v>83</v>
      </c>
    </row>
    <row r="4818" spans="5:13" hidden="1" x14ac:dyDescent="0.35">
      <c r="E4818" s="81"/>
      <c r="I4818" s="83" t="e">
        <f>VLOOKUP(E4818,[1]Mapping!$A$3:$B$14,2,FALSE)</f>
        <v>#N/A</v>
      </c>
      <c r="J4818" s="84">
        <f t="shared" si="154"/>
        <v>0</v>
      </c>
      <c r="K4818" s="84">
        <f t="shared" si="155"/>
        <v>0</v>
      </c>
      <c r="L4818" s="61" t="e">
        <f>VLOOKUP(K4818,[1]Mapping!$J$3:$Q$351,8,FALSE)</f>
        <v>#N/A</v>
      </c>
      <c r="M4818" t="s">
        <v>83</v>
      </c>
    </row>
    <row r="4819" spans="5:13" hidden="1" x14ac:dyDescent="0.35">
      <c r="E4819" s="81"/>
      <c r="I4819" s="83" t="e">
        <f>VLOOKUP(E4819,[1]Mapping!$A$3:$B$14,2,FALSE)</f>
        <v>#N/A</v>
      </c>
      <c r="J4819" s="84">
        <f t="shared" si="154"/>
        <v>0</v>
      </c>
      <c r="K4819" s="84">
        <f t="shared" si="155"/>
        <v>0</v>
      </c>
      <c r="L4819" s="61" t="e">
        <f>VLOOKUP(K4819,[1]Mapping!$J$3:$Q$351,8,FALSE)</f>
        <v>#N/A</v>
      </c>
      <c r="M4819" t="s">
        <v>83</v>
      </c>
    </row>
    <row r="4820" spans="5:13" hidden="1" x14ac:dyDescent="0.35">
      <c r="E4820" s="81"/>
      <c r="I4820" s="83" t="e">
        <f>VLOOKUP(E4820,[1]Mapping!$A$3:$B$14,2,FALSE)</f>
        <v>#N/A</v>
      </c>
      <c r="J4820" s="84">
        <f t="shared" si="154"/>
        <v>0</v>
      </c>
      <c r="K4820" s="84">
        <f t="shared" si="155"/>
        <v>0</v>
      </c>
      <c r="L4820" s="61" t="e">
        <f>VLOOKUP(K4820,[1]Mapping!$J$3:$Q$351,8,FALSE)</f>
        <v>#N/A</v>
      </c>
      <c r="M4820" t="s">
        <v>83</v>
      </c>
    </row>
    <row r="4821" spans="5:13" hidden="1" x14ac:dyDescent="0.35">
      <c r="E4821" s="81"/>
      <c r="I4821" s="83" t="e">
        <f>VLOOKUP(E4821,[1]Mapping!$A$3:$B$14,2,FALSE)</f>
        <v>#N/A</v>
      </c>
      <c r="J4821" s="84">
        <f t="shared" si="154"/>
        <v>0</v>
      </c>
      <c r="K4821" s="84">
        <f t="shared" si="155"/>
        <v>0</v>
      </c>
      <c r="L4821" s="61" t="e">
        <f>VLOOKUP(K4821,[1]Mapping!$J$3:$Q$351,8,FALSE)</f>
        <v>#N/A</v>
      </c>
      <c r="M4821" t="s">
        <v>83</v>
      </c>
    </row>
    <row r="4822" spans="5:13" hidden="1" x14ac:dyDescent="0.35">
      <c r="E4822" s="81"/>
      <c r="I4822" s="83" t="e">
        <f>VLOOKUP(E4822,[1]Mapping!$A$3:$B$14,2,FALSE)</f>
        <v>#N/A</v>
      </c>
      <c r="J4822" s="84">
        <f t="shared" si="154"/>
        <v>0</v>
      </c>
      <c r="K4822" s="84">
        <f t="shared" si="155"/>
        <v>0</v>
      </c>
      <c r="L4822" s="61" t="e">
        <f>VLOOKUP(K4822,[1]Mapping!$J$3:$Q$351,8,FALSE)</f>
        <v>#N/A</v>
      </c>
      <c r="M4822" t="s">
        <v>83</v>
      </c>
    </row>
    <row r="4823" spans="5:13" hidden="1" x14ac:dyDescent="0.35">
      <c r="E4823" s="81"/>
      <c r="I4823" s="83" t="e">
        <f>VLOOKUP(E4823,[1]Mapping!$A$3:$B$14,2,FALSE)</f>
        <v>#N/A</v>
      </c>
      <c r="J4823" s="84">
        <f t="shared" si="154"/>
        <v>0</v>
      </c>
      <c r="K4823" s="84">
        <f t="shared" si="155"/>
        <v>0</v>
      </c>
      <c r="L4823" s="61" t="e">
        <f>VLOOKUP(K4823,[1]Mapping!$J$3:$Q$351,8,FALSE)</f>
        <v>#N/A</v>
      </c>
      <c r="M4823" t="s">
        <v>83</v>
      </c>
    </row>
    <row r="4824" spans="5:13" hidden="1" x14ac:dyDescent="0.35">
      <c r="E4824" s="81"/>
      <c r="I4824" s="83" t="e">
        <f>VLOOKUP(E4824,[1]Mapping!$A$3:$B$14,2,FALSE)</f>
        <v>#N/A</v>
      </c>
      <c r="J4824" s="84">
        <f t="shared" si="154"/>
        <v>0</v>
      </c>
      <c r="K4824" s="84">
        <f t="shared" si="155"/>
        <v>0</v>
      </c>
      <c r="L4824" s="61" t="e">
        <f>VLOOKUP(K4824,[1]Mapping!$J$3:$Q$351,8,FALSE)</f>
        <v>#N/A</v>
      </c>
      <c r="M4824" t="s">
        <v>83</v>
      </c>
    </row>
    <row r="4825" spans="5:13" hidden="1" x14ac:dyDescent="0.35">
      <c r="E4825" s="81"/>
      <c r="I4825" s="83" t="e">
        <f>VLOOKUP(E4825,[1]Mapping!$A$3:$B$14,2,FALSE)</f>
        <v>#N/A</v>
      </c>
      <c r="J4825" s="84">
        <f t="shared" si="154"/>
        <v>0</v>
      </c>
      <c r="K4825" s="84">
        <f t="shared" si="155"/>
        <v>0</v>
      </c>
      <c r="L4825" s="61" t="e">
        <f>VLOOKUP(K4825,[1]Mapping!$J$3:$Q$351,8,FALSE)</f>
        <v>#N/A</v>
      </c>
      <c r="M4825" t="s">
        <v>83</v>
      </c>
    </row>
    <row r="4826" spans="5:13" hidden="1" x14ac:dyDescent="0.35">
      <c r="E4826" s="81"/>
      <c r="I4826" s="83" t="e">
        <f>VLOOKUP(E4826,[1]Mapping!$A$3:$B$14,2,FALSE)</f>
        <v>#N/A</v>
      </c>
      <c r="J4826" s="84">
        <f t="shared" si="154"/>
        <v>0</v>
      </c>
      <c r="K4826" s="84">
        <f t="shared" si="155"/>
        <v>0</v>
      </c>
      <c r="L4826" s="61" t="e">
        <f>VLOOKUP(K4826,[1]Mapping!$J$3:$Q$351,8,FALSE)</f>
        <v>#N/A</v>
      </c>
      <c r="M4826" t="s">
        <v>83</v>
      </c>
    </row>
    <row r="4827" spans="5:13" hidden="1" x14ac:dyDescent="0.35">
      <c r="E4827" s="81"/>
      <c r="I4827" s="83" t="e">
        <f>VLOOKUP(E4827,[1]Mapping!$A$3:$B$14,2,FALSE)</f>
        <v>#N/A</v>
      </c>
      <c r="J4827" s="84">
        <f t="shared" si="154"/>
        <v>0</v>
      </c>
      <c r="K4827" s="84">
        <f t="shared" si="155"/>
        <v>0</v>
      </c>
      <c r="L4827" s="61" t="e">
        <f>VLOOKUP(K4827,[1]Mapping!$J$3:$Q$351,8,FALSE)</f>
        <v>#N/A</v>
      </c>
      <c r="M4827" t="s">
        <v>83</v>
      </c>
    </row>
    <row r="4828" spans="5:13" hidden="1" x14ac:dyDescent="0.35">
      <c r="E4828" s="81"/>
      <c r="I4828" s="83" t="e">
        <f>VLOOKUP(E4828,[1]Mapping!$A$3:$B$14,2,FALSE)</f>
        <v>#N/A</v>
      </c>
      <c r="J4828" s="84">
        <f t="shared" si="154"/>
        <v>0</v>
      </c>
      <c r="K4828" s="84">
        <f t="shared" si="155"/>
        <v>0</v>
      </c>
      <c r="L4828" s="61" t="e">
        <f>VLOOKUP(K4828,[1]Mapping!$J$3:$Q$351,8,FALSE)</f>
        <v>#N/A</v>
      </c>
      <c r="M4828" t="s">
        <v>83</v>
      </c>
    </row>
    <row r="4829" spans="5:13" hidden="1" x14ac:dyDescent="0.35">
      <c r="E4829" s="81"/>
      <c r="I4829" s="83" t="e">
        <f>VLOOKUP(E4829,[1]Mapping!$A$3:$B$14,2,FALSE)</f>
        <v>#N/A</v>
      </c>
      <c r="J4829" s="84">
        <f t="shared" si="154"/>
        <v>0</v>
      </c>
      <c r="K4829" s="84">
        <f t="shared" si="155"/>
        <v>0</v>
      </c>
      <c r="L4829" s="61" t="e">
        <f>VLOOKUP(K4829,[1]Mapping!$J$3:$Q$351,8,FALSE)</f>
        <v>#N/A</v>
      </c>
      <c r="M4829" t="s">
        <v>83</v>
      </c>
    </row>
    <row r="4830" spans="5:13" hidden="1" x14ac:dyDescent="0.35">
      <c r="E4830" s="81"/>
      <c r="I4830" s="83" t="e">
        <f>VLOOKUP(E4830,[1]Mapping!$A$3:$B$14,2,FALSE)</f>
        <v>#N/A</v>
      </c>
      <c r="J4830" s="84">
        <f t="shared" si="154"/>
        <v>0</v>
      </c>
      <c r="K4830" s="84">
        <f t="shared" si="155"/>
        <v>0</v>
      </c>
      <c r="L4830" s="61" t="e">
        <f>VLOOKUP(K4830,[1]Mapping!$J$3:$Q$351,8,FALSE)</f>
        <v>#N/A</v>
      </c>
      <c r="M4830" t="s">
        <v>83</v>
      </c>
    </row>
    <row r="4831" spans="5:13" hidden="1" x14ac:dyDescent="0.35">
      <c r="E4831" s="81"/>
      <c r="I4831" s="83" t="e">
        <f>VLOOKUP(E4831,[1]Mapping!$A$3:$B$14,2,FALSE)</f>
        <v>#N/A</v>
      </c>
      <c r="J4831" s="84">
        <f t="shared" si="154"/>
        <v>0</v>
      </c>
      <c r="K4831" s="84">
        <f t="shared" si="155"/>
        <v>0</v>
      </c>
      <c r="L4831" s="61" t="e">
        <f>VLOOKUP(K4831,[1]Mapping!$J$3:$Q$351,8,FALSE)</f>
        <v>#N/A</v>
      </c>
      <c r="M4831" t="s">
        <v>83</v>
      </c>
    </row>
    <row r="4832" spans="5:13" hidden="1" x14ac:dyDescent="0.35">
      <c r="E4832" s="81"/>
      <c r="I4832" s="83" t="e">
        <f>VLOOKUP(E4832,[1]Mapping!$A$3:$B$14,2,FALSE)</f>
        <v>#N/A</v>
      </c>
      <c r="J4832" s="84">
        <f t="shared" si="154"/>
        <v>0</v>
      </c>
      <c r="K4832" s="84">
        <f t="shared" si="155"/>
        <v>0</v>
      </c>
      <c r="L4832" s="61" t="e">
        <f>VLOOKUP(K4832,[1]Mapping!$J$3:$Q$351,8,FALSE)</f>
        <v>#N/A</v>
      </c>
      <c r="M4832" t="s">
        <v>83</v>
      </c>
    </row>
    <row r="4833" spans="5:13" hidden="1" x14ac:dyDescent="0.35">
      <c r="E4833" s="81"/>
      <c r="I4833" s="83" t="e">
        <f>VLOOKUP(E4833,[1]Mapping!$A$3:$B$14,2,FALSE)</f>
        <v>#N/A</v>
      </c>
      <c r="J4833" s="84">
        <f t="shared" si="154"/>
        <v>0</v>
      </c>
      <c r="K4833" s="84">
        <f t="shared" si="155"/>
        <v>0</v>
      </c>
      <c r="L4833" s="61" t="e">
        <f>VLOOKUP(K4833,[1]Mapping!$J$3:$Q$351,8,FALSE)</f>
        <v>#N/A</v>
      </c>
      <c r="M4833" t="s">
        <v>83</v>
      </c>
    </row>
    <row r="4834" spans="5:13" hidden="1" x14ac:dyDescent="0.35">
      <c r="E4834" s="81"/>
      <c r="I4834" s="83" t="e">
        <f>VLOOKUP(E4834,[1]Mapping!$A$3:$B$14,2,FALSE)</f>
        <v>#N/A</v>
      </c>
      <c r="J4834" s="84">
        <f t="shared" si="154"/>
        <v>0</v>
      </c>
      <c r="K4834" s="84">
        <f t="shared" si="155"/>
        <v>0</v>
      </c>
      <c r="L4834" s="61" t="e">
        <f>VLOOKUP(K4834,[1]Mapping!$J$3:$Q$351,8,FALSE)</f>
        <v>#N/A</v>
      </c>
      <c r="M4834" t="s">
        <v>83</v>
      </c>
    </row>
    <row r="4835" spans="5:13" hidden="1" x14ac:dyDescent="0.35">
      <c r="E4835" s="81"/>
      <c r="I4835" s="83" t="e">
        <f>VLOOKUP(E4835,[1]Mapping!$A$3:$B$14,2,FALSE)</f>
        <v>#N/A</v>
      </c>
      <c r="J4835" s="84">
        <f t="shared" si="154"/>
        <v>0</v>
      </c>
      <c r="K4835" s="84">
        <f t="shared" si="155"/>
        <v>0</v>
      </c>
      <c r="L4835" s="61" t="e">
        <f>VLOOKUP(K4835,[1]Mapping!$J$3:$Q$351,8,FALSE)</f>
        <v>#N/A</v>
      </c>
      <c r="M4835" t="s">
        <v>83</v>
      </c>
    </row>
    <row r="4836" spans="5:13" hidden="1" x14ac:dyDescent="0.35">
      <c r="E4836" s="81"/>
      <c r="I4836" s="83" t="e">
        <f>VLOOKUP(E4836,[1]Mapping!$A$3:$B$14,2,FALSE)</f>
        <v>#N/A</v>
      </c>
      <c r="J4836" s="84">
        <f t="shared" si="154"/>
        <v>0</v>
      </c>
      <c r="K4836" s="84">
        <f t="shared" si="155"/>
        <v>0</v>
      </c>
      <c r="L4836" s="61" t="e">
        <f>VLOOKUP(K4836,[1]Mapping!$J$3:$Q$351,8,FALSE)</f>
        <v>#N/A</v>
      </c>
      <c r="M4836" t="s">
        <v>83</v>
      </c>
    </row>
    <row r="4837" spans="5:13" hidden="1" x14ac:dyDescent="0.35">
      <c r="E4837" s="81"/>
      <c r="I4837" s="83" t="e">
        <f>VLOOKUP(E4837,[1]Mapping!$A$3:$B$14,2,FALSE)</f>
        <v>#N/A</v>
      </c>
      <c r="J4837" s="84">
        <f t="shared" si="154"/>
        <v>0</v>
      </c>
      <c r="K4837" s="84">
        <f t="shared" si="155"/>
        <v>0</v>
      </c>
      <c r="L4837" s="61" t="e">
        <f>VLOOKUP(K4837,[1]Mapping!$J$3:$Q$351,8,FALSE)</f>
        <v>#N/A</v>
      </c>
      <c r="M4837" t="s">
        <v>83</v>
      </c>
    </row>
    <row r="4838" spans="5:13" hidden="1" x14ac:dyDescent="0.35">
      <c r="E4838" s="81"/>
      <c r="I4838" s="83" t="e">
        <f>VLOOKUP(E4838,[1]Mapping!$A$3:$B$14,2,FALSE)</f>
        <v>#N/A</v>
      </c>
      <c r="J4838" s="84">
        <f t="shared" si="154"/>
        <v>0</v>
      </c>
      <c r="K4838" s="84">
        <f t="shared" si="155"/>
        <v>0</v>
      </c>
      <c r="L4838" s="61" t="e">
        <f>VLOOKUP(K4838,[1]Mapping!$J$3:$Q$351,8,FALSE)</f>
        <v>#N/A</v>
      </c>
      <c r="M4838" t="s">
        <v>83</v>
      </c>
    </row>
    <row r="4839" spans="5:13" hidden="1" x14ac:dyDescent="0.35">
      <c r="E4839" s="81"/>
      <c r="I4839" s="83" t="e">
        <f>VLOOKUP(E4839,[1]Mapping!$A$3:$B$14,2,FALSE)</f>
        <v>#N/A</v>
      </c>
      <c r="J4839" s="84">
        <f t="shared" si="154"/>
        <v>0</v>
      </c>
      <c r="K4839" s="84">
        <f t="shared" si="155"/>
        <v>0</v>
      </c>
      <c r="L4839" s="61" t="e">
        <f>VLOOKUP(K4839,[1]Mapping!$J$3:$Q$351,8,FALSE)</f>
        <v>#N/A</v>
      </c>
      <c r="M4839" t="s">
        <v>83</v>
      </c>
    </row>
    <row r="4840" spans="5:13" hidden="1" x14ac:dyDescent="0.35">
      <c r="E4840" s="81"/>
      <c r="I4840" s="83" t="e">
        <f>VLOOKUP(E4840,[1]Mapping!$A$3:$B$14,2,FALSE)</f>
        <v>#N/A</v>
      </c>
      <c r="J4840" s="84">
        <f t="shared" si="154"/>
        <v>0</v>
      </c>
      <c r="K4840" s="84">
        <f t="shared" si="155"/>
        <v>0</v>
      </c>
      <c r="L4840" s="61" t="e">
        <f>VLOOKUP(K4840,[1]Mapping!$J$3:$Q$351,8,FALSE)</f>
        <v>#N/A</v>
      </c>
      <c r="M4840" t="s">
        <v>83</v>
      </c>
    </row>
    <row r="4841" spans="5:13" hidden="1" x14ac:dyDescent="0.35">
      <c r="E4841" s="81"/>
      <c r="I4841" s="83" t="e">
        <f>VLOOKUP(E4841,[1]Mapping!$A$3:$B$14,2,FALSE)</f>
        <v>#N/A</v>
      </c>
      <c r="J4841" s="84">
        <f t="shared" si="154"/>
        <v>0</v>
      </c>
      <c r="K4841" s="84">
        <f t="shared" si="155"/>
        <v>0</v>
      </c>
      <c r="L4841" s="61" t="e">
        <f>VLOOKUP(K4841,[1]Mapping!$J$3:$Q$351,8,FALSE)</f>
        <v>#N/A</v>
      </c>
      <c r="M4841" t="s">
        <v>83</v>
      </c>
    </row>
    <row r="4842" spans="5:13" hidden="1" x14ac:dyDescent="0.35">
      <c r="E4842" s="81"/>
      <c r="I4842" s="83" t="e">
        <f>VLOOKUP(E4842,[1]Mapping!$A$3:$B$14,2,FALSE)</f>
        <v>#N/A</v>
      </c>
      <c r="J4842" s="84">
        <f t="shared" si="154"/>
        <v>0</v>
      </c>
      <c r="K4842" s="84">
        <f t="shared" si="155"/>
        <v>0</v>
      </c>
      <c r="L4842" s="61" t="e">
        <f>VLOOKUP(K4842,[1]Mapping!$J$3:$Q$351,8,FALSE)</f>
        <v>#N/A</v>
      </c>
      <c r="M4842" t="s">
        <v>83</v>
      </c>
    </row>
    <row r="4843" spans="5:13" hidden="1" x14ac:dyDescent="0.35">
      <c r="E4843" s="81"/>
      <c r="I4843" s="83" t="e">
        <f>VLOOKUP(E4843,[1]Mapping!$A$3:$B$14,2,FALSE)</f>
        <v>#N/A</v>
      </c>
      <c r="J4843" s="84">
        <f t="shared" si="154"/>
        <v>0</v>
      </c>
      <c r="K4843" s="84">
        <f t="shared" si="155"/>
        <v>0</v>
      </c>
      <c r="L4843" s="61" t="e">
        <f>VLOOKUP(K4843,[1]Mapping!$J$3:$Q$351,8,FALSE)</f>
        <v>#N/A</v>
      </c>
      <c r="M4843" t="s">
        <v>83</v>
      </c>
    </row>
    <row r="4844" spans="5:13" hidden="1" x14ac:dyDescent="0.35">
      <c r="E4844" s="81"/>
      <c r="I4844" s="83" t="e">
        <f>VLOOKUP(E4844,[1]Mapping!$A$3:$B$14,2,FALSE)</f>
        <v>#N/A</v>
      </c>
      <c r="J4844" s="84">
        <f t="shared" si="154"/>
        <v>0</v>
      </c>
      <c r="K4844" s="84">
        <f t="shared" si="155"/>
        <v>0</v>
      </c>
      <c r="L4844" s="61" t="e">
        <f>VLOOKUP(K4844,[1]Mapping!$J$3:$Q$351,8,FALSE)</f>
        <v>#N/A</v>
      </c>
      <c r="M4844" t="s">
        <v>83</v>
      </c>
    </row>
    <row r="4845" spans="5:13" hidden="1" x14ac:dyDescent="0.35">
      <c r="E4845" s="81"/>
      <c r="I4845" s="83" t="e">
        <f>VLOOKUP(E4845,[1]Mapping!$A$3:$B$14,2,FALSE)</f>
        <v>#N/A</v>
      </c>
      <c r="J4845" s="84">
        <f t="shared" si="154"/>
        <v>0</v>
      </c>
      <c r="K4845" s="84">
        <f t="shared" si="155"/>
        <v>0</v>
      </c>
      <c r="L4845" s="61" t="e">
        <f>VLOOKUP(K4845,[1]Mapping!$J$3:$Q$351,8,FALSE)</f>
        <v>#N/A</v>
      </c>
      <c r="M4845" t="s">
        <v>83</v>
      </c>
    </row>
    <row r="4846" spans="5:13" hidden="1" x14ac:dyDescent="0.35">
      <c r="E4846" s="81"/>
      <c r="I4846" s="83" t="e">
        <f>VLOOKUP(E4846,[1]Mapping!$A$3:$B$14,2,FALSE)</f>
        <v>#N/A</v>
      </c>
      <c r="J4846" s="84">
        <f t="shared" si="154"/>
        <v>0</v>
      </c>
      <c r="K4846" s="84">
        <f t="shared" si="155"/>
        <v>0</v>
      </c>
      <c r="L4846" s="61" t="e">
        <f>VLOOKUP(K4846,[1]Mapping!$J$3:$Q$351,8,FALSE)</f>
        <v>#N/A</v>
      </c>
      <c r="M4846" t="s">
        <v>83</v>
      </c>
    </row>
    <row r="4847" spans="5:13" hidden="1" x14ac:dyDescent="0.35">
      <c r="E4847" s="81"/>
      <c r="I4847" s="83" t="e">
        <f>VLOOKUP(E4847,[1]Mapping!$A$3:$B$14,2,FALSE)</f>
        <v>#N/A</v>
      </c>
      <c r="J4847" s="84">
        <f t="shared" si="154"/>
        <v>0</v>
      </c>
      <c r="K4847" s="84">
        <f t="shared" si="155"/>
        <v>0</v>
      </c>
      <c r="L4847" s="61" t="e">
        <f>VLOOKUP(K4847,[1]Mapping!$J$3:$Q$351,8,FALSE)</f>
        <v>#N/A</v>
      </c>
      <c r="M4847" t="s">
        <v>83</v>
      </c>
    </row>
    <row r="4848" spans="5:13" hidden="1" x14ac:dyDescent="0.35">
      <c r="E4848" s="81"/>
      <c r="I4848" s="83" t="e">
        <f>VLOOKUP(E4848,[1]Mapping!$A$3:$B$14,2,FALSE)</f>
        <v>#N/A</v>
      </c>
      <c r="J4848" s="84">
        <f t="shared" si="154"/>
        <v>0</v>
      </c>
      <c r="K4848" s="84">
        <f t="shared" si="155"/>
        <v>0</v>
      </c>
      <c r="L4848" s="61" t="e">
        <f>VLOOKUP(K4848,[1]Mapping!$J$3:$Q$351,8,FALSE)</f>
        <v>#N/A</v>
      </c>
      <c r="M4848" t="s">
        <v>83</v>
      </c>
    </row>
    <row r="4849" spans="5:13" hidden="1" x14ac:dyDescent="0.35">
      <c r="E4849" s="81"/>
      <c r="I4849" s="83" t="e">
        <f>VLOOKUP(E4849,[1]Mapping!$A$3:$B$14,2,FALSE)</f>
        <v>#N/A</v>
      </c>
      <c r="J4849" s="84">
        <f t="shared" si="154"/>
        <v>0</v>
      </c>
      <c r="K4849" s="84">
        <f t="shared" si="155"/>
        <v>0</v>
      </c>
      <c r="L4849" s="61" t="e">
        <f>VLOOKUP(K4849,[1]Mapping!$J$3:$Q$351,8,FALSE)</f>
        <v>#N/A</v>
      </c>
      <c r="M4849" t="s">
        <v>83</v>
      </c>
    </row>
    <row r="4850" spans="5:13" hidden="1" x14ac:dyDescent="0.35">
      <c r="E4850" s="81"/>
      <c r="I4850" s="83" t="e">
        <f>VLOOKUP(E4850,[1]Mapping!$A$3:$B$14,2,FALSE)</f>
        <v>#N/A</v>
      </c>
      <c r="J4850" s="84">
        <f t="shared" si="154"/>
        <v>0</v>
      </c>
      <c r="K4850" s="84">
        <f t="shared" si="155"/>
        <v>0</v>
      </c>
      <c r="L4850" s="61" t="e">
        <f>VLOOKUP(K4850,[1]Mapping!$J$3:$Q$351,8,FALSE)</f>
        <v>#N/A</v>
      </c>
      <c r="M4850" t="s">
        <v>83</v>
      </c>
    </row>
    <row r="4851" spans="5:13" hidden="1" x14ac:dyDescent="0.35">
      <c r="E4851" s="81"/>
      <c r="I4851" s="83" t="e">
        <f>VLOOKUP(E4851,[1]Mapping!$A$3:$B$14,2,FALSE)</f>
        <v>#N/A</v>
      </c>
      <c r="J4851" s="84">
        <f t="shared" si="154"/>
        <v>0</v>
      </c>
      <c r="K4851" s="84">
        <f t="shared" si="155"/>
        <v>0</v>
      </c>
      <c r="L4851" s="61" t="e">
        <f>VLOOKUP(K4851,[1]Mapping!$J$3:$Q$351,8,FALSE)</f>
        <v>#N/A</v>
      </c>
      <c r="M4851" t="s">
        <v>83</v>
      </c>
    </row>
    <row r="4852" spans="5:13" hidden="1" x14ac:dyDescent="0.35">
      <c r="E4852" s="81"/>
      <c r="I4852" s="83" t="e">
        <f>VLOOKUP(E4852,[1]Mapping!$A$3:$B$14,2,FALSE)</f>
        <v>#N/A</v>
      </c>
      <c r="J4852" s="84">
        <f t="shared" si="154"/>
        <v>0</v>
      </c>
      <c r="K4852" s="84">
        <f t="shared" si="155"/>
        <v>0</v>
      </c>
      <c r="L4852" s="61" t="e">
        <f>VLOOKUP(K4852,[1]Mapping!$J$3:$Q$351,8,FALSE)</f>
        <v>#N/A</v>
      </c>
      <c r="M4852" t="s">
        <v>83</v>
      </c>
    </row>
    <row r="4853" spans="5:13" hidden="1" x14ac:dyDescent="0.35">
      <c r="E4853" s="81"/>
      <c r="I4853" s="83" t="e">
        <f>VLOOKUP(E4853,[1]Mapping!$A$3:$B$14,2,FALSE)</f>
        <v>#N/A</v>
      </c>
      <c r="J4853" s="84">
        <f t="shared" si="154"/>
        <v>0</v>
      </c>
      <c r="K4853" s="84">
        <f t="shared" si="155"/>
        <v>0</v>
      </c>
      <c r="L4853" s="61" t="e">
        <f>VLOOKUP(K4853,[1]Mapping!$J$3:$Q$351,8,FALSE)</f>
        <v>#N/A</v>
      </c>
      <c r="M4853" t="s">
        <v>83</v>
      </c>
    </row>
    <row r="4854" spans="5:13" hidden="1" x14ac:dyDescent="0.35">
      <c r="E4854" s="81"/>
      <c r="I4854" s="83" t="e">
        <f>VLOOKUP(E4854,[1]Mapping!$A$3:$B$14,2,FALSE)</f>
        <v>#N/A</v>
      </c>
      <c r="J4854" s="84">
        <f t="shared" si="154"/>
        <v>0</v>
      </c>
      <c r="K4854" s="84">
        <f t="shared" si="155"/>
        <v>0</v>
      </c>
      <c r="L4854" s="61" t="e">
        <f>VLOOKUP(K4854,[1]Mapping!$J$3:$Q$351,8,FALSE)</f>
        <v>#N/A</v>
      </c>
      <c r="M4854" t="s">
        <v>83</v>
      </c>
    </row>
    <row r="4855" spans="5:13" hidden="1" x14ac:dyDescent="0.35">
      <c r="E4855" s="81"/>
      <c r="I4855" s="83" t="e">
        <f>VLOOKUP(E4855,[1]Mapping!$A$3:$B$14,2,FALSE)</f>
        <v>#N/A</v>
      </c>
      <c r="J4855" s="84">
        <f t="shared" si="154"/>
        <v>0</v>
      </c>
      <c r="K4855" s="84">
        <f t="shared" si="155"/>
        <v>0</v>
      </c>
      <c r="L4855" s="61" t="e">
        <f>VLOOKUP(K4855,[1]Mapping!$J$3:$Q$351,8,FALSE)</f>
        <v>#N/A</v>
      </c>
      <c r="M4855" t="s">
        <v>83</v>
      </c>
    </row>
    <row r="4856" spans="5:13" hidden="1" x14ac:dyDescent="0.35">
      <c r="E4856" s="81"/>
      <c r="I4856" s="83" t="e">
        <f>VLOOKUP(E4856,[1]Mapping!$A$3:$B$14,2,FALSE)</f>
        <v>#N/A</v>
      </c>
      <c r="J4856" s="84">
        <f t="shared" si="154"/>
        <v>0</v>
      </c>
      <c r="K4856" s="84">
        <f t="shared" si="155"/>
        <v>0</v>
      </c>
      <c r="L4856" s="61" t="e">
        <f>VLOOKUP(K4856,[1]Mapping!$J$3:$Q$351,8,FALSE)</f>
        <v>#N/A</v>
      </c>
      <c r="M4856" t="s">
        <v>83</v>
      </c>
    </row>
    <row r="4857" spans="5:13" hidden="1" x14ac:dyDescent="0.35">
      <c r="E4857" s="81"/>
      <c r="I4857" s="83" t="e">
        <f>VLOOKUP(E4857,[1]Mapping!$A$3:$B$14,2,FALSE)</f>
        <v>#N/A</v>
      </c>
      <c r="J4857" s="84">
        <f t="shared" si="154"/>
        <v>0</v>
      </c>
      <c r="K4857" s="84">
        <f t="shared" si="155"/>
        <v>0</v>
      </c>
      <c r="L4857" s="61" t="e">
        <f>VLOOKUP(K4857,[1]Mapping!$J$3:$Q$351,8,FALSE)</f>
        <v>#N/A</v>
      </c>
      <c r="M4857" t="s">
        <v>83</v>
      </c>
    </row>
    <row r="4858" spans="5:13" hidden="1" x14ac:dyDescent="0.35">
      <c r="E4858" s="81"/>
      <c r="I4858" s="83" t="e">
        <f>VLOOKUP(E4858,[1]Mapping!$A$3:$B$14,2,FALSE)</f>
        <v>#N/A</v>
      </c>
      <c r="J4858" s="84">
        <f t="shared" si="154"/>
        <v>0</v>
      </c>
      <c r="K4858" s="84">
        <f t="shared" si="155"/>
        <v>0</v>
      </c>
      <c r="L4858" s="61" t="e">
        <f>VLOOKUP(K4858,[1]Mapping!$J$3:$Q$351,8,FALSE)</f>
        <v>#N/A</v>
      </c>
      <c r="M4858" t="s">
        <v>83</v>
      </c>
    </row>
    <row r="4859" spans="5:13" hidden="1" x14ac:dyDescent="0.35">
      <c r="E4859" s="81"/>
      <c r="I4859" s="83" t="e">
        <f>VLOOKUP(E4859,[1]Mapping!$A$3:$B$14,2,FALSE)</f>
        <v>#N/A</v>
      </c>
      <c r="J4859" s="84">
        <f t="shared" si="154"/>
        <v>0</v>
      </c>
      <c r="K4859" s="84">
        <f t="shared" si="155"/>
        <v>0</v>
      </c>
      <c r="L4859" s="61" t="e">
        <f>VLOOKUP(K4859,[1]Mapping!$J$3:$Q$351,8,FALSE)</f>
        <v>#N/A</v>
      </c>
      <c r="M4859" t="s">
        <v>83</v>
      </c>
    </row>
    <row r="4860" spans="5:13" hidden="1" x14ac:dyDescent="0.35">
      <c r="E4860" s="81"/>
      <c r="I4860" s="83" t="e">
        <f>VLOOKUP(E4860,[1]Mapping!$A$3:$B$14,2,FALSE)</f>
        <v>#N/A</v>
      </c>
      <c r="J4860" s="84">
        <f t="shared" si="154"/>
        <v>0</v>
      </c>
      <c r="K4860" s="84">
        <f t="shared" si="155"/>
        <v>0</v>
      </c>
      <c r="L4860" s="61" t="e">
        <f>VLOOKUP(K4860,[1]Mapping!$J$3:$Q$351,8,FALSE)</f>
        <v>#N/A</v>
      </c>
      <c r="M4860" t="s">
        <v>83</v>
      </c>
    </row>
    <row r="4861" spans="5:13" hidden="1" x14ac:dyDescent="0.35">
      <c r="E4861" s="81"/>
      <c r="I4861" s="83" t="e">
        <f>VLOOKUP(E4861,[1]Mapping!$A$3:$B$14,2,FALSE)</f>
        <v>#N/A</v>
      </c>
      <c r="J4861" s="84">
        <f t="shared" si="154"/>
        <v>0</v>
      </c>
      <c r="K4861" s="84">
        <f t="shared" si="155"/>
        <v>0</v>
      </c>
      <c r="L4861" s="61" t="e">
        <f>VLOOKUP(K4861,[1]Mapping!$J$3:$Q$351,8,FALSE)</f>
        <v>#N/A</v>
      </c>
      <c r="M4861" t="s">
        <v>83</v>
      </c>
    </row>
    <row r="4862" spans="5:13" hidden="1" x14ac:dyDescent="0.35">
      <c r="E4862" s="81"/>
      <c r="I4862" s="83" t="e">
        <f>VLOOKUP(E4862,[1]Mapping!$A$3:$B$14,2,FALSE)</f>
        <v>#N/A</v>
      </c>
      <c r="J4862" s="84">
        <f t="shared" si="154"/>
        <v>0</v>
      </c>
      <c r="K4862" s="84">
        <f t="shared" si="155"/>
        <v>0</v>
      </c>
      <c r="L4862" s="61" t="e">
        <f>VLOOKUP(K4862,[1]Mapping!$J$3:$Q$351,8,FALSE)</f>
        <v>#N/A</v>
      </c>
      <c r="M4862" t="s">
        <v>83</v>
      </c>
    </row>
    <row r="4863" spans="5:13" hidden="1" x14ac:dyDescent="0.35">
      <c r="E4863" s="81"/>
      <c r="I4863" s="83" t="e">
        <f>VLOOKUP(E4863,[1]Mapping!$A$3:$B$14,2,FALSE)</f>
        <v>#N/A</v>
      </c>
      <c r="J4863" s="84">
        <f t="shared" si="154"/>
        <v>0</v>
      </c>
      <c r="K4863" s="84">
        <f t="shared" si="155"/>
        <v>0</v>
      </c>
      <c r="L4863" s="61" t="e">
        <f>VLOOKUP(K4863,[1]Mapping!$J$3:$Q$351,8,FALSE)</f>
        <v>#N/A</v>
      </c>
      <c r="M4863" t="s">
        <v>83</v>
      </c>
    </row>
    <row r="4864" spans="5:13" hidden="1" x14ac:dyDescent="0.35">
      <c r="E4864" s="81"/>
      <c r="I4864" s="83" t="e">
        <f>VLOOKUP(E4864,[1]Mapping!$A$3:$B$14,2,FALSE)</f>
        <v>#N/A</v>
      </c>
      <c r="J4864" s="84">
        <f t="shared" si="154"/>
        <v>0</v>
      </c>
      <c r="K4864" s="84">
        <f t="shared" si="155"/>
        <v>0</v>
      </c>
      <c r="L4864" s="61" t="e">
        <f>VLOOKUP(K4864,[1]Mapping!$J$3:$Q$351,8,FALSE)</f>
        <v>#N/A</v>
      </c>
      <c r="M4864" t="s">
        <v>83</v>
      </c>
    </row>
    <row r="4865" spans="5:13" hidden="1" x14ac:dyDescent="0.35">
      <c r="E4865" s="81"/>
      <c r="I4865" s="83" t="e">
        <f>VLOOKUP(E4865,[1]Mapping!$A$3:$B$14,2,FALSE)</f>
        <v>#N/A</v>
      </c>
      <c r="J4865" s="84">
        <f t="shared" si="154"/>
        <v>0</v>
      </c>
      <c r="K4865" s="84">
        <f t="shared" si="155"/>
        <v>0</v>
      </c>
      <c r="L4865" s="61" t="e">
        <f>VLOOKUP(K4865,[1]Mapping!$J$3:$Q$351,8,FALSE)</f>
        <v>#N/A</v>
      </c>
      <c r="M4865" t="s">
        <v>83</v>
      </c>
    </row>
    <row r="4866" spans="5:13" hidden="1" x14ac:dyDescent="0.35">
      <c r="E4866" s="81"/>
      <c r="I4866" s="83" t="e">
        <f>VLOOKUP(E4866,[1]Mapping!$A$3:$B$14,2,FALSE)</f>
        <v>#N/A</v>
      </c>
      <c r="J4866" s="84">
        <f t="shared" si="154"/>
        <v>0</v>
      </c>
      <c r="K4866" s="84">
        <f t="shared" si="155"/>
        <v>0</v>
      </c>
      <c r="L4866" s="61" t="e">
        <f>VLOOKUP(K4866,[1]Mapping!$J$3:$Q$351,8,FALSE)</f>
        <v>#N/A</v>
      </c>
      <c r="M4866" t="s">
        <v>83</v>
      </c>
    </row>
    <row r="4867" spans="5:13" hidden="1" x14ac:dyDescent="0.35">
      <c r="E4867" s="81"/>
      <c r="I4867" s="83" t="e">
        <f>VLOOKUP(E4867,[1]Mapping!$A$3:$B$14,2,FALSE)</f>
        <v>#N/A</v>
      </c>
      <c r="J4867" s="84">
        <f t="shared" si="154"/>
        <v>0</v>
      </c>
      <c r="K4867" s="84">
        <f t="shared" si="155"/>
        <v>0</v>
      </c>
      <c r="L4867" s="61" t="e">
        <f>VLOOKUP(K4867,[1]Mapping!$J$3:$Q$351,8,FALSE)</f>
        <v>#N/A</v>
      </c>
      <c r="M4867" t="s">
        <v>83</v>
      </c>
    </row>
    <row r="4868" spans="5:13" hidden="1" x14ac:dyDescent="0.35">
      <c r="E4868" s="81"/>
      <c r="I4868" s="83" t="e">
        <f>VLOOKUP(E4868,[1]Mapping!$A$3:$B$14,2,FALSE)</f>
        <v>#N/A</v>
      </c>
      <c r="J4868" s="84">
        <f t="shared" si="154"/>
        <v>0</v>
      </c>
      <c r="K4868" s="84">
        <f t="shared" si="155"/>
        <v>0</v>
      </c>
      <c r="L4868" s="61" t="e">
        <f>VLOOKUP(K4868,[1]Mapping!$J$3:$Q$351,8,FALSE)</f>
        <v>#N/A</v>
      </c>
      <c r="M4868" t="s">
        <v>83</v>
      </c>
    </row>
    <row r="4869" spans="5:13" hidden="1" x14ac:dyDescent="0.35">
      <c r="E4869" s="81"/>
      <c r="I4869" s="83" t="e">
        <f>VLOOKUP(E4869,[1]Mapping!$A$3:$B$14,2,FALSE)</f>
        <v>#N/A</v>
      </c>
      <c r="J4869" s="84">
        <f t="shared" si="154"/>
        <v>0</v>
      </c>
      <c r="K4869" s="84">
        <f t="shared" si="155"/>
        <v>0</v>
      </c>
      <c r="L4869" s="61" t="e">
        <f>VLOOKUP(K4869,[1]Mapping!$J$3:$Q$351,8,FALSE)</f>
        <v>#N/A</v>
      </c>
      <c r="M4869" t="s">
        <v>83</v>
      </c>
    </row>
    <row r="4870" spans="5:13" hidden="1" x14ac:dyDescent="0.35">
      <c r="E4870" s="81"/>
      <c r="I4870" s="83" t="e">
        <f>VLOOKUP(E4870,[1]Mapping!$A$3:$B$14,2,FALSE)</f>
        <v>#N/A</v>
      </c>
      <c r="J4870" s="84">
        <f t="shared" si="154"/>
        <v>0</v>
      </c>
      <c r="K4870" s="84">
        <f t="shared" si="155"/>
        <v>0</v>
      </c>
      <c r="L4870" s="61" t="e">
        <f>VLOOKUP(K4870,[1]Mapping!$J$3:$Q$351,8,FALSE)</f>
        <v>#N/A</v>
      </c>
      <c r="M4870" t="s">
        <v>83</v>
      </c>
    </row>
    <row r="4871" spans="5:13" hidden="1" x14ac:dyDescent="0.35">
      <c r="E4871" s="81"/>
      <c r="I4871" s="83" t="e">
        <f>VLOOKUP(E4871,[1]Mapping!$A$3:$B$14,2,FALSE)</f>
        <v>#N/A</v>
      </c>
      <c r="J4871" s="84">
        <f t="shared" si="154"/>
        <v>0</v>
      </c>
      <c r="K4871" s="84">
        <f t="shared" si="155"/>
        <v>0</v>
      </c>
      <c r="L4871" s="61" t="e">
        <f>VLOOKUP(K4871,[1]Mapping!$J$3:$Q$351,8,FALSE)</f>
        <v>#N/A</v>
      </c>
      <c r="M4871" t="s">
        <v>83</v>
      </c>
    </row>
    <row r="4872" spans="5:13" hidden="1" x14ac:dyDescent="0.35">
      <c r="E4872" s="81"/>
      <c r="I4872" s="83" t="e">
        <f>VLOOKUP(E4872,[1]Mapping!$A$3:$B$14,2,FALSE)</f>
        <v>#N/A</v>
      </c>
      <c r="J4872" s="84">
        <f t="shared" si="154"/>
        <v>0</v>
      </c>
      <c r="K4872" s="84">
        <f t="shared" si="155"/>
        <v>0</v>
      </c>
      <c r="L4872" s="61" t="e">
        <f>VLOOKUP(K4872,[1]Mapping!$J$3:$Q$351,8,FALSE)</f>
        <v>#N/A</v>
      </c>
      <c r="M4872" t="s">
        <v>83</v>
      </c>
    </row>
    <row r="4873" spans="5:13" hidden="1" x14ac:dyDescent="0.35">
      <c r="E4873" s="81"/>
      <c r="I4873" s="83" t="e">
        <f>VLOOKUP(E4873,[1]Mapping!$A$3:$B$14,2,FALSE)</f>
        <v>#N/A</v>
      </c>
      <c r="J4873" s="84">
        <f t="shared" si="154"/>
        <v>0</v>
      </c>
      <c r="K4873" s="84">
        <f t="shared" si="155"/>
        <v>0</v>
      </c>
      <c r="L4873" s="61" t="e">
        <f>VLOOKUP(K4873,[1]Mapping!$J$3:$Q$351,8,FALSE)</f>
        <v>#N/A</v>
      </c>
      <c r="M4873" t="s">
        <v>83</v>
      </c>
    </row>
    <row r="4874" spans="5:13" hidden="1" x14ac:dyDescent="0.35">
      <c r="E4874" s="81"/>
      <c r="I4874" s="83" t="e">
        <f>VLOOKUP(E4874,[1]Mapping!$A$3:$B$14,2,FALSE)</f>
        <v>#N/A</v>
      </c>
      <c r="J4874" s="84">
        <f t="shared" si="154"/>
        <v>0</v>
      </c>
      <c r="K4874" s="84">
        <f t="shared" si="155"/>
        <v>0</v>
      </c>
      <c r="L4874" s="61" t="e">
        <f>VLOOKUP(K4874,[1]Mapping!$J$3:$Q$351,8,FALSE)</f>
        <v>#N/A</v>
      </c>
      <c r="M4874" t="s">
        <v>83</v>
      </c>
    </row>
    <row r="4875" spans="5:13" hidden="1" x14ac:dyDescent="0.35">
      <c r="E4875" s="81"/>
      <c r="I4875" s="83" t="e">
        <f>VLOOKUP(E4875,[1]Mapping!$A$3:$B$14,2,FALSE)</f>
        <v>#N/A</v>
      </c>
      <c r="J4875" s="84">
        <f t="shared" si="154"/>
        <v>0</v>
      </c>
      <c r="K4875" s="84">
        <f t="shared" si="155"/>
        <v>0</v>
      </c>
      <c r="L4875" s="61" t="e">
        <f>VLOOKUP(K4875,[1]Mapping!$J$3:$Q$351,8,FALSE)</f>
        <v>#N/A</v>
      </c>
      <c r="M4875" t="s">
        <v>83</v>
      </c>
    </row>
    <row r="4876" spans="5:13" hidden="1" x14ac:dyDescent="0.35">
      <c r="E4876" s="81"/>
      <c r="I4876" s="83" t="e">
        <f>VLOOKUP(E4876,[1]Mapping!$A$3:$B$14,2,FALSE)</f>
        <v>#N/A</v>
      </c>
      <c r="J4876" s="84">
        <f t="shared" si="154"/>
        <v>0</v>
      </c>
      <c r="K4876" s="84">
        <f t="shared" si="155"/>
        <v>0</v>
      </c>
      <c r="L4876" s="61" t="e">
        <f>VLOOKUP(K4876,[1]Mapping!$J$3:$Q$351,8,FALSE)</f>
        <v>#N/A</v>
      </c>
      <c r="M4876" t="s">
        <v>83</v>
      </c>
    </row>
    <row r="4877" spans="5:13" hidden="1" x14ac:dyDescent="0.35">
      <c r="E4877" s="81"/>
      <c r="I4877" s="83" t="e">
        <f>VLOOKUP(E4877,[1]Mapping!$A$3:$B$14,2,FALSE)</f>
        <v>#N/A</v>
      </c>
      <c r="J4877" s="84">
        <f t="shared" si="154"/>
        <v>0</v>
      </c>
      <c r="K4877" s="84">
        <f t="shared" si="155"/>
        <v>0</v>
      </c>
      <c r="L4877" s="61" t="e">
        <f>VLOOKUP(K4877,[1]Mapping!$J$3:$Q$351,8,FALSE)</f>
        <v>#N/A</v>
      </c>
      <c r="M4877" t="s">
        <v>83</v>
      </c>
    </row>
    <row r="4878" spans="5:13" hidden="1" x14ac:dyDescent="0.35">
      <c r="E4878" s="81"/>
      <c r="I4878" s="83" t="e">
        <f>VLOOKUP(E4878,[1]Mapping!$A$3:$B$14,2,FALSE)</f>
        <v>#N/A</v>
      </c>
      <c r="J4878" s="84">
        <f t="shared" si="154"/>
        <v>0</v>
      </c>
      <c r="K4878" s="84">
        <f t="shared" si="155"/>
        <v>0</v>
      </c>
      <c r="L4878" s="61" t="e">
        <f>VLOOKUP(K4878,[1]Mapping!$J$3:$Q$351,8,FALSE)</f>
        <v>#N/A</v>
      </c>
      <c r="M4878" t="s">
        <v>83</v>
      </c>
    </row>
    <row r="4879" spans="5:13" hidden="1" x14ac:dyDescent="0.35">
      <c r="E4879" s="81"/>
      <c r="I4879" s="83" t="e">
        <f>VLOOKUP(E4879,[1]Mapping!$A$3:$B$14,2,FALSE)</f>
        <v>#N/A</v>
      </c>
      <c r="J4879" s="84">
        <f t="shared" si="154"/>
        <v>0</v>
      </c>
      <c r="K4879" s="84">
        <f t="shared" si="155"/>
        <v>0</v>
      </c>
      <c r="L4879" s="61" t="e">
        <f>VLOOKUP(K4879,[1]Mapping!$J$3:$Q$351,8,FALSE)</f>
        <v>#N/A</v>
      </c>
      <c r="M4879" t="s">
        <v>83</v>
      </c>
    </row>
    <row r="4880" spans="5:13" hidden="1" x14ac:dyDescent="0.35">
      <c r="E4880" s="81"/>
      <c r="I4880" s="83" t="e">
        <f>VLOOKUP(E4880,[1]Mapping!$A$3:$B$14,2,FALSE)</f>
        <v>#N/A</v>
      </c>
      <c r="J4880" s="84">
        <f t="shared" ref="J4880:J4943" si="156">VALUE(A4880)</f>
        <v>0</v>
      </c>
      <c r="K4880" s="84">
        <f t="shared" ref="K4880:K4943" si="157">VALUE(C4880)</f>
        <v>0</v>
      </c>
      <c r="L4880" s="61" t="e">
        <f>VLOOKUP(K4880,[1]Mapping!$J$3:$Q$351,8,FALSE)</f>
        <v>#N/A</v>
      </c>
      <c r="M4880" t="s">
        <v>83</v>
      </c>
    </row>
    <row r="4881" spans="5:13" hidden="1" x14ac:dyDescent="0.35">
      <c r="E4881" s="81"/>
      <c r="I4881" s="83" t="e">
        <f>VLOOKUP(E4881,[1]Mapping!$A$3:$B$14,2,FALSE)</f>
        <v>#N/A</v>
      </c>
      <c r="J4881" s="84">
        <f t="shared" si="156"/>
        <v>0</v>
      </c>
      <c r="K4881" s="84">
        <f t="shared" si="157"/>
        <v>0</v>
      </c>
      <c r="L4881" s="61" t="e">
        <f>VLOOKUP(K4881,[1]Mapping!$J$3:$Q$351,8,FALSE)</f>
        <v>#N/A</v>
      </c>
      <c r="M4881" t="s">
        <v>83</v>
      </c>
    </row>
    <row r="4882" spans="5:13" hidden="1" x14ac:dyDescent="0.35">
      <c r="E4882" s="81"/>
      <c r="I4882" s="83" t="e">
        <f>VLOOKUP(E4882,[1]Mapping!$A$3:$B$14,2,FALSE)</f>
        <v>#N/A</v>
      </c>
      <c r="J4882" s="84">
        <f t="shared" si="156"/>
        <v>0</v>
      </c>
      <c r="K4882" s="84">
        <f t="shared" si="157"/>
        <v>0</v>
      </c>
      <c r="L4882" s="61" t="e">
        <f>VLOOKUP(K4882,[1]Mapping!$J$3:$Q$351,8,FALSE)</f>
        <v>#N/A</v>
      </c>
      <c r="M4882" t="s">
        <v>83</v>
      </c>
    </row>
    <row r="4883" spans="5:13" hidden="1" x14ac:dyDescent="0.35">
      <c r="E4883" s="81"/>
      <c r="I4883" s="83" t="e">
        <f>VLOOKUP(E4883,[1]Mapping!$A$3:$B$14,2,FALSE)</f>
        <v>#N/A</v>
      </c>
      <c r="J4883" s="84">
        <f t="shared" si="156"/>
        <v>0</v>
      </c>
      <c r="K4883" s="84">
        <f t="shared" si="157"/>
        <v>0</v>
      </c>
      <c r="L4883" s="61" t="e">
        <f>VLOOKUP(K4883,[1]Mapping!$J$3:$Q$351,8,FALSE)</f>
        <v>#N/A</v>
      </c>
      <c r="M4883" t="s">
        <v>83</v>
      </c>
    </row>
    <row r="4884" spans="5:13" hidden="1" x14ac:dyDescent="0.35">
      <c r="E4884" s="81"/>
      <c r="I4884" s="83" t="e">
        <f>VLOOKUP(E4884,[1]Mapping!$A$3:$B$14,2,FALSE)</f>
        <v>#N/A</v>
      </c>
      <c r="J4884" s="84">
        <f t="shared" si="156"/>
        <v>0</v>
      </c>
      <c r="K4884" s="84">
        <f t="shared" si="157"/>
        <v>0</v>
      </c>
      <c r="L4884" s="61" t="e">
        <f>VLOOKUP(K4884,[1]Mapping!$J$3:$Q$351,8,FALSE)</f>
        <v>#N/A</v>
      </c>
      <c r="M4884" t="s">
        <v>83</v>
      </c>
    </row>
    <row r="4885" spans="5:13" hidden="1" x14ac:dyDescent="0.35">
      <c r="E4885" s="81"/>
      <c r="I4885" s="83" t="e">
        <f>VLOOKUP(E4885,[1]Mapping!$A$3:$B$14,2,FALSE)</f>
        <v>#N/A</v>
      </c>
      <c r="J4885" s="84">
        <f t="shared" si="156"/>
        <v>0</v>
      </c>
      <c r="K4885" s="84">
        <f t="shared" si="157"/>
        <v>0</v>
      </c>
      <c r="L4885" s="61" t="e">
        <f>VLOOKUP(K4885,[1]Mapping!$J$3:$Q$351,8,FALSE)</f>
        <v>#N/A</v>
      </c>
      <c r="M4885" t="s">
        <v>83</v>
      </c>
    </row>
    <row r="4886" spans="5:13" hidden="1" x14ac:dyDescent="0.35">
      <c r="E4886" s="81"/>
      <c r="I4886" s="83" t="e">
        <f>VLOOKUP(E4886,[1]Mapping!$A$3:$B$14,2,FALSE)</f>
        <v>#N/A</v>
      </c>
      <c r="J4886" s="84">
        <f t="shared" si="156"/>
        <v>0</v>
      </c>
      <c r="K4886" s="84">
        <f t="shared" si="157"/>
        <v>0</v>
      </c>
      <c r="L4886" s="61" t="e">
        <f>VLOOKUP(K4886,[1]Mapping!$J$3:$Q$351,8,FALSE)</f>
        <v>#N/A</v>
      </c>
      <c r="M4886" t="s">
        <v>83</v>
      </c>
    </row>
    <row r="4887" spans="5:13" hidden="1" x14ac:dyDescent="0.35">
      <c r="E4887" s="81"/>
      <c r="I4887" s="83" t="e">
        <f>VLOOKUP(E4887,[1]Mapping!$A$3:$B$14,2,FALSE)</f>
        <v>#N/A</v>
      </c>
      <c r="J4887" s="84">
        <f t="shared" si="156"/>
        <v>0</v>
      </c>
      <c r="K4887" s="84">
        <f t="shared" si="157"/>
        <v>0</v>
      </c>
      <c r="L4887" s="61" t="e">
        <f>VLOOKUP(K4887,[1]Mapping!$J$3:$Q$351,8,FALSE)</f>
        <v>#N/A</v>
      </c>
      <c r="M4887" t="s">
        <v>83</v>
      </c>
    </row>
    <row r="4888" spans="5:13" hidden="1" x14ac:dyDescent="0.35">
      <c r="E4888" s="81"/>
      <c r="I4888" s="83" t="e">
        <f>VLOOKUP(E4888,[1]Mapping!$A$3:$B$14,2,FALSE)</f>
        <v>#N/A</v>
      </c>
      <c r="J4888" s="84">
        <f t="shared" si="156"/>
        <v>0</v>
      </c>
      <c r="K4888" s="84">
        <f t="shared" si="157"/>
        <v>0</v>
      </c>
      <c r="L4888" s="61" t="e">
        <f>VLOOKUP(K4888,[1]Mapping!$J$3:$Q$351,8,FALSE)</f>
        <v>#N/A</v>
      </c>
      <c r="M4888" t="s">
        <v>83</v>
      </c>
    </row>
    <row r="4889" spans="5:13" hidden="1" x14ac:dyDescent="0.35">
      <c r="E4889" s="81"/>
      <c r="I4889" s="83" t="e">
        <f>VLOOKUP(E4889,[1]Mapping!$A$3:$B$14,2,FALSE)</f>
        <v>#N/A</v>
      </c>
      <c r="J4889" s="84">
        <f t="shared" si="156"/>
        <v>0</v>
      </c>
      <c r="K4889" s="84">
        <f t="shared" si="157"/>
        <v>0</v>
      </c>
      <c r="L4889" s="61" t="e">
        <f>VLOOKUP(K4889,[1]Mapping!$J$3:$Q$351,8,FALSE)</f>
        <v>#N/A</v>
      </c>
      <c r="M4889" t="s">
        <v>83</v>
      </c>
    </row>
    <row r="4890" spans="5:13" hidden="1" x14ac:dyDescent="0.35">
      <c r="E4890" s="81"/>
      <c r="I4890" s="83" t="e">
        <f>VLOOKUP(E4890,[1]Mapping!$A$3:$B$14,2,FALSE)</f>
        <v>#N/A</v>
      </c>
      <c r="J4890" s="84">
        <f t="shared" si="156"/>
        <v>0</v>
      </c>
      <c r="K4890" s="84">
        <f t="shared" si="157"/>
        <v>0</v>
      </c>
      <c r="L4890" s="61" t="e">
        <f>VLOOKUP(K4890,[1]Mapping!$J$3:$Q$351,8,FALSE)</f>
        <v>#N/A</v>
      </c>
      <c r="M4890" t="s">
        <v>83</v>
      </c>
    </row>
    <row r="4891" spans="5:13" hidden="1" x14ac:dyDescent="0.35">
      <c r="E4891" s="81"/>
      <c r="I4891" s="83" t="e">
        <f>VLOOKUP(E4891,[1]Mapping!$A$3:$B$14,2,FALSE)</f>
        <v>#N/A</v>
      </c>
      <c r="J4891" s="84">
        <f t="shared" si="156"/>
        <v>0</v>
      </c>
      <c r="K4891" s="84">
        <f t="shared" si="157"/>
        <v>0</v>
      </c>
      <c r="L4891" s="61" t="e">
        <f>VLOOKUP(K4891,[1]Mapping!$J$3:$Q$351,8,FALSE)</f>
        <v>#N/A</v>
      </c>
      <c r="M4891" t="s">
        <v>83</v>
      </c>
    </row>
    <row r="4892" spans="5:13" hidden="1" x14ac:dyDescent="0.35">
      <c r="E4892" s="81"/>
      <c r="I4892" s="83" t="e">
        <f>VLOOKUP(E4892,[1]Mapping!$A$3:$B$14,2,FALSE)</f>
        <v>#N/A</v>
      </c>
      <c r="J4892" s="84">
        <f t="shared" si="156"/>
        <v>0</v>
      </c>
      <c r="K4892" s="84">
        <f t="shared" si="157"/>
        <v>0</v>
      </c>
      <c r="L4892" s="61" t="e">
        <f>VLOOKUP(K4892,[1]Mapping!$J$3:$Q$351,8,FALSE)</f>
        <v>#N/A</v>
      </c>
      <c r="M4892" t="s">
        <v>83</v>
      </c>
    </row>
    <row r="4893" spans="5:13" hidden="1" x14ac:dyDescent="0.35">
      <c r="E4893" s="81"/>
      <c r="I4893" s="83" t="e">
        <f>VLOOKUP(E4893,[1]Mapping!$A$3:$B$14,2,FALSE)</f>
        <v>#N/A</v>
      </c>
      <c r="J4893" s="84">
        <f t="shared" si="156"/>
        <v>0</v>
      </c>
      <c r="K4893" s="84">
        <f t="shared" si="157"/>
        <v>0</v>
      </c>
      <c r="L4893" s="61" t="e">
        <f>VLOOKUP(K4893,[1]Mapping!$J$3:$Q$351,8,FALSE)</f>
        <v>#N/A</v>
      </c>
      <c r="M4893" t="s">
        <v>83</v>
      </c>
    </row>
    <row r="4894" spans="5:13" hidden="1" x14ac:dyDescent="0.35">
      <c r="E4894" s="81"/>
      <c r="I4894" s="83" t="e">
        <f>VLOOKUP(E4894,[1]Mapping!$A$3:$B$14,2,FALSE)</f>
        <v>#N/A</v>
      </c>
      <c r="J4894" s="84">
        <f t="shared" si="156"/>
        <v>0</v>
      </c>
      <c r="K4894" s="84">
        <f t="shared" si="157"/>
        <v>0</v>
      </c>
      <c r="L4894" s="61" t="e">
        <f>VLOOKUP(K4894,[1]Mapping!$J$3:$Q$351,8,FALSE)</f>
        <v>#N/A</v>
      </c>
      <c r="M4894" t="s">
        <v>83</v>
      </c>
    </row>
    <row r="4895" spans="5:13" hidden="1" x14ac:dyDescent="0.35">
      <c r="E4895" s="81"/>
      <c r="I4895" s="83" t="e">
        <f>VLOOKUP(E4895,[1]Mapping!$A$3:$B$14,2,FALSE)</f>
        <v>#N/A</v>
      </c>
      <c r="J4895" s="84">
        <f t="shared" si="156"/>
        <v>0</v>
      </c>
      <c r="K4895" s="84">
        <f t="shared" si="157"/>
        <v>0</v>
      </c>
      <c r="L4895" s="61" t="e">
        <f>VLOOKUP(K4895,[1]Mapping!$J$3:$Q$351,8,FALSE)</f>
        <v>#N/A</v>
      </c>
      <c r="M4895" t="s">
        <v>83</v>
      </c>
    </row>
    <row r="4896" spans="5:13" hidden="1" x14ac:dyDescent="0.35">
      <c r="E4896" s="81"/>
      <c r="I4896" s="83" t="e">
        <f>VLOOKUP(E4896,[1]Mapping!$A$3:$B$14,2,FALSE)</f>
        <v>#N/A</v>
      </c>
      <c r="J4896" s="84">
        <f t="shared" si="156"/>
        <v>0</v>
      </c>
      <c r="K4896" s="84">
        <f t="shared" si="157"/>
        <v>0</v>
      </c>
      <c r="L4896" s="61" t="e">
        <f>VLOOKUP(K4896,[1]Mapping!$J$3:$Q$351,8,FALSE)</f>
        <v>#N/A</v>
      </c>
      <c r="M4896" t="s">
        <v>83</v>
      </c>
    </row>
    <row r="4897" spans="5:13" hidden="1" x14ac:dyDescent="0.35">
      <c r="E4897" s="81"/>
      <c r="I4897" s="83" t="e">
        <f>VLOOKUP(E4897,[1]Mapping!$A$3:$B$14,2,FALSE)</f>
        <v>#N/A</v>
      </c>
      <c r="J4897" s="84">
        <f t="shared" si="156"/>
        <v>0</v>
      </c>
      <c r="K4897" s="84">
        <f t="shared" si="157"/>
        <v>0</v>
      </c>
      <c r="L4897" s="61" t="e">
        <f>VLOOKUP(K4897,[1]Mapping!$J$3:$Q$351,8,FALSE)</f>
        <v>#N/A</v>
      </c>
      <c r="M4897" t="s">
        <v>83</v>
      </c>
    </row>
    <row r="4898" spans="5:13" hidden="1" x14ac:dyDescent="0.35">
      <c r="E4898" s="81"/>
      <c r="I4898" s="83" t="e">
        <f>VLOOKUP(E4898,[1]Mapping!$A$3:$B$14,2,FALSE)</f>
        <v>#N/A</v>
      </c>
      <c r="J4898" s="84">
        <f t="shared" si="156"/>
        <v>0</v>
      </c>
      <c r="K4898" s="84">
        <f t="shared" si="157"/>
        <v>0</v>
      </c>
      <c r="L4898" s="61" t="e">
        <f>VLOOKUP(K4898,[1]Mapping!$J$3:$Q$351,8,FALSE)</f>
        <v>#N/A</v>
      </c>
      <c r="M4898" t="s">
        <v>83</v>
      </c>
    </row>
    <row r="4899" spans="5:13" hidden="1" x14ac:dyDescent="0.35">
      <c r="E4899" s="81"/>
      <c r="I4899" s="83" t="e">
        <f>VLOOKUP(E4899,[1]Mapping!$A$3:$B$14,2,FALSE)</f>
        <v>#N/A</v>
      </c>
      <c r="J4899" s="84">
        <f t="shared" si="156"/>
        <v>0</v>
      </c>
      <c r="K4899" s="84">
        <f t="shared" si="157"/>
        <v>0</v>
      </c>
      <c r="L4899" s="61" t="e">
        <f>VLOOKUP(K4899,[1]Mapping!$J$3:$Q$351,8,FALSE)</f>
        <v>#N/A</v>
      </c>
      <c r="M4899" t="s">
        <v>83</v>
      </c>
    </row>
    <row r="4900" spans="5:13" hidden="1" x14ac:dyDescent="0.35">
      <c r="E4900" s="81"/>
      <c r="I4900" s="83" t="e">
        <f>VLOOKUP(E4900,[1]Mapping!$A$3:$B$14,2,FALSE)</f>
        <v>#N/A</v>
      </c>
      <c r="J4900" s="84">
        <f t="shared" si="156"/>
        <v>0</v>
      </c>
      <c r="K4900" s="84">
        <f t="shared" si="157"/>
        <v>0</v>
      </c>
      <c r="L4900" s="61" t="e">
        <f>VLOOKUP(K4900,[1]Mapping!$J$3:$Q$351,8,FALSE)</f>
        <v>#N/A</v>
      </c>
      <c r="M4900" t="s">
        <v>83</v>
      </c>
    </row>
    <row r="4901" spans="5:13" hidden="1" x14ac:dyDescent="0.35">
      <c r="E4901" s="81"/>
      <c r="I4901" s="83" t="e">
        <f>VLOOKUP(E4901,[1]Mapping!$A$3:$B$14,2,FALSE)</f>
        <v>#N/A</v>
      </c>
      <c r="J4901" s="84">
        <f t="shared" si="156"/>
        <v>0</v>
      </c>
      <c r="K4901" s="84">
        <f t="shared" si="157"/>
        <v>0</v>
      </c>
      <c r="L4901" s="61" t="e">
        <f>VLOOKUP(K4901,[1]Mapping!$J$3:$Q$351,8,FALSE)</f>
        <v>#N/A</v>
      </c>
      <c r="M4901" t="s">
        <v>83</v>
      </c>
    </row>
    <row r="4902" spans="5:13" hidden="1" x14ac:dyDescent="0.35">
      <c r="E4902" s="81"/>
      <c r="I4902" s="83" t="e">
        <f>VLOOKUP(E4902,[1]Mapping!$A$3:$B$14,2,FALSE)</f>
        <v>#N/A</v>
      </c>
      <c r="J4902" s="84">
        <f t="shared" si="156"/>
        <v>0</v>
      </c>
      <c r="K4902" s="84">
        <f t="shared" si="157"/>
        <v>0</v>
      </c>
      <c r="L4902" s="61" t="e">
        <f>VLOOKUP(K4902,[1]Mapping!$J$3:$Q$351,8,FALSE)</f>
        <v>#N/A</v>
      </c>
      <c r="M4902" t="s">
        <v>83</v>
      </c>
    </row>
    <row r="4903" spans="5:13" hidden="1" x14ac:dyDescent="0.35">
      <c r="E4903" s="81"/>
      <c r="I4903" s="83" t="e">
        <f>VLOOKUP(E4903,[1]Mapping!$A$3:$B$14,2,FALSE)</f>
        <v>#N/A</v>
      </c>
      <c r="J4903" s="84">
        <f t="shared" si="156"/>
        <v>0</v>
      </c>
      <c r="K4903" s="84">
        <f t="shared" si="157"/>
        <v>0</v>
      </c>
      <c r="L4903" s="61" t="e">
        <f>VLOOKUP(K4903,[1]Mapping!$J$3:$Q$351,8,FALSE)</f>
        <v>#N/A</v>
      </c>
      <c r="M4903" t="s">
        <v>83</v>
      </c>
    </row>
    <row r="4904" spans="5:13" hidden="1" x14ac:dyDescent="0.35">
      <c r="E4904" s="81"/>
      <c r="I4904" s="83" t="e">
        <f>VLOOKUP(E4904,[1]Mapping!$A$3:$B$14,2,FALSE)</f>
        <v>#N/A</v>
      </c>
      <c r="J4904" s="84">
        <f t="shared" si="156"/>
        <v>0</v>
      </c>
      <c r="K4904" s="84">
        <f t="shared" si="157"/>
        <v>0</v>
      </c>
      <c r="L4904" s="61" t="e">
        <f>VLOOKUP(K4904,[1]Mapping!$J$3:$Q$351,8,FALSE)</f>
        <v>#N/A</v>
      </c>
      <c r="M4904" t="s">
        <v>83</v>
      </c>
    </row>
    <row r="4905" spans="5:13" hidden="1" x14ac:dyDescent="0.35">
      <c r="E4905" s="81"/>
      <c r="I4905" s="83" t="e">
        <f>VLOOKUP(E4905,[1]Mapping!$A$3:$B$14,2,FALSE)</f>
        <v>#N/A</v>
      </c>
      <c r="J4905" s="84">
        <f t="shared" si="156"/>
        <v>0</v>
      </c>
      <c r="K4905" s="84">
        <f t="shared" si="157"/>
        <v>0</v>
      </c>
      <c r="L4905" s="61" t="e">
        <f>VLOOKUP(K4905,[1]Mapping!$J$3:$Q$351,8,FALSE)</f>
        <v>#N/A</v>
      </c>
      <c r="M4905" t="s">
        <v>83</v>
      </c>
    </row>
    <row r="4906" spans="5:13" hidden="1" x14ac:dyDescent="0.35">
      <c r="E4906" s="81"/>
      <c r="I4906" s="83" t="e">
        <f>VLOOKUP(E4906,[1]Mapping!$A$3:$B$14,2,FALSE)</f>
        <v>#N/A</v>
      </c>
      <c r="J4906" s="84">
        <f t="shared" si="156"/>
        <v>0</v>
      </c>
      <c r="K4906" s="84">
        <f t="shared" si="157"/>
        <v>0</v>
      </c>
      <c r="L4906" s="61" t="e">
        <f>VLOOKUP(K4906,[1]Mapping!$J$3:$Q$351,8,FALSE)</f>
        <v>#N/A</v>
      </c>
      <c r="M4906" t="s">
        <v>83</v>
      </c>
    </row>
    <row r="4907" spans="5:13" hidden="1" x14ac:dyDescent="0.35">
      <c r="E4907" s="81"/>
      <c r="I4907" s="83" t="e">
        <f>VLOOKUP(E4907,[1]Mapping!$A$3:$B$14,2,FALSE)</f>
        <v>#N/A</v>
      </c>
      <c r="J4907" s="84">
        <f t="shared" si="156"/>
        <v>0</v>
      </c>
      <c r="K4907" s="84">
        <f t="shared" si="157"/>
        <v>0</v>
      </c>
      <c r="L4907" s="61" t="e">
        <f>VLOOKUP(K4907,[1]Mapping!$J$3:$Q$351,8,FALSE)</f>
        <v>#N/A</v>
      </c>
      <c r="M4907" t="s">
        <v>83</v>
      </c>
    </row>
    <row r="4908" spans="5:13" hidden="1" x14ac:dyDescent="0.35">
      <c r="E4908" s="81"/>
      <c r="I4908" s="83" t="e">
        <f>VLOOKUP(E4908,[1]Mapping!$A$3:$B$14,2,FALSE)</f>
        <v>#N/A</v>
      </c>
      <c r="J4908" s="84">
        <f t="shared" si="156"/>
        <v>0</v>
      </c>
      <c r="K4908" s="84">
        <f t="shared" si="157"/>
        <v>0</v>
      </c>
      <c r="L4908" s="61" t="e">
        <f>VLOOKUP(K4908,[1]Mapping!$J$3:$Q$351,8,FALSE)</f>
        <v>#N/A</v>
      </c>
      <c r="M4908" t="s">
        <v>83</v>
      </c>
    </row>
    <row r="4909" spans="5:13" hidden="1" x14ac:dyDescent="0.35">
      <c r="E4909" s="81"/>
      <c r="I4909" s="83" t="e">
        <f>VLOOKUP(E4909,[1]Mapping!$A$3:$B$14,2,FALSE)</f>
        <v>#N/A</v>
      </c>
      <c r="J4909" s="84">
        <f t="shared" si="156"/>
        <v>0</v>
      </c>
      <c r="K4909" s="84">
        <f t="shared" si="157"/>
        <v>0</v>
      </c>
      <c r="L4909" s="61" t="e">
        <f>VLOOKUP(K4909,[1]Mapping!$J$3:$Q$351,8,FALSE)</f>
        <v>#N/A</v>
      </c>
      <c r="M4909" t="s">
        <v>83</v>
      </c>
    </row>
    <row r="4910" spans="5:13" hidden="1" x14ac:dyDescent="0.35">
      <c r="E4910" s="81"/>
      <c r="I4910" s="83" t="e">
        <f>VLOOKUP(E4910,[1]Mapping!$A$3:$B$14,2,FALSE)</f>
        <v>#N/A</v>
      </c>
      <c r="J4910" s="84">
        <f t="shared" si="156"/>
        <v>0</v>
      </c>
      <c r="K4910" s="84">
        <f t="shared" si="157"/>
        <v>0</v>
      </c>
      <c r="L4910" s="61" t="e">
        <f>VLOOKUP(K4910,[1]Mapping!$J$3:$Q$351,8,FALSE)</f>
        <v>#N/A</v>
      </c>
      <c r="M4910" t="s">
        <v>83</v>
      </c>
    </row>
    <row r="4911" spans="5:13" hidden="1" x14ac:dyDescent="0.35">
      <c r="E4911" s="81"/>
      <c r="I4911" s="83" t="e">
        <f>VLOOKUP(E4911,[1]Mapping!$A$3:$B$14,2,FALSE)</f>
        <v>#N/A</v>
      </c>
      <c r="J4911" s="84">
        <f t="shared" si="156"/>
        <v>0</v>
      </c>
      <c r="K4911" s="84">
        <f t="shared" si="157"/>
        <v>0</v>
      </c>
      <c r="L4911" s="61" t="e">
        <f>VLOOKUP(K4911,[1]Mapping!$J$3:$Q$351,8,FALSE)</f>
        <v>#N/A</v>
      </c>
      <c r="M4911" t="s">
        <v>83</v>
      </c>
    </row>
    <row r="4912" spans="5:13" hidden="1" x14ac:dyDescent="0.35">
      <c r="E4912" s="81"/>
      <c r="I4912" s="83" t="e">
        <f>VLOOKUP(E4912,[1]Mapping!$A$3:$B$14,2,FALSE)</f>
        <v>#N/A</v>
      </c>
      <c r="J4912" s="84">
        <f t="shared" si="156"/>
        <v>0</v>
      </c>
      <c r="K4912" s="84">
        <f t="shared" si="157"/>
        <v>0</v>
      </c>
      <c r="L4912" s="61" t="e">
        <f>VLOOKUP(K4912,[1]Mapping!$J$3:$Q$351,8,FALSE)</f>
        <v>#N/A</v>
      </c>
      <c r="M4912" t="s">
        <v>83</v>
      </c>
    </row>
    <row r="4913" spans="5:13" hidden="1" x14ac:dyDescent="0.35">
      <c r="E4913" s="81"/>
      <c r="I4913" s="83" t="e">
        <f>VLOOKUP(E4913,[1]Mapping!$A$3:$B$14,2,FALSE)</f>
        <v>#N/A</v>
      </c>
      <c r="J4913" s="84">
        <f t="shared" si="156"/>
        <v>0</v>
      </c>
      <c r="K4913" s="84">
        <f t="shared" si="157"/>
        <v>0</v>
      </c>
      <c r="L4913" s="61" t="e">
        <f>VLOOKUP(K4913,[1]Mapping!$J$3:$Q$351,8,FALSE)</f>
        <v>#N/A</v>
      </c>
      <c r="M4913" t="s">
        <v>83</v>
      </c>
    </row>
    <row r="4914" spans="5:13" hidden="1" x14ac:dyDescent="0.35">
      <c r="E4914" s="81"/>
      <c r="I4914" s="83" t="e">
        <f>VLOOKUP(E4914,[1]Mapping!$A$3:$B$14,2,FALSE)</f>
        <v>#N/A</v>
      </c>
      <c r="J4914" s="84">
        <f t="shared" si="156"/>
        <v>0</v>
      </c>
      <c r="K4914" s="84">
        <f t="shared" si="157"/>
        <v>0</v>
      </c>
      <c r="L4914" s="61" t="e">
        <f>VLOOKUP(K4914,[1]Mapping!$J$3:$Q$351,8,FALSE)</f>
        <v>#N/A</v>
      </c>
      <c r="M4914" t="s">
        <v>83</v>
      </c>
    </row>
    <row r="4915" spans="5:13" hidden="1" x14ac:dyDescent="0.35">
      <c r="E4915" s="81"/>
      <c r="I4915" s="83" t="e">
        <f>VLOOKUP(E4915,[1]Mapping!$A$3:$B$14,2,FALSE)</f>
        <v>#N/A</v>
      </c>
      <c r="J4915" s="84">
        <f t="shared" si="156"/>
        <v>0</v>
      </c>
      <c r="K4915" s="84">
        <f t="shared" si="157"/>
        <v>0</v>
      </c>
      <c r="L4915" s="61" t="e">
        <f>VLOOKUP(K4915,[1]Mapping!$J$3:$Q$351,8,FALSE)</f>
        <v>#N/A</v>
      </c>
      <c r="M4915" t="s">
        <v>83</v>
      </c>
    </row>
    <row r="4916" spans="5:13" hidden="1" x14ac:dyDescent="0.35">
      <c r="E4916" s="81"/>
      <c r="I4916" s="83" t="e">
        <f>VLOOKUP(E4916,[1]Mapping!$A$3:$B$14,2,FALSE)</f>
        <v>#N/A</v>
      </c>
      <c r="J4916" s="84">
        <f t="shared" si="156"/>
        <v>0</v>
      </c>
      <c r="K4916" s="84">
        <f t="shared" si="157"/>
        <v>0</v>
      </c>
      <c r="L4916" s="61" t="e">
        <f>VLOOKUP(K4916,[1]Mapping!$J$3:$Q$351,8,FALSE)</f>
        <v>#N/A</v>
      </c>
      <c r="M4916" t="s">
        <v>83</v>
      </c>
    </row>
    <row r="4917" spans="5:13" hidden="1" x14ac:dyDescent="0.35">
      <c r="E4917" s="81"/>
      <c r="I4917" s="83" t="e">
        <f>VLOOKUP(E4917,[1]Mapping!$A$3:$B$14,2,FALSE)</f>
        <v>#N/A</v>
      </c>
      <c r="J4917" s="84">
        <f t="shared" si="156"/>
        <v>0</v>
      </c>
      <c r="K4917" s="84">
        <f t="shared" si="157"/>
        <v>0</v>
      </c>
      <c r="L4917" s="61" t="e">
        <f>VLOOKUP(K4917,[1]Mapping!$J$3:$Q$351,8,FALSE)</f>
        <v>#N/A</v>
      </c>
      <c r="M4917" t="s">
        <v>83</v>
      </c>
    </row>
    <row r="4918" spans="5:13" hidden="1" x14ac:dyDescent="0.35">
      <c r="E4918" s="81"/>
      <c r="I4918" s="83" t="e">
        <f>VLOOKUP(E4918,[1]Mapping!$A$3:$B$14,2,FALSE)</f>
        <v>#N/A</v>
      </c>
      <c r="J4918" s="84">
        <f t="shared" si="156"/>
        <v>0</v>
      </c>
      <c r="K4918" s="84">
        <f t="shared" si="157"/>
        <v>0</v>
      </c>
      <c r="L4918" s="61" t="e">
        <f>VLOOKUP(K4918,[1]Mapping!$J$3:$Q$351,8,FALSE)</f>
        <v>#N/A</v>
      </c>
      <c r="M4918" t="s">
        <v>83</v>
      </c>
    </row>
    <row r="4919" spans="5:13" hidden="1" x14ac:dyDescent="0.35">
      <c r="E4919" s="81"/>
      <c r="I4919" s="83" t="e">
        <f>VLOOKUP(E4919,[1]Mapping!$A$3:$B$14,2,FALSE)</f>
        <v>#N/A</v>
      </c>
      <c r="J4919" s="84">
        <f t="shared" si="156"/>
        <v>0</v>
      </c>
      <c r="K4919" s="84">
        <f t="shared" si="157"/>
        <v>0</v>
      </c>
      <c r="L4919" s="61" t="e">
        <f>VLOOKUP(K4919,[1]Mapping!$J$3:$Q$351,8,FALSE)</f>
        <v>#N/A</v>
      </c>
      <c r="M4919" t="s">
        <v>83</v>
      </c>
    </row>
    <row r="4920" spans="5:13" hidden="1" x14ac:dyDescent="0.35">
      <c r="E4920" s="81"/>
      <c r="I4920" s="83" t="e">
        <f>VLOOKUP(E4920,[1]Mapping!$A$3:$B$14,2,FALSE)</f>
        <v>#N/A</v>
      </c>
      <c r="J4920" s="84">
        <f t="shared" si="156"/>
        <v>0</v>
      </c>
      <c r="K4920" s="84">
        <f t="shared" si="157"/>
        <v>0</v>
      </c>
      <c r="L4920" s="61" t="e">
        <f>VLOOKUP(K4920,[1]Mapping!$J$3:$Q$351,8,FALSE)</f>
        <v>#N/A</v>
      </c>
      <c r="M4920" t="s">
        <v>83</v>
      </c>
    </row>
    <row r="4921" spans="5:13" hidden="1" x14ac:dyDescent="0.35">
      <c r="E4921" s="81"/>
      <c r="I4921" s="83" t="e">
        <f>VLOOKUP(E4921,[1]Mapping!$A$3:$B$14,2,FALSE)</f>
        <v>#N/A</v>
      </c>
      <c r="J4921" s="84">
        <f t="shared" si="156"/>
        <v>0</v>
      </c>
      <c r="K4921" s="84">
        <f t="shared" si="157"/>
        <v>0</v>
      </c>
      <c r="L4921" s="61" t="e">
        <f>VLOOKUP(K4921,[1]Mapping!$J$3:$Q$351,8,FALSE)</f>
        <v>#N/A</v>
      </c>
      <c r="M4921" t="s">
        <v>83</v>
      </c>
    </row>
    <row r="4922" spans="5:13" hidden="1" x14ac:dyDescent="0.35">
      <c r="E4922" s="81"/>
      <c r="I4922" s="83" t="e">
        <f>VLOOKUP(E4922,[1]Mapping!$A$3:$B$14,2,FALSE)</f>
        <v>#N/A</v>
      </c>
      <c r="J4922" s="84">
        <f t="shared" si="156"/>
        <v>0</v>
      </c>
      <c r="K4922" s="84">
        <f t="shared" si="157"/>
        <v>0</v>
      </c>
      <c r="L4922" s="61" t="e">
        <f>VLOOKUP(K4922,[1]Mapping!$J$3:$Q$351,8,FALSE)</f>
        <v>#N/A</v>
      </c>
      <c r="M4922" t="s">
        <v>83</v>
      </c>
    </row>
    <row r="4923" spans="5:13" hidden="1" x14ac:dyDescent="0.35">
      <c r="E4923" s="81"/>
      <c r="I4923" s="83" t="e">
        <f>VLOOKUP(E4923,[1]Mapping!$A$3:$B$14,2,FALSE)</f>
        <v>#N/A</v>
      </c>
      <c r="J4923" s="84">
        <f t="shared" si="156"/>
        <v>0</v>
      </c>
      <c r="K4923" s="84">
        <f t="shared" si="157"/>
        <v>0</v>
      </c>
      <c r="L4923" s="61" t="e">
        <f>VLOOKUP(K4923,[1]Mapping!$J$3:$Q$351,8,FALSE)</f>
        <v>#N/A</v>
      </c>
      <c r="M4923" t="s">
        <v>83</v>
      </c>
    </row>
    <row r="4924" spans="5:13" hidden="1" x14ac:dyDescent="0.35">
      <c r="E4924" s="81"/>
      <c r="I4924" s="83" t="e">
        <f>VLOOKUP(E4924,[1]Mapping!$A$3:$B$14,2,FALSE)</f>
        <v>#N/A</v>
      </c>
      <c r="J4924" s="84">
        <f t="shared" si="156"/>
        <v>0</v>
      </c>
      <c r="K4924" s="84">
        <f t="shared" si="157"/>
        <v>0</v>
      </c>
      <c r="L4924" s="61" t="e">
        <f>VLOOKUP(K4924,[1]Mapping!$J$3:$Q$351,8,FALSE)</f>
        <v>#N/A</v>
      </c>
      <c r="M4924" t="s">
        <v>83</v>
      </c>
    </row>
    <row r="4925" spans="5:13" hidden="1" x14ac:dyDescent="0.35">
      <c r="E4925" s="81"/>
      <c r="I4925" s="83" t="e">
        <f>VLOOKUP(E4925,[1]Mapping!$A$3:$B$14,2,FALSE)</f>
        <v>#N/A</v>
      </c>
      <c r="J4925" s="84">
        <f t="shared" si="156"/>
        <v>0</v>
      </c>
      <c r="K4925" s="84">
        <f t="shared" si="157"/>
        <v>0</v>
      </c>
      <c r="L4925" s="61" t="e">
        <f>VLOOKUP(K4925,[1]Mapping!$J$3:$Q$351,8,FALSE)</f>
        <v>#N/A</v>
      </c>
      <c r="M4925" t="s">
        <v>83</v>
      </c>
    </row>
    <row r="4926" spans="5:13" hidden="1" x14ac:dyDescent="0.35">
      <c r="E4926" s="81"/>
      <c r="I4926" s="83" t="e">
        <f>VLOOKUP(E4926,[1]Mapping!$A$3:$B$14,2,FALSE)</f>
        <v>#N/A</v>
      </c>
      <c r="J4926" s="84">
        <f t="shared" si="156"/>
        <v>0</v>
      </c>
      <c r="K4926" s="84">
        <f t="shared" si="157"/>
        <v>0</v>
      </c>
      <c r="L4926" s="61" t="e">
        <f>VLOOKUP(K4926,[1]Mapping!$J$3:$Q$351,8,FALSE)</f>
        <v>#N/A</v>
      </c>
      <c r="M4926" t="s">
        <v>83</v>
      </c>
    </row>
    <row r="4927" spans="5:13" hidden="1" x14ac:dyDescent="0.35">
      <c r="E4927" s="81"/>
      <c r="I4927" s="83" t="e">
        <f>VLOOKUP(E4927,[1]Mapping!$A$3:$B$14,2,FALSE)</f>
        <v>#N/A</v>
      </c>
      <c r="J4927" s="84">
        <f t="shared" si="156"/>
        <v>0</v>
      </c>
      <c r="K4927" s="84">
        <f t="shared" si="157"/>
        <v>0</v>
      </c>
      <c r="L4927" s="61" t="e">
        <f>VLOOKUP(K4927,[1]Mapping!$J$3:$Q$351,8,FALSE)</f>
        <v>#N/A</v>
      </c>
      <c r="M4927" t="s">
        <v>83</v>
      </c>
    </row>
    <row r="4928" spans="5:13" hidden="1" x14ac:dyDescent="0.35">
      <c r="E4928" s="81"/>
      <c r="I4928" s="83" t="e">
        <f>VLOOKUP(E4928,[1]Mapping!$A$3:$B$14,2,FALSE)</f>
        <v>#N/A</v>
      </c>
      <c r="J4928" s="84">
        <f t="shared" si="156"/>
        <v>0</v>
      </c>
      <c r="K4928" s="84">
        <f t="shared" si="157"/>
        <v>0</v>
      </c>
      <c r="L4928" s="61" t="e">
        <f>VLOOKUP(K4928,[1]Mapping!$J$3:$Q$351,8,FALSE)</f>
        <v>#N/A</v>
      </c>
      <c r="M4928" t="s">
        <v>83</v>
      </c>
    </row>
    <row r="4929" spans="5:13" hidden="1" x14ac:dyDescent="0.35">
      <c r="E4929" s="81"/>
      <c r="I4929" s="83" t="e">
        <f>VLOOKUP(E4929,[1]Mapping!$A$3:$B$14,2,FALSE)</f>
        <v>#N/A</v>
      </c>
      <c r="J4929" s="84">
        <f t="shared" si="156"/>
        <v>0</v>
      </c>
      <c r="K4929" s="84">
        <f t="shared" si="157"/>
        <v>0</v>
      </c>
      <c r="L4929" s="61" t="e">
        <f>VLOOKUP(K4929,[1]Mapping!$J$3:$Q$351,8,FALSE)</f>
        <v>#N/A</v>
      </c>
      <c r="M4929" t="s">
        <v>83</v>
      </c>
    </row>
    <row r="4930" spans="5:13" hidden="1" x14ac:dyDescent="0.35">
      <c r="E4930" s="81"/>
      <c r="I4930" s="83" t="e">
        <f>VLOOKUP(E4930,[1]Mapping!$A$3:$B$14,2,FALSE)</f>
        <v>#N/A</v>
      </c>
      <c r="J4930" s="84">
        <f t="shared" si="156"/>
        <v>0</v>
      </c>
      <c r="K4930" s="84">
        <f t="shared" si="157"/>
        <v>0</v>
      </c>
      <c r="L4930" s="61" t="e">
        <f>VLOOKUP(K4930,[1]Mapping!$J$3:$Q$351,8,FALSE)</f>
        <v>#N/A</v>
      </c>
      <c r="M4930" t="s">
        <v>83</v>
      </c>
    </row>
    <row r="4931" spans="5:13" hidden="1" x14ac:dyDescent="0.35">
      <c r="E4931" s="81"/>
      <c r="I4931" s="83" t="e">
        <f>VLOOKUP(E4931,[1]Mapping!$A$3:$B$14,2,FALSE)</f>
        <v>#N/A</v>
      </c>
      <c r="J4931" s="84">
        <f t="shared" si="156"/>
        <v>0</v>
      </c>
      <c r="K4931" s="84">
        <f t="shared" si="157"/>
        <v>0</v>
      </c>
      <c r="L4931" s="61" t="e">
        <f>VLOOKUP(K4931,[1]Mapping!$J$3:$Q$351,8,FALSE)</f>
        <v>#N/A</v>
      </c>
      <c r="M4931" t="s">
        <v>83</v>
      </c>
    </row>
    <row r="4932" spans="5:13" hidden="1" x14ac:dyDescent="0.35">
      <c r="E4932" s="81"/>
      <c r="I4932" s="83" t="e">
        <f>VLOOKUP(E4932,[1]Mapping!$A$3:$B$14,2,FALSE)</f>
        <v>#N/A</v>
      </c>
      <c r="J4932" s="84">
        <f t="shared" si="156"/>
        <v>0</v>
      </c>
      <c r="K4932" s="84">
        <f t="shared" si="157"/>
        <v>0</v>
      </c>
      <c r="L4932" s="61" t="e">
        <f>VLOOKUP(K4932,[1]Mapping!$J$3:$Q$351,8,FALSE)</f>
        <v>#N/A</v>
      </c>
      <c r="M4932" t="s">
        <v>83</v>
      </c>
    </row>
    <row r="4933" spans="5:13" hidden="1" x14ac:dyDescent="0.35">
      <c r="E4933" s="81"/>
      <c r="I4933" s="83" t="e">
        <f>VLOOKUP(E4933,[1]Mapping!$A$3:$B$14,2,FALSE)</f>
        <v>#N/A</v>
      </c>
      <c r="J4933" s="84">
        <f t="shared" si="156"/>
        <v>0</v>
      </c>
      <c r="K4933" s="84">
        <f t="shared" si="157"/>
        <v>0</v>
      </c>
      <c r="L4933" s="61" t="e">
        <f>VLOOKUP(K4933,[1]Mapping!$J$3:$Q$351,8,FALSE)</f>
        <v>#N/A</v>
      </c>
      <c r="M4933" t="s">
        <v>83</v>
      </c>
    </row>
    <row r="4934" spans="5:13" hidden="1" x14ac:dyDescent="0.35">
      <c r="E4934" s="81"/>
      <c r="I4934" s="83" t="e">
        <f>VLOOKUP(E4934,[1]Mapping!$A$3:$B$14,2,FALSE)</f>
        <v>#N/A</v>
      </c>
      <c r="J4934" s="84">
        <f t="shared" si="156"/>
        <v>0</v>
      </c>
      <c r="K4934" s="84">
        <f t="shared" si="157"/>
        <v>0</v>
      </c>
      <c r="L4934" s="61" t="e">
        <f>VLOOKUP(K4934,[1]Mapping!$J$3:$Q$351,8,FALSE)</f>
        <v>#N/A</v>
      </c>
      <c r="M4934" t="s">
        <v>83</v>
      </c>
    </row>
    <row r="4935" spans="5:13" hidden="1" x14ac:dyDescent="0.35">
      <c r="E4935" s="81"/>
      <c r="I4935" s="83" t="e">
        <f>VLOOKUP(E4935,[1]Mapping!$A$3:$B$14,2,FALSE)</f>
        <v>#N/A</v>
      </c>
      <c r="J4935" s="84">
        <f t="shared" si="156"/>
        <v>0</v>
      </c>
      <c r="K4935" s="84">
        <f t="shared" si="157"/>
        <v>0</v>
      </c>
      <c r="L4935" s="61" t="e">
        <f>VLOOKUP(K4935,[1]Mapping!$J$3:$Q$351,8,FALSE)</f>
        <v>#N/A</v>
      </c>
      <c r="M4935" t="s">
        <v>83</v>
      </c>
    </row>
    <row r="4936" spans="5:13" hidden="1" x14ac:dyDescent="0.35">
      <c r="E4936" s="81"/>
      <c r="I4936" s="83" t="e">
        <f>VLOOKUP(E4936,[1]Mapping!$A$3:$B$14,2,FALSE)</f>
        <v>#N/A</v>
      </c>
      <c r="J4936" s="84">
        <f t="shared" si="156"/>
        <v>0</v>
      </c>
      <c r="K4936" s="84">
        <f t="shared" si="157"/>
        <v>0</v>
      </c>
      <c r="L4936" s="61" t="e">
        <f>VLOOKUP(K4936,[1]Mapping!$J$3:$Q$351,8,FALSE)</f>
        <v>#N/A</v>
      </c>
      <c r="M4936" t="s">
        <v>83</v>
      </c>
    </row>
    <row r="4937" spans="5:13" hidden="1" x14ac:dyDescent="0.35">
      <c r="E4937" s="81"/>
      <c r="I4937" s="83" t="e">
        <f>VLOOKUP(E4937,[1]Mapping!$A$3:$B$14,2,FALSE)</f>
        <v>#N/A</v>
      </c>
      <c r="J4937" s="84">
        <f t="shared" si="156"/>
        <v>0</v>
      </c>
      <c r="K4937" s="84">
        <f t="shared" si="157"/>
        <v>0</v>
      </c>
      <c r="L4937" s="61" t="e">
        <f>VLOOKUP(K4937,[1]Mapping!$J$3:$Q$351,8,FALSE)</f>
        <v>#N/A</v>
      </c>
      <c r="M4937" t="s">
        <v>83</v>
      </c>
    </row>
    <row r="4938" spans="5:13" hidden="1" x14ac:dyDescent="0.35">
      <c r="E4938" s="81"/>
      <c r="I4938" s="83" t="e">
        <f>VLOOKUP(E4938,[1]Mapping!$A$3:$B$14,2,FALSE)</f>
        <v>#N/A</v>
      </c>
      <c r="J4938" s="84">
        <f t="shared" si="156"/>
        <v>0</v>
      </c>
      <c r="K4938" s="84">
        <f t="shared" si="157"/>
        <v>0</v>
      </c>
      <c r="L4938" s="61" t="e">
        <f>VLOOKUP(K4938,[1]Mapping!$J$3:$Q$351,8,FALSE)</f>
        <v>#N/A</v>
      </c>
      <c r="M4938" t="s">
        <v>83</v>
      </c>
    </row>
    <row r="4939" spans="5:13" hidden="1" x14ac:dyDescent="0.35">
      <c r="E4939" s="81"/>
      <c r="I4939" s="83" t="e">
        <f>VLOOKUP(E4939,[1]Mapping!$A$3:$B$14,2,FALSE)</f>
        <v>#N/A</v>
      </c>
      <c r="J4939" s="84">
        <f t="shared" si="156"/>
        <v>0</v>
      </c>
      <c r="K4939" s="84">
        <f t="shared" si="157"/>
        <v>0</v>
      </c>
      <c r="L4939" s="61" t="e">
        <f>VLOOKUP(K4939,[1]Mapping!$J$3:$Q$351,8,FALSE)</f>
        <v>#N/A</v>
      </c>
      <c r="M4939" t="s">
        <v>83</v>
      </c>
    </row>
    <row r="4940" spans="5:13" hidden="1" x14ac:dyDescent="0.35">
      <c r="E4940" s="81"/>
      <c r="I4940" s="83" t="e">
        <f>VLOOKUP(E4940,[1]Mapping!$A$3:$B$14,2,FALSE)</f>
        <v>#N/A</v>
      </c>
      <c r="J4940" s="84">
        <f t="shared" si="156"/>
        <v>0</v>
      </c>
      <c r="K4940" s="84">
        <f t="shared" si="157"/>
        <v>0</v>
      </c>
      <c r="L4940" s="61" t="e">
        <f>VLOOKUP(K4940,[1]Mapping!$J$3:$Q$351,8,FALSE)</f>
        <v>#N/A</v>
      </c>
      <c r="M4940" t="s">
        <v>83</v>
      </c>
    </row>
    <row r="4941" spans="5:13" hidden="1" x14ac:dyDescent="0.35">
      <c r="E4941" s="81"/>
      <c r="I4941" s="83" t="e">
        <f>VLOOKUP(E4941,[1]Mapping!$A$3:$B$14,2,FALSE)</f>
        <v>#N/A</v>
      </c>
      <c r="J4941" s="84">
        <f t="shared" si="156"/>
        <v>0</v>
      </c>
      <c r="K4941" s="84">
        <f t="shared" si="157"/>
        <v>0</v>
      </c>
      <c r="L4941" s="61" t="e">
        <f>VLOOKUP(K4941,[1]Mapping!$J$3:$Q$351,8,FALSE)</f>
        <v>#N/A</v>
      </c>
      <c r="M4941" t="s">
        <v>83</v>
      </c>
    </row>
    <row r="4942" spans="5:13" hidden="1" x14ac:dyDescent="0.35">
      <c r="E4942" s="81"/>
      <c r="I4942" s="83" t="e">
        <f>VLOOKUP(E4942,[1]Mapping!$A$3:$B$14,2,FALSE)</f>
        <v>#N/A</v>
      </c>
      <c r="J4942" s="84">
        <f t="shared" si="156"/>
        <v>0</v>
      </c>
      <c r="K4942" s="84">
        <f t="shared" si="157"/>
        <v>0</v>
      </c>
      <c r="L4942" s="61" t="e">
        <f>VLOOKUP(K4942,[1]Mapping!$J$3:$Q$351,8,FALSE)</f>
        <v>#N/A</v>
      </c>
      <c r="M4942" t="s">
        <v>83</v>
      </c>
    </row>
    <row r="4943" spans="5:13" hidden="1" x14ac:dyDescent="0.35">
      <c r="E4943" s="81"/>
      <c r="I4943" s="83" t="e">
        <f>VLOOKUP(E4943,[1]Mapping!$A$3:$B$14,2,FALSE)</f>
        <v>#N/A</v>
      </c>
      <c r="J4943" s="84">
        <f t="shared" si="156"/>
        <v>0</v>
      </c>
      <c r="K4943" s="84">
        <f t="shared" si="157"/>
        <v>0</v>
      </c>
      <c r="L4943" s="61" t="e">
        <f>VLOOKUP(K4943,[1]Mapping!$J$3:$Q$351,8,FALSE)</f>
        <v>#N/A</v>
      </c>
      <c r="M4943" t="s">
        <v>83</v>
      </c>
    </row>
    <row r="4944" spans="5:13" hidden="1" x14ac:dyDescent="0.35">
      <c r="E4944" s="81"/>
      <c r="I4944" s="83" t="e">
        <f>VLOOKUP(E4944,[1]Mapping!$A$3:$B$14,2,FALSE)</f>
        <v>#N/A</v>
      </c>
      <c r="J4944" s="84">
        <f t="shared" ref="J4944:J5007" si="158">VALUE(A4944)</f>
        <v>0</v>
      </c>
      <c r="K4944" s="84">
        <f t="shared" ref="K4944:K5007" si="159">VALUE(C4944)</f>
        <v>0</v>
      </c>
      <c r="L4944" s="61" t="e">
        <f>VLOOKUP(K4944,[1]Mapping!$J$3:$Q$351,8,FALSE)</f>
        <v>#N/A</v>
      </c>
      <c r="M4944" t="s">
        <v>83</v>
      </c>
    </row>
    <row r="4945" spans="5:13" hidden="1" x14ac:dyDescent="0.35">
      <c r="E4945" s="81"/>
      <c r="I4945" s="83" t="e">
        <f>VLOOKUP(E4945,[1]Mapping!$A$3:$B$14,2,FALSE)</f>
        <v>#N/A</v>
      </c>
      <c r="J4945" s="84">
        <f t="shared" si="158"/>
        <v>0</v>
      </c>
      <c r="K4945" s="84">
        <f t="shared" si="159"/>
        <v>0</v>
      </c>
      <c r="L4945" s="61" t="e">
        <f>VLOOKUP(K4945,[1]Mapping!$J$3:$Q$351,8,FALSE)</f>
        <v>#N/A</v>
      </c>
      <c r="M4945" t="s">
        <v>83</v>
      </c>
    </row>
    <row r="4946" spans="5:13" hidden="1" x14ac:dyDescent="0.35">
      <c r="E4946" s="81"/>
      <c r="I4946" s="83" t="e">
        <f>VLOOKUP(E4946,[1]Mapping!$A$3:$B$14,2,FALSE)</f>
        <v>#N/A</v>
      </c>
      <c r="J4946" s="84">
        <f t="shared" si="158"/>
        <v>0</v>
      </c>
      <c r="K4946" s="84">
        <f t="shared" si="159"/>
        <v>0</v>
      </c>
      <c r="L4946" s="61" t="e">
        <f>VLOOKUP(K4946,[1]Mapping!$J$3:$Q$351,8,FALSE)</f>
        <v>#N/A</v>
      </c>
      <c r="M4946" t="s">
        <v>83</v>
      </c>
    </row>
    <row r="4947" spans="5:13" hidden="1" x14ac:dyDescent="0.35">
      <c r="E4947" s="81"/>
      <c r="I4947" s="83" t="e">
        <f>VLOOKUP(E4947,[1]Mapping!$A$3:$B$14,2,FALSE)</f>
        <v>#N/A</v>
      </c>
      <c r="J4947" s="84">
        <f t="shared" si="158"/>
        <v>0</v>
      </c>
      <c r="K4947" s="84">
        <f t="shared" si="159"/>
        <v>0</v>
      </c>
      <c r="L4947" s="61" t="e">
        <f>VLOOKUP(K4947,[1]Mapping!$J$3:$Q$351,8,FALSE)</f>
        <v>#N/A</v>
      </c>
      <c r="M4947" t="s">
        <v>83</v>
      </c>
    </row>
    <row r="4948" spans="5:13" hidden="1" x14ac:dyDescent="0.35">
      <c r="E4948" s="81"/>
      <c r="I4948" s="83" t="e">
        <f>VLOOKUP(E4948,[1]Mapping!$A$3:$B$14,2,FALSE)</f>
        <v>#N/A</v>
      </c>
      <c r="J4948" s="84">
        <f t="shared" si="158"/>
        <v>0</v>
      </c>
      <c r="K4948" s="84">
        <f t="shared" si="159"/>
        <v>0</v>
      </c>
      <c r="L4948" s="61" t="e">
        <f>VLOOKUP(K4948,[1]Mapping!$J$3:$Q$351,8,FALSE)</f>
        <v>#N/A</v>
      </c>
      <c r="M4948" t="s">
        <v>83</v>
      </c>
    </row>
    <row r="4949" spans="5:13" hidden="1" x14ac:dyDescent="0.35">
      <c r="E4949" s="81"/>
      <c r="I4949" s="83" t="e">
        <f>VLOOKUP(E4949,[1]Mapping!$A$3:$B$14,2,FALSE)</f>
        <v>#N/A</v>
      </c>
      <c r="J4949" s="84">
        <f t="shared" si="158"/>
        <v>0</v>
      </c>
      <c r="K4949" s="84">
        <f t="shared" si="159"/>
        <v>0</v>
      </c>
      <c r="L4949" s="61" t="e">
        <f>VLOOKUP(K4949,[1]Mapping!$J$3:$Q$351,8,FALSE)</f>
        <v>#N/A</v>
      </c>
      <c r="M4949" t="s">
        <v>83</v>
      </c>
    </row>
    <row r="4950" spans="5:13" hidden="1" x14ac:dyDescent="0.35">
      <c r="E4950" s="81"/>
      <c r="I4950" s="83" t="e">
        <f>VLOOKUP(E4950,[1]Mapping!$A$3:$B$14,2,FALSE)</f>
        <v>#N/A</v>
      </c>
      <c r="J4950" s="84">
        <f t="shared" si="158"/>
        <v>0</v>
      </c>
      <c r="K4950" s="84">
        <f t="shared" si="159"/>
        <v>0</v>
      </c>
      <c r="L4950" s="61" t="e">
        <f>VLOOKUP(K4950,[1]Mapping!$J$3:$Q$351,8,FALSE)</f>
        <v>#N/A</v>
      </c>
      <c r="M4950" t="s">
        <v>83</v>
      </c>
    </row>
    <row r="4951" spans="5:13" hidden="1" x14ac:dyDescent="0.35">
      <c r="E4951" s="81"/>
      <c r="I4951" s="83" t="e">
        <f>VLOOKUP(E4951,[1]Mapping!$A$3:$B$14,2,FALSE)</f>
        <v>#N/A</v>
      </c>
      <c r="J4951" s="84">
        <f t="shared" si="158"/>
        <v>0</v>
      </c>
      <c r="K4951" s="84">
        <f t="shared" si="159"/>
        <v>0</v>
      </c>
      <c r="L4951" s="61" t="e">
        <f>VLOOKUP(K4951,[1]Mapping!$J$3:$Q$351,8,FALSE)</f>
        <v>#N/A</v>
      </c>
      <c r="M4951" t="s">
        <v>83</v>
      </c>
    </row>
    <row r="4952" spans="5:13" hidden="1" x14ac:dyDescent="0.35">
      <c r="E4952" s="81"/>
      <c r="I4952" s="83" t="e">
        <f>VLOOKUP(E4952,[1]Mapping!$A$3:$B$14,2,FALSE)</f>
        <v>#N/A</v>
      </c>
      <c r="J4952" s="84">
        <f t="shared" si="158"/>
        <v>0</v>
      </c>
      <c r="K4952" s="84">
        <f t="shared" si="159"/>
        <v>0</v>
      </c>
      <c r="L4952" s="61" t="e">
        <f>VLOOKUP(K4952,[1]Mapping!$J$3:$Q$351,8,FALSE)</f>
        <v>#N/A</v>
      </c>
      <c r="M4952" t="s">
        <v>83</v>
      </c>
    </row>
    <row r="4953" spans="5:13" hidden="1" x14ac:dyDescent="0.35">
      <c r="E4953" s="81"/>
      <c r="I4953" s="83" t="e">
        <f>VLOOKUP(E4953,[1]Mapping!$A$3:$B$14,2,FALSE)</f>
        <v>#N/A</v>
      </c>
      <c r="J4953" s="84">
        <f t="shared" si="158"/>
        <v>0</v>
      </c>
      <c r="K4953" s="84">
        <f t="shared" si="159"/>
        <v>0</v>
      </c>
      <c r="L4953" s="61" t="e">
        <f>VLOOKUP(K4953,[1]Mapping!$J$3:$Q$351,8,FALSE)</f>
        <v>#N/A</v>
      </c>
      <c r="M4953" t="s">
        <v>83</v>
      </c>
    </row>
    <row r="4954" spans="5:13" hidden="1" x14ac:dyDescent="0.35">
      <c r="E4954" s="81"/>
      <c r="I4954" s="83" t="e">
        <f>VLOOKUP(E4954,[1]Mapping!$A$3:$B$14,2,FALSE)</f>
        <v>#N/A</v>
      </c>
      <c r="J4954" s="84">
        <f t="shared" si="158"/>
        <v>0</v>
      </c>
      <c r="K4954" s="84">
        <f t="shared" si="159"/>
        <v>0</v>
      </c>
      <c r="L4954" s="61" t="e">
        <f>VLOOKUP(K4954,[1]Mapping!$J$3:$Q$351,8,FALSE)</f>
        <v>#N/A</v>
      </c>
      <c r="M4954" t="s">
        <v>83</v>
      </c>
    </row>
    <row r="4955" spans="5:13" hidden="1" x14ac:dyDescent="0.35">
      <c r="E4955" s="81"/>
      <c r="I4955" s="83" t="e">
        <f>VLOOKUP(E4955,[1]Mapping!$A$3:$B$14,2,FALSE)</f>
        <v>#N/A</v>
      </c>
      <c r="J4955" s="84">
        <f t="shared" si="158"/>
        <v>0</v>
      </c>
      <c r="K4955" s="84">
        <f t="shared" si="159"/>
        <v>0</v>
      </c>
      <c r="L4955" s="61" t="e">
        <f>VLOOKUP(K4955,[1]Mapping!$J$3:$Q$351,8,FALSE)</f>
        <v>#N/A</v>
      </c>
      <c r="M4955" t="s">
        <v>83</v>
      </c>
    </row>
    <row r="4956" spans="5:13" hidden="1" x14ac:dyDescent="0.35">
      <c r="E4956" s="81"/>
      <c r="I4956" s="83" t="e">
        <f>VLOOKUP(E4956,[1]Mapping!$A$3:$B$14,2,FALSE)</f>
        <v>#N/A</v>
      </c>
      <c r="J4956" s="84">
        <f t="shared" si="158"/>
        <v>0</v>
      </c>
      <c r="K4956" s="84">
        <f t="shared" si="159"/>
        <v>0</v>
      </c>
      <c r="L4956" s="61" t="e">
        <f>VLOOKUP(K4956,[1]Mapping!$J$3:$Q$351,8,FALSE)</f>
        <v>#N/A</v>
      </c>
      <c r="M4956" t="s">
        <v>83</v>
      </c>
    </row>
    <row r="4957" spans="5:13" hidden="1" x14ac:dyDescent="0.35">
      <c r="E4957" s="81"/>
      <c r="I4957" s="83" t="e">
        <f>VLOOKUP(E4957,[1]Mapping!$A$3:$B$14,2,FALSE)</f>
        <v>#N/A</v>
      </c>
      <c r="J4957" s="84">
        <f t="shared" si="158"/>
        <v>0</v>
      </c>
      <c r="K4957" s="84">
        <f t="shared" si="159"/>
        <v>0</v>
      </c>
      <c r="L4957" s="61" t="e">
        <f>VLOOKUP(K4957,[1]Mapping!$J$3:$Q$351,8,FALSE)</f>
        <v>#N/A</v>
      </c>
      <c r="M4957" t="s">
        <v>83</v>
      </c>
    </row>
    <row r="4958" spans="5:13" hidden="1" x14ac:dyDescent="0.35">
      <c r="E4958" s="81"/>
      <c r="I4958" s="83" t="e">
        <f>VLOOKUP(E4958,[1]Mapping!$A$3:$B$14,2,FALSE)</f>
        <v>#N/A</v>
      </c>
      <c r="J4958" s="84">
        <f t="shared" si="158"/>
        <v>0</v>
      </c>
      <c r="K4958" s="84">
        <f t="shared" si="159"/>
        <v>0</v>
      </c>
      <c r="L4958" s="61" t="e">
        <f>VLOOKUP(K4958,[1]Mapping!$J$3:$Q$351,8,FALSE)</f>
        <v>#N/A</v>
      </c>
      <c r="M4958" t="s">
        <v>83</v>
      </c>
    </row>
    <row r="4959" spans="5:13" hidden="1" x14ac:dyDescent="0.35">
      <c r="E4959" s="81"/>
      <c r="I4959" s="83" t="e">
        <f>VLOOKUP(E4959,[1]Mapping!$A$3:$B$14,2,FALSE)</f>
        <v>#N/A</v>
      </c>
      <c r="J4959" s="84">
        <f t="shared" si="158"/>
        <v>0</v>
      </c>
      <c r="K4959" s="84">
        <f t="shared" si="159"/>
        <v>0</v>
      </c>
      <c r="L4959" s="61" t="e">
        <f>VLOOKUP(K4959,[1]Mapping!$J$3:$Q$351,8,FALSE)</f>
        <v>#N/A</v>
      </c>
      <c r="M4959" t="s">
        <v>83</v>
      </c>
    </row>
    <row r="4960" spans="5:13" hidden="1" x14ac:dyDescent="0.35">
      <c r="E4960" s="81"/>
      <c r="I4960" s="83" t="e">
        <f>VLOOKUP(E4960,[1]Mapping!$A$3:$B$14,2,FALSE)</f>
        <v>#N/A</v>
      </c>
      <c r="J4960" s="84">
        <f t="shared" si="158"/>
        <v>0</v>
      </c>
      <c r="K4960" s="84">
        <f t="shared" si="159"/>
        <v>0</v>
      </c>
      <c r="L4960" s="61" t="e">
        <f>VLOOKUP(K4960,[1]Mapping!$J$3:$Q$351,8,FALSE)</f>
        <v>#N/A</v>
      </c>
      <c r="M4960" t="s">
        <v>83</v>
      </c>
    </row>
    <row r="4961" spans="5:13" hidden="1" x14ac:dyDescent="0.35">
      <c r="E4961" s="81"/>
      <c r="I4961" s="83" t="e">
        <f>VLOOKUP(E4961,[1]Mapping!$A$3:$B$14,2,FALSE)</f>
        <v>#N/A</v>
      </c>
      <c r="J4961" s="84">
        <f t="shared" si="158"/>
        <v>0</v>
      </c>
      <c r="K4961" s="84">
        <f t="shared" si="159"/>
        <v>0</v>
      </c>
      <c r="L4961" s="61" t="e">
        <f>VLOOKUP(K4961,[1]Mapping!$J$3:$Q$351,8,FALSE)</f>
        <v>#N/A</v>
      </c>
      <c r="M4961" t="s">
        <v>83</v>
      </c>
    </row>
    <row r="4962" spans="5:13" hidden="1" x14ac:dyDescent="0.35">
      <c r="E4962" s="81"/>
      <c r="I4962" s="83" t="e">
        <f>VLOOKUP(E4962,[1]Mapping!$A$3:$B$14,2,FALSE)</f>
        <v>#N/A</v>
      </c>
      <c r="J4962" s="84">
        <f t="shared" si="158"/>
        <v>0</v>
      </c>
      <c r="K4962" s="84">
        <f t="shared" si="159"/>
        <v>0</v>
      </c>
      <c r="L4962" s="61" t="e">
        <f>VLOOKUP(K4962,[1]Mapping!$J$3:$Q$351,8,FALSE)</f>
        <v>#N/A</v>
      </c>
      <c r="M4962" t="s">
        <v>83</v>
      </c>
    </row>
    <row r="4963" spans="5:13" hidden="1" x14ac:dyDescent="0.35">
      <c r="E4963" s="81"/>
      <c r="I4963" s="83" t="e">
        <f>VLOOKUP(E4963,[1]Mapping!$A$3:$B$14,2,FALSE)</f>
        <v>#N/A</v>
      </c>
      <c r="J4963" s="84">
        <f t="shared" si="158"/>
        <v>0</v>
      </c>
      <c r="K4963" s="84">
        <f t="shared" si="159"/>
        <v>0</v>
      </c>
      <c r="L4963" s="61" t="e">
        <f>VLOOKUP(K4963,[1]Mapping!$J$3:$Q$351,8,FALSE)</f>
        <v>#N/A</v>
      </c>
      <c r="M4963" t="s">
        <v>83</v>
      </c>
    </row>
    <row r="4964" spans="5:13" hidden="1" x14ac:dyDescent="0.35">
      <c r="E4964" s="81"/>
      <c r="I4964" s="83" t="e">
        <f>VLOOKUP(E4964,[1]Mapping!$A$3:$B$14,2,FALSE)</f>
        <v>#N/A</v>
      </c>
      <c r="J4964" s="84">
        <f t="shared" si="158"/>
        <v>0</v>
      </c>
      <c r="K4964" s="84">
        <f t="shared" si="159"/>
        <v>0</v>
      </c>
      <c r="L4964" s="61" t="e">
        <f>VLOOKUP(K4964,[1]Mapping!$J$3:$Q$351,8,FALSE)</f>
        <v>#N/A</v>
      </c>
      <c r="M4964" t="s">
        <v>83</v>
      </c>
    </row>
    <row r="4965" spans="5:13" hidden="1" x14ac:dyDescent="0.35">
      <c r="E4965" s="81"/>
      <c r="I4965" s="83" t="e">
        <f>VLOOKUP(E4965,[1]Mapping!$A$3:$B$14,2,FALSE)</f>
        <v>#N/A</v>
      </c>
      <c r="J4965" s="84">
        <f t="shared" si="158"/>
        <v>0</v>
      </c>
      <c r="K4965" s="84">
        <f t="shared" si="159"/>
        <v>0</v>
      </c>
      <c r="L4965" s="61" t="e">
        <f>VLOOKUP(K4965,[1]Mapping!$J$3:$Q$351,8,FALSE)</f>
        <v>#N/A</v>
      </c>
      <c r="M4965" t="s">
        <v>83</v>
      </c>
    </row>
    <row r="4966" spans="5:13" hidden="1" x14ac:dyDescent="0.35">
      <c r="E4966" s="81"/>
      <c r="I4966" s="83" t="e">
        <f>VLOOKUP(E4966,[1]Mapping!$A$3:$B$14,2,FALSE)</f>
        <v>#N/A</v>
      </c>
      <c r="J4966" s="84">
        <f t="shared" si="158"/>
        <v>0</v>
      </c>
      <c r="K4966" s="84">
        <f t="shared" si="159"/>
        <v>0</v>
      </c>
      <c r="L4966" s="61" t="e">
        <f>VLOOKUP(K4966,[1]Mapping!$J$3:$Q$351,8,FALSE)</f>
        <v>#N/A</v>
      </c>
      <c r="M4966" t="s">
        <v>83</v>
      </c>
    </row>
    <row r="4967" spans="5:13" hidden="1" x14ac:dyDescent="0.35">
      <c r="E4967" s="81"/>
      <c r="I4967" s="83" t="e">
        <f>VLOOKUP(E4967,[1]Mapping!$A$3:$B$14,2,FALSE)</f>
        <v>#N/A</v>
      </c>
      <c r="J4967" s="84">
        <f t="shared" si="158"/>
        <v>0</v>
      </c>
      <c r="K4967" s="84">
        <f t="shared" si="159"/>
        <v>0</v>
      </c>
      <c r="L4967" s="61" t="e">
        <f>VLOOKUP(K4967,[1]Mapping!$J$3:$Q$351,8,FALSE)</f>
        <v>#N/A</v>
      </c>
      <c r="M4967" t="s">
        <v>83</v>
      </c>
    </row>
    <row r="4968" spans="5:13" hidden="1" x14ac:dyDescent="0.35">
      <c r="E4968" s="81"/>
      <c r="I4968" s="83" t="e">
        <f>VLOOKUP(E4968,[1]Mapping!$A$3:$B$14,2,FALSE)</f>
        <v>#N/A</v>
      </c>
      <c r="J4968" s="84">
        <f t="shared" si="158"/>
        <v>0</v>
      </c>
      <c r="K4968" s="84">
        <f t="shared" si="159"/>
        <v>0</v>
      </c>
      <c r="L4968" s="61" t="e">
        <f>VLOOKUP(K4968,[1]Mapping!$J$3:$Q$351,8,FALSE)</f>
        <v>#N/A</v>
      </c>
      <c r="M4968" t="s">
        <v>83</v>
      </c>
    </row>
    <row r="4969" spans="5:13" hidden="1" x14ac:dyDescent="0.35">
      <c r="E4969" s="81"/>
      <c r="I4969" s="83" t="e">
        <f>VLOOKUP(E4969,[1]Mapping!$A$3:$B$14,2,FALSE)</f>
        <v>#N/A</v>
      </c>
      <c r="J4969" s="84">
        <f t="shared" si="158"/>
        <v>0</v>
      </c>
      <c r="K4969" s="84">
        <f t="shared" si="159"/>
        <v>0</v>
      </c>
      <c r="L4969" s="61" t="e">
        <f>VLOOKUP(K4969,[1]Mapping!$J$3:$Q$351,8,FALSE)</f>
        <v>#N/A</v>
      </c>
      <c r="M4969" t="s">
        <v>83</v>
      </c>
    </row>
    <row r="4970" spans="5:13" hidden="1" x14ac:dyDescent="0.35">
      <c r="E4970" s="81"/>
      <c r="I4970" s="83" t="e">
        <f>VLOOKUP(E4970,[1]Mapping!$A$3:$B$14,2,FALSE)</f>
        <v>#N/A</v>
      </c>
      <c r="J4970" s="84">
        <f t="shared" si="158"/>
        <v>0</v>
      </c>
      <c r="K4970" s="84">
        <f t="shared" si="159"/>
        <v>0</v>
      </c>
      <c r="L4970" s="61" t="e">
        <f>VLOOKUP(K4970,[1]Mapping!$J$3:$Q$351,8,FALSE)</f>
        <v>#N/A</v>
      </c>
      <c r="M4970" t="s">
        <v>83</v>
      </c>
    </row>
    <row r="4971" spans="5:13" hidden="1" x14ac:dyDescent="0.35">
      <c r="E4971" s="81"/>
      <c r="I4971" s="83" t="e">
        <f>VLOOKUP(E4971,[1]Mapping!$A$3:$B$14,2,FALSE)</f>
        <v>#N/A</v>
      </c>
      <c r="J4971" s="84">
        <f t="shared" si="158"/>
        <v>0</v>
      </c>
      <c r="K4971" s="84">
        <f t="shared" si="159"/>
        <v>0</v>
      </c>
      <c r="L4971" s="61" t="e">
        <f>VLOOKUP(K4971,[1]Mapping!$J$3:$Q$351,8,FALSE)</f>
        <v>#N/A</v>
      </c>
      <c r="M4971" t="s">
        <v>83</v>
      </c>
    </row>
    <row r="4972" spans="5:13" hidden="1" x14ac:dyDescent="0.35">
      <c r="E4972" s="81"/>
      <c r="I4972" s="83" t="e">
        <f>VLOOKUP(E4972,[1]Mapping!$A$3:$B$14,2,FALSE)</f>
        <v>#N/A</v>
      </c>
      <c r="J4972" s="84">
        <f t="shared" si="158"/>
        <v>0</v>
      </c>
      <c r="K4972" s="84">
        <f t="shared" si="159"/>
        <v>0</v>
      </c>
      <c r="L4972" s="61" t="e">
        <f>VLOOKUP(K4972,[1]Mapping!$J$3:$Q$351,8,FALSE)</f>
        <v>#N/A</v>
      </c>
      <c r="M4972" t="s">
        <v>83</v>
      </c>
    </row>
    <row r="4973" spans="5:13" hidden="1" x14ac:dyDescent="0.35">
      <c r="E4973" s="81"/>
      <c r="I4973" s="83" t="e">
        <f>VLOOKUP(E4973,[1]Mapping!$A$3:$B$14,2,FALSE)</f>
        <v>#N/A</v>
      </c>
      <c r="J4973" s="84">
        <f t="shared" si="158"/>
        <v>0</v>
      </c>
      <c r="K4973" s="84">
        <f t="shared" si="159"/>
        <v>0</v>
      </c>
      <c r="L4973" s="61" t="e">
        <f>VLOOKUP(K4973,[1]Mapping!$J$3:$Q$351,8,FALSE)</f>
        <v>#N/A</v>
      </c>
      <c r="M4973" t="s">
        <v>83</v>
      </c>
    </row>
    <row r="4974" spans="5:13" hidden="1" x14ac:dyDescent="0.35">
      <c r="E4974" s="81"/>
      <c r="I4974" s="83" t="e">
        <f>VLOOKUP(E4974,[1]Mapping!$A$3:$B$14,2,FALSE)</f>
        <v>#N/A</v>
      </c>
      <c r="J4974" s="84">
        <f t="shared" si="158"/>
        <v>0</v>
      </c>
      <c r="K4974" s="84">
        <f t="shared" si="159"/>
        <v>0</v>
      </c>
      <c r="L4974" s="61" t="e">
        <f>VLOOKUP(K4974,[1]Mapping!$J$3:$Q$351,8,FALSE)</f>
        <v>#N/A</v>
      </c>
      <c r="M4974" t="s">
        <v>83</v>
      </c>
    </row>
    <row r="4975" spans="5:13" hidden="1" x14ac:dyDescent="0.35">
      <c r="E4975" s="81"/>
      <c r="I4975" s="83" t="e">
        <f>VLOOKUP(E4975,[1]Mapping!$A$3:$B$14,2,FALSE)</f>
        <v>#N/A</v>
      </c>
      <c r="J4975" s="84">
        <f t="shared" si="158"/>
        <v>0</v>
      </c>
      <c r="K4975" s="84">
        <f t="shared" si="159"/>
        <v>0</v>
      </c>
      <c r="L4975" s="61" t="e">
        <f>VLOOKUP(K4975,[1]Mapping!$J$3:$Q$351,8,FALSE)</f>
        <v>#N/A</v>
      </c>
      <c r="M4975" t="s">
        <v>83</v>
      </c>
    </row>
    <row r="4976" spans="5:13" hidden="1" x14ac:dyDescent="0.35">
      <c r="E4976" s="81"/>
      <c r="I4976" s="83" t="e">
        <f>VLOOKUP(E4976,[1]Mapping!$A$3:$B$14,2,FALSE)</f>
        <v>#N/A</v>
      </c>
      <c r="J4976" s="84">
        <f t="shared" si="158"/>
        <v>0</v>
      </c>
      <c r="K4976" s="84">
        <f t="shared" si="159"/>
        <v>0</v>
      </c>
      <c r="L4976" s="61" t="e">
        <f>VLOOKUP(K4976,[1]Mapping!$J$3:$Q$351,8,FALSE)</f>
        <v>#N/A</v>
      </c>
      <c r="M4976" t="s">
        <v>83</v>
      </c>
    </row>
    <row r="4977" spans="5:13" hidden="1" x14ac:dyDescent="0.35">
      <c r="E4977" s="81"/>
      <c r="I4977" s="83" t="e">
        <f>VLOOKUP(E4977,[1]Mapping!$A$3:$B$14,2,FALSE)</f>
        <v>#N/A</v>
      </c>
      <c r="J4977" s="84">
        <f t="shared" si="158"/>
        <v>0</v>
      </c>
      <c r="K4977" s="84">
        <f t="shared" si="159"/>
        <v>0</v>
      </c>
      <c r="L4977" s="61" t="e">
        <f>VLOOKUP(K4977,[1]Mapping!$J$3:$Q$351,8,FALSE)</f>
        <v>#N/A</v>
      </c>
      <c r="M4977" t="s">
        <v>83</v>
      </c>
    </row>
    <row r="4978" spans="5:13" hidden="1" x14ac:dyDescent="0.35">
      <c r="E4978" s="81"/>
      <c r="I4978" s="83" t="e">
        <f>VLOOKUP(E4978,[1]Mapping!$A$3:$B$14,2,FALSE)</f>
        <v>#N/A</v>
      </c>
      <c r="J4978" s="84">
        <f t="shared" si="158"/>
        <v>0</v>
      </c>
      <c r="K4978" s="84">
        <f t="shared" si="159"/>
        <v>0</v>
      </c>
      <c r="L4978" s="61" t="e">
        <f>VLOOKUP(K4978,[1]Mapping!$J$3:$Q$351,8,FALSE)</f>
        <v>#N/A</v>
      </c>
      <c r="M4978" t="s">
        <v>83</v>
      </c>
    </row>
    <row r="4979" spans="5:13" hidden="1" x14ac:dyDescent="0.35">
      <c r="E4979" s="81"/>
      <c r="I4979" s="83" t="e">
        <f>VLOOKUP(E4979,[1]Mapping!$A$3:$B$14,2,FALSE)</f>
        <v>#N/A</v>
      </c>
      <c r="J4979" s="84">
        <f t="shared" si="158"/>
        <v>0</v>
      </c>
      <c r="K4979" s="84">
        <f t="shared" si="159"/>
        <v>0</v>
      </c>
      <c r="L4979" s="61" t="e">
        <f>VLOOKUP(K4979,[1]Mapping!$J$3:$Q$351,8,FALSE)</f>
        <v>#N/A</v>
      </c>
      <c r="M4979" t="s">
        <v>83</v>
      </c>
    </row>
    <row r="4980" spans="5:13" hidden="1" x14ac:dyDescent="0.35">
      <c r="E4980" s="81"/>
      <c r="I4980" s="83" t="e">
        <f>VLOOKUP(E4980,[1]Mapping!$A$3:$B$14,2,FALSE)</f>
        <v>#N/A</v>
      </c>
      <c r="J4980" s="84">
        <f t="shared" si="158"/>
        <v>0</v>
      </c>
      <c r="K4980" s="84">
        <f t="shared" si="159"/>
        <v>0</v>
      </c>
      <c r="L4980" s="61" t="e">
        <f>VLOOKUP(K4980,[1]Mapping!$J$3:$Q$351,8,FALSE)</f>
        <v>#N/A</v>
      </c>
      <c r="M4980" t="s">
        <v>83</v>
      </c>
    </row>
    <row r="4981" spans="5:13" hidden="1" x14ac:dyDescent="0.35">
      <c r="E4981" s="81"/>
      <c r="I4981" s="83" t="e">
        <f>VLOOKUP(E4981,[1]Mapping!$A$3:$B$14,2,FALSE)</f>
        <v>#N/A</v>
      </c>
      <c r="J4981" s="84">
        <f t="shared" si="158"/>
        <v>0</v>
      </c>
      <c r="K4981" s="84">
        <f t="shared" si="159"/>
        <v>0</v>
      </c>
      <c r="L4981" s="61" t="e">
        <f>VLOOKUP(K4981,[1]Mapping!$J$3:$Q$351,8,FALSE)</f>
        <v>#N/A</v>
      </c>
      <c r="M4981" t="s">
        <v>83</v>
      </c>
    </row>
    <row r="4982" spans="5:13" hidden="1" x14ac:dyDescent="0.35">
      <c r="E4982" s="81"/>
      <c r="I4982" s="83" t="e">
        <f>VLOOKUP(E4982,[1]Mapping!$A$3:$B$14,2,FALSE)</f>
        <v>#N/A</v>
      </c>
      <c r="J4982" s="84">
        <f t="shared" si="158"/>
        <v>0</v>
      </c>
      <c r="K4982" s="84">
        <f t="shared" si="159"/>
        <v>0</v>
      </c>
      <c r="L4982" s="61" t="e">
        <f>VLOOKUP(K4982,[1]Mapping!$J$3:$Q$351,8,FALSE)</f>
        <v>#N/A</v>
      </c>
      <c r="M4982" t="s">
        <v>83</v>
      </c>
    </row>
    <row r="4983" spans="5:13" hidden="1" x14ac:dyDescent="0.35">
      <c r="E4983" s="81"/>
      <c r="I4983" s="83" t="e">
        <f>VLOOKUP(E4983,[1]Mapping!$A$3:$B$14,2,FALSE)</f>
        <v>#N/A</v>
      </c>
      <c r="J4983" s="84">
        <f t="shared" si="158"/>
        <v>0</v>
      </c>
      <c r="K4983" s="84">
        <f t="shared" si="159"/>
        <v>0</v>
      </c>
      <c r="L4983" s="61" t="e">
        <f>VLOOKUP(K4983,[1]Mapping!$J$3:$Q$351,8,FALSE)</f>
        <v>#N/A</v>
      </c>
      <c r="M4983" t="s">
        <v>83</v>
      </c>
    </row>
    <row r="4984" spans="5:13" hidden="1" x14ac:dyDescent="0.35">
      <c r="E4984" s="81"/>
      <c r="I4984" s="83" t="e">
        <f>VLOOKUP(E4984,[1]Mapping!$A$3:$B$14,2,FALSE)</f>
        <v>#N/A</v>
      </c>
      <c r="J4984" s="84">
        <f t="shared" si="158"/>
        <v>0</v>
      </c>
      <c r="K4984" s="84">
        <f t="shared" si="159"/>
        <v>0</v>
      </c>
      <c r="L4984" s="61" t="e">
        <f>VLOOKUP(K4984,[1]Mapping!$J$3:$Q$351,8,FALSE)</f>
        <v>#N/A</v>
      </c>
      <c r="M4984" t="s">
        <v>83</v>
      </c>
    </row>
    <row r="4985" spans="5:13" hidden="1" x14ac:dyDescent="0.35">
      <c r="E4985" s="81"/>
      <c r="I4985" s="83" t="e">
        <f>VLOOKUP(E4985,[1]Mapping!$A$3:$B$14,2,FALSE)</f>
        <v>#N/A</v>
      </c>
      <c r="J4985" s="84">
        <f t="shared" si="158"/>
        <v>0</v>
      </c>
      <c r="K4985" s="84">
        <f t="shared" si="159"/>
        <v>0</v>
      </c>
      <c r="L4985" s="61" t="e">
        <f>VLOOKUP(K4985,[1]Mapping!$J$3:$Q$351,8,FALSE)</f>
        <v>#N/A</v>
      </c>
      <c r="M4985" t="s">
        <v>83</v>
      </c>
    </row>
    <row r="4986" spans="5:13" hidden="1" x14ac:dyDescent="0.35">
      <c r="E4986" s="81"/>
      <c r="I4986" s="83" t="e">
        <f>VLOOKUP(E4986,[1]Mapping!$A$3:$B$14,2,FALSE)</f>
        <v>#N/A</v>
      </c>
      <c r="J4986" s="84">
        <f t="shared" si="158"/>
        <v>0</v>
      </c>
      <c r="K4986" s="84">
        <f t="shared" si="159"/>
        <v>0</v>
      </c>
      <c r="L4986" s="61" t="e">
        <f>VLOOKUP(K4986,[1]Mapping!$J$3:$Q$351,8,FALSE)</f>
        <v>#N/A</v>
      </c>
      <c r="M4986" t="s">
        <v>83</v>
      </c>
    </row>
    <row r="4987" spans="5:13" hidden="1" x14ac:dyDescent="0.35">
      <c r="E4987" s="81"/>
      <c r="I4987" s="83" t="e">
        <f>VLOOKUP(E4987,[1]Mapping!$A$3:$B$14,2,FALSE)</f>
        <v>#N/A</v>
      </c>
      <c r="J4987" s="84">
        <f t="shared" si="158"/>
        <v>0</v>
      </c>
      <c r="K4987" s="84">
        <f t="shared" si="159"/>
        <v>0</v>
      </c>
      <c r="L4987" s="61" t="e">
        <f>VLOOKUP(K4987,[1]Mapping!$J$3:$Q$351,8,FALSE)</f>
        <v>#N/A</v>
      </c>
      <c r="M4987" t="s">
        <v>83</v>
      </c>
    </row>
    <row r="4988" spans="5:13" hidden="1" x14ac:dyDescent="0.35">
      <c r="E4988" s="81"/>
      <c r="I4988" s="83" t="e">
        <f>VLOOKUP(E4988,[1]Mapping!$A$3:$B$14,2,FALSE)</f>
        <v>#N/A</v>
      </c>
      <c r="J4988" s="84">
        <f t="shared" si="158"/>
        <v>0</v>
      </c>
      <c r="K4988" s="84">
        <f t="shared" si="159"/>
        <v>0</v>
      </c>
      <c r="L4988" s="61" t="e">
        <f>VLOOKUP(K4988,[1]Mapping!$J$3:$Q$351,8,FALSE)</f>
        <v>#N/A</v>
      </c>
      <c r="M4988" t="s">
        <v>83</v>
      </c>
    </row>
    <row r="4989" spans="5:13" hidden="1" x14ac:dyDescent="0.35">
      <c r="E4989" s="81"/>
      <c r="I4989" s="83" t="e">
        <f>VLOOKUP(E4989,[1]Mapping!$A$3:$B$14,2,FALSE)</f>
        <v>#N/A</v>
      </c>
      <c r="J4989" s="84">
        <f t="shared" si="158"/>
        <v>0</v>
      </c>
      <c r="K4989" s="84">
        <f t="shared" si="159"/>
        <v>0</v>
      </c>
      <c r="L4989" s="61" t="e">
        <f>VLOOKUP(K4989,[1]Mapping!$J$3:$Q$351,8,FALSE)</f>
        <v>#N/A</v>
      </c>
      <c r="M4989" t="s">
        <v>83</v>
      </c>
    </row>
    <row r="4990" spans="5:13" hidden="1" x14ac:dyDescent="0.35">
      <c r="E4990" s="81"/>
      <c r="I4990" s="83" t="e">
        <f>VLOOKUP(E4990,[1]Mapping!$A$3:$B$14,2,FALSE)</f>
        <v>#N/A</v>
      </c>
      <c r="J4990" s="84">
        <f t="shared" si="158"/>
        <v>0</v>
      </c>
      <c r="K4990" s="84">
        <f t="shared" si="159"/>
        <v>0</v>
      </c>
      <c r="L4990" s="61" t="e">
        <f>VLOOKUP(K4990,[1]Mapping!$J$3:$Q$351,8,FALSE)</f>
        <v>#N/A</v>
      </c>
      <c r="M4990" t="s">
        <v>83</v>
      </c>
    </row>
    <row r="4991" spans="5:13" hidden="1" x14ac:dyDescent="0.35">
      <c r="E4991" s="81"/>
      <c r="I4991" s="83" t="e">
        <f>VLOOKUP(E4991,[1]Mapping!$A$3:$B$14,2,FALSE)</f>
        <v>#N/A</v>
      </c>
      <c r="J4991" s="84">
        <f t="shared" si="158"/>
        <v>0</v>
      </c>
      <c r="K4991" s="84">
        <f t="shared" si="159"/>
        <v>0</v>
      </c>
      <c r="L4991" s="61" t="e">
        <f>VLOOKUP(K4991,[1]Mapping!$J$3:$Q$351,8,FALSE)</f>
        <v>#N/A</v>
      </c>
      <c r="M4991" t="s">
        <v>83</v>
      </c>
    </row>
    <row r="4992" spans="5:13" hidden="1" x14ac:dyDescent="0.35">
      <c r="E4992" s="81"/>
      <c r="I4992" s="83" t="e">
        <f>VLOOKUP(E4992,[1]Mapping!$A$3:$B$14,2,FALSE)</f>
        <v>#N/A</v>
      </c>
      <c r="J4992" s="84">
        <f t="shared" si="158"/>
        <v>0</v>
      </c>
      <c r="K4992" s="84">
        <f t="shared" si="159"/>
        <v>0</v>
      </c>
      <c r="L4992" s="61" t="e">
        <f>VLOOKUP(K4992,[1]Mapping!$J$3:$Q$351,8,FALSE)</f>
        <v>#N/A</v>
      </c>
      <c r="M4992" t="s">
        <v>83</v>
      </c>
    </row>
    <row r="4993" spans="5:13" hidden="1" x14ac:dyDescent="0.35">
      <c r="E4993" s="81"/>
      <c r="I4993" s="83" t="e">
        <f>VLOOKUP(E4993,[1]Mapping!$A$3:$B$14,2,FALSE)</f>
        <v>#N/A</v>
      </c>
      <c r="J4993" s="84">
        <f t="shared" si="158"/>
        <v>0</v>
      </c>
      <c r="K4993" s="84">
        <f t="shared" si="159"/>
        <v>0</v>
      </c>
      <c r="L4993" s="61" t="e">
        <f>VLOOKUP(K4993,[1]Mapping!$J$3:$Q$351,8,FALSE)</f>
        <v>#N/A</v>
      </c>
      <c r="M4993" t="s">
        <v>83</v>
      </c>
    </row>
    <row r="4994" spans="5:13" hidden="1" x14ac:dyDescent="0.35">
      <c r="E4994" s="81"/>
      <c r="I4994" s="83" t="e">
        <f>VLOOKUP(E4994,[1]Mapping!$A$3:$B$14,2,FALSE)</f>
        <v>#N/A</v>
      </c>
      <c r="J4994" s="84">
        <f t="shared" si="158"/>
        <v>0</v>
      </c>
      <c r="K4994" s="84">
        <f t="shared" si="159"/>
        <v>0</v>
      </c>
      <c r="L4994" s="61" t="e">
        <f>VLOOKUP(K4994,[1]Mapping!$J$3:$Q$351,8,FALSE)</f>
        <v>#N/A</v>
      </c>
      <c r="M4994" t="s">
        <v>83</v>
      </c>
    </row>
    <row r="4995" spans="5:13" hidden="1" x14ac:dyDescent="0.35">
      <c r="E4995" s="81"/>
      <c r="I4995" s="83" t="e">
        <f>VLOOKUP(E4995,[1]Mapping!$A$3:$B$14,2,FALSE)</f>
        <v>#N/A</v>
      </c>
      <c r="J4995" s="84">
        <f t="shared" si="158"/>
        <v>0</v>
      </c>
      <c r="K4995" s="84">
        <f t="shared" si="159"/>
        <v>0</v>
      </c>
      <c r="L4995" s="61" t="e">
        <f>VLOOKUP(K4995,[1]Mapping!$J$3:$Q$351,8,FALSE)</f>
        <v>#N/A</v>
      </c>
      <c r="M4995" t="s">
        <v>83</v>
      </c>
    </row>
    <row r="4996" spans="5:13" hidden="1" x14ac:dyDescent="0.35">
      <c r="E4996" s="81"/>
      <c r="I4996" s="83" t="e">
        <f>VLOOKUP(E4996,[1]Mapping!$A$3:$B$14,2,FALSE)</f>
        <v>#N/A</v>
      </c>
      <c r="J4996" s="84">
        <f t="shared" si="158"/>
        <v>0</v>
      </c>
      <c r="K4996" s="84">
        <f t="shared" si="159"/>
        <v>0</v>
      </c>
      <c r="L4996" s="61" t="e">
        <f>VLOOKUP(K4996,[1]Mapping!$J$3:$Q$351,8,FALSE)</f>
        <v>#N/A</v>
      </c>
      <c r="M4996" t="s">
        <v>83</v>
      </c>
    </row>
    <row r="4997" spans="5:13" hidden="1" x14ac:dyDescent="0.35">
      <c r="E4997" s="81"/>
      <c r="I4997" s="83" t="e">
        <f>VLOOKUP(E4997,[1]Mapping!$A$3:$B$14,2,FALSE)</f>
        <v>#N/A</v>
      </c>
      <c r="J4997" s="84">
        <f t="shared" si="158"/>
        <v>0</v>
      </c>
      <c r="K4997" s="84">
        <f t="shared" si="159"/>
        <v>0</v>
      </c>
      <c r="L4997" s="61" t="e">
        <f>VLOOKUP(K4997,[1]Mapping!$J$3:$Q$351,8,FALSE)</f>
        <v>#N/A</v>
      </c>
      <c r="M4997" t="s">
        <v>83</v>
      </c>
    </row>
    <row r="4998" spans="5:13" hidden="1" x14ac:dyDescent="0.35">
      <c r="E4998" s="81"/>
      <c r="I4998" s="83" t="e">
        <f>VLOOKUP(E4998,[1]Mapping!$A$3:$B$14,2,FALSE)</f>
        <v>#N/A</v>
      </c>
      <c r="J4998" s="84">
        <f t="shared" si="158"/>
        <v>0</v>
      </c>
      <c r="K4998" s="84">
        <f t="shared" si="159"/>
        <v>0</v>
      </c>
      <c r="L4998" s="61" t="e">
        <f>VLOOKUP(K4998,[1]Mapping!$J$3:$Q$351,8,FALSE)</f>
        <v>#N/A</v>
      </c>
      <c r="M4998" t="s">
        <v>83</v>
      </c>
    </row>
    <row r="4999" spans="5:13" hidden="1" x14ac:dyDescent="0.35">
      <c r="E4999" s="81"/>
      <c r="I4999" s="83" t="e">
        <f>VLOOKUP(E4999,[1]Mapping!$A$3:$B$14,2,FALSE)</f>
        <v>#N/A</v>
      </c>
      <c r="J4999" s="84">
        <f t="shared" si="158"/>
        <v>0</v>
      </c>
      <c r="K4999" s="84">
        <f t="shared" si="159"/>
        <v>0</v>
      </c>
      <c r="L4999" s="61" t="e">
        <f>VLOOKUP(K4999,[1]Mapping!$J$3:$Q$351,8,FALSE)</f>
        <v>#N/A</v>
      </c>
      <c r="M4999" t="s">
        <v>83</v>
      </c>
    </row>
    <row r="5000" spans="5:13" hidden="1" x14ac:dyDescent="0.35">
      <c r="E5000" s="81"/>
      <c r="I5000" s="83" t="e">
        <f>VLOOKUP(E5000,[1]Mapping!$A$3:$B$14,2,FALSE)</f>
        <v>#N/A</v>
      </c>
      <c r="J5000" s="84">
        <f t="shared" si="158"/>
        <v>0</v>
      </c>
      <c r="K5000" s="84">
        <f t="shared" si="159"/>
        <v>0</v>
      </c>
      <c r="L5000" s="61" t="e">
        <f>VLOOKUP(K5000,[1]Mapping!$J$3:$Q$351,8,FALSE)</f>
        <v>#N/A</v>
      </c>
      <c r="M5000" t="s">
        <v>83</v>
      </c>
    </row>
    <row r="5001" spans="5:13" hidden="1" x14ac:dyDescent="0.35">
      <c r="E5001" s="81"/>
      <c r="I5001" s="83" t="e">
        <f>VLOOKUP(E5001,[1]Mapping!$A$3:$B$14,2,FALSE)</f>
        <v>#N/A</v>
      </c>
      <c r="J5001" s="84">
        <f t="shared" si="158"/>
        <v>0</v>
      </c>
      <c r="K5001" s="84">
        <f t="shared" si="159"/>
        <v>0</v>
      </c>
      <c r="L5001" s="61" t="e">
        <f>VLOOKUP(K5001,[1]Mapping!$J$3:$Q$351,8,FALSE)</f>
        <v>#N/A</v>
      </c>
      <c r="M5001" t="s">
        <v>83</v>
      </c>
    </row>
    <row r="5002" spans="5:13" hidden="1" x14ac:dyDescent="0.35">
      <c r="E5002" s="81"/>
      <c r="I5002" s="83" t="e">
        <f>VLOOKUP(E5002,[1]Mapping!$A$3:$B$14,2,FALSE)</f>
        <v>#N/A</v>
      </c>
      <c r="J5002" s="84">
        <f t="shared" si="158"/>
        <v>0</v>
      </c>
      <c r="K5002" s="84">
        <f t="shared" si="159"/>
        <v>0</v>
      </c>
      <c r="L5002" s="61" t="e">
        <f>VLOOKUP(K5002,[1]Mapping!$J$3:$Q$351,8,FALSE)</f>
        <v>#N/A</v>
      </c>
      <c r="M5002" t="s">
        <v>83</v>
      </c>
    </row>
    <row r="5003" spans="5:13" hidden="1" x14ac:dyDescent="0.35">
      <c r="E5003" s="81"/>
      <c r="I5003" s="83" t="e">
        <f>VLOOKUP(E5003,[1]Mapping!$A$3:$B$14,2,FALSE)</f>
        <v>#N/A</v>
      </c>
      <c r="J5003" s="84">
        <f t="shared" si="158"/>
        <v>0</v>
      </c>
      <c r="K5003" s="84">
        <f t="shared" si="159"/>
        <v>0</v>
      </c>
      <c r="L5003" s="61" t="e">
        <f>VLOOKUP(K5003,[1]Mapping!$J$3:$Q$351,8,FALSE)</f>
        <v>#N/A</v>
      </c>
      <c r="M5003" t="s">
        <v>83</v>
      </c>
    </row>
    <row r="5004" spans="5:13" hidden="1" x14ac:dyDescent="0.35">
      <c r="E5004" s="81"/>
      <c r="I5004" s="83" t="e">
        <f>VLOOKUP(E5004,[1]Mapping!$A$3:$B$14,2,FALSE)</f>
        <v>#N/A</v>
      </c>
      <c r="J5004" s="84">
        <f t="shared" si="158"/>
        <v>0</v>
      </c>
      <c r="K5004" s="84">
        <f t="shared" si="159"/>
        <v>0</v>
      </c>
      <c r="L5004" s="61" t="e">
        <f>VLOOKUP(K5004,[1]Mapping!$J$3:$Q$351,8,FALSE)</f>
        <v>#N/A</v>
      </c>
      <c r="M5004" t="s">
        <v>83</v>
      </c>
    </row>
    <row r="5005" spans="5:13" hidden="1" x14ac:dyDescent="0.35">
      <c r="E5005" s="81"/>
      <c r="I5005" s="83" t="e">
        <f>VLOOKUP(E5005,[1]Mapping!$A$3:$B$14,2,FALSE)</f>
        <v>#N/A</v>
      </c>
      <c r="J5005" s="84">
        <f t="shared" si="158"/>
        <v>0</v>
      </c>
      <c r="K5005" s="84">
        <f t="shared" si="159"/>
        <v>0</v>
      </c>
      <c r="L5005" s="61" t="e">
        <f>VLOOKUP(K5005,[1]Mapping!$J$3:$Q$351,8,FALSE)</f>
        <v>#N/A</v>
      </c>
      <c r="M5005" t="s">
        <v>83</v>
      </c>
    </row>
    <row r="5006" spans="5:13" hidden="1" x14ac:dyDescent="0.35">
      <c r="E5006" s="81"/>
      <c r="I5006" s="83" t="e">
        <f>VLOOKUP(E5006,[1]Mapping!$A$3:$B$14,2,FALSE)</f>
        <v>#N/A</v>
      </c>
      <c r="J5006" s="84">
        <f t="shared" si="158"/>
        <v>0</v>
      </c>
      <c r="K5006" s="84">
        <f t="shared" si="159"/>
        <v>0</v>
      </c>
      <c r="L5006" s="61" t="e">
        <f>VLOOKUP(K5006,[1]Mapping!$J$3:$Q$351,8,FALSE)</f>
        <v>#N/A</v>
      </c>
      <c r="M5006" t="s">
        <v>83</v>
      </c>
    </row>
    <row r="5007" spans="5:13" hidden="1" x14ac:dyDescent="0.35">
      <c r="E5007" s="81"/>
      <c r="I5007" s="83" t="e">
        <f>VLOOKUP(E5007,[1]Mapping!$A$3:$B$14,2,FALSE)</f>
        <v>#N/A</v>
      </c>
      <c r="J5007" s="84">
        <f t="shared" si="158"/>
        <v>0</v>
      </c>
      <c r="K5007" s="84">
        <f t="shared" si="159"/>
        <v>0</v>
      </c>
      <c r="L5007" s="61" t="e">
        <f>VLOOKUP(K5007,[1]Mapping!$J$3:$Q$351,8,FALSE)</f>
        <v>#N/A</v>
      </c>
      <c r="M5007" t="s">
        <v>83</v>
      </c>
    </row>
    <row r="5008" spans="5:13" hidden="1" x14ac:dyDescent="0.35">
      <c r="E5008" s="81"/>
      <c r="I5008" s="83" t="e">
        <f>VLOOKUP(E5008,[1]Mapping!$A$3:$B$14,2,FALSE)</f>
        <v>#N/A</v>
      </c>
      <c r="J5008" s="84">
        <f t="shared" ref="J5008:J5071" si="160">VALUE(A5008)</f>
        <v>0</v>
      </c>
      <c r="K5008" s="84">
        <f t="shared" ref="K5008:K5071" si="161">VALUE(C5008)</f>
        <v>0</v>
      </c>
      <c r="L5008" s="61" t="e">
        <f>VLOOKUP(K5008,[1]Mapping!$J$3:$Q$351,8,FALSE)</f>
        <v>#N/A</v>
      </c>
      <c r="M5008" t="s">
        <v>83</v>
      </c>
    </row>
    <row r="5009" spans="5:13" hidden="1" x14ac:dyDescent="0.35">
      <c r="E5009" s="81"/>
      <c r="I5009" s="83" t="e">
        <f>VLOOKUP(E5009,[1]Mapping!$A$3:$B$14,2,FALSE)</f>
        <v>#N/A</v>
      </c>
      <c r="J5009" s="84">
        <f t="shared" si="160"/>
        <v>0</v>
      </c>
      <c r="K5009" s="84">
        <f t="shared" si="161"/>
        <v>0</v>
      </c>
      <c r="L5009" s="61" t="e">
        <f>VLOOKUP(K5009,[1]Mapping!$J$3:$Q$351,8,FALSE)</f>
        <v>#N/A</v>
      </c>
      <c r="M5009" t="s">
        <v>83</v>
      </c>
    </row>
    <row r="5010" spans="5:13" hidden="1" x14ac:dyDescent="0.35">
      <c r="E5010" s="81"/>
      <c r="I5010" s="83" t="e">
        <f>VLOOKUP(E5010,[1]Mapping!$A$3:$B$14,2,FALSE)</f>
        <v>#N/A</v>
      </c>
      <c r="J5010" s="84">
        <f t="shared" si="160"/>
        <v>0</v>
      </c>
      <c r="K5010" s="84">
        <f t="shared" si="161"/>
        <v>0</v>
      </c>
      <c r="L5010" s="61" t="e">
        <f>VLOOKUP(K5010,[1]Mapping!$J$3:$Q$351,8,FALSE)</f>
        <v>#N/A</v>
      </c>
      <c r="M5010" t="s">
        <v>83</v>
      </c>
    </row>
    <row r="5011" spans="5:13" hidden="1" x14ac:dyDescent="0.35">
      <c r="E5011" s="81"/>
      <c r="I5011" s="83" t="e">
        <f>VLOOKUP(E5011,[1]Mapping!$A$3:$B$14,2,FALSE)</f>
        <v>#N/A</v>
      </c>
      <c r="J5011" s="84">
        <f t="shared" si="160"/>
        <v>0</v>
      </c>
      <c r="K5011" s="84">
        <f t="shared" si="161"/>
        <v>0</v>
      </c>
      <c r="L5011" s="61" t="e">
        <f>VLOOKUP(K5011,[1]Mapping!$J$3:$Q$351,8,FALSE)</f>
        <v>#N/A</v>
      </c>
      <c r="M5011" t="s">
        <v>83</v>
      </c>
    </row>
    <row r="5012" spans="5:13" hidden="1" x14ac:dyDescent="0.35">
      <c r="E5012" s="81"/>
      <c r="I5012" s="83" t="e">
        <f>VLOOKUP(E5012,[1]Mapping!$A$3:$B$14,2,FALSE)</f>
        <v>#N/A</v>
      </c>
      <c r="J5012" s="84">
        <f t="shared" si="160"/>
        <v>0</v>
      </c>
      <c r="K5012" s="84">
        <f t="shared" si="161"/>
        <v>0</v>
      </c>
      <c r="L5012" s="61" t="e">
        <f>VLOOKUP(K5012,[1]Mapping!$J$3:$Q$351,8,FALSE)</f>
        <v>#N/A</v>
      </c>
      <c r="M5012" t="s">
        <v>83</v>
      </c>
    </row>
    <row r="5013" spans="5:13" hidden="1" x14ac:dyDescent="0.35">
      <c r="E5013" s="81"/>
      <c r="I5013" s="83" t="e">
        <f>VLOOKUP(E5013,[1]Mapping!$A$3:$B$14,2,FALSE)</f>
        <v>#N/A</v>
      </c>
      <c r="J5013" s="84">
        <f t="shared" si="160"/>
        <v>0</v>
      </c>
      <c r="K5013" s="84">
        <f t="shared" si="161"/>
        <v>0</v>
      </c>
      <c r="L5013" s="61" t="e">
        <f>VLOOKUP(K5013,[1]Mapping!$J$3:$Q$351,8,FALSE)</f>
        <v>#N/A</v>
      </c>
      <c r="M5013" t="s">
        <v>83</v>
      </c>
    </row>
    <row r="5014" spans="5:13" hidden="1" x14ac:dyDescent="0.35">
      <c r="E5014" s="81"/>
      <c r="I5014" s="83" t="e">
        <f>VLOOKUP(E5014,[1]Mapping!$A$3:$B$14,2,FALSE)</f>
        <v>#N/A</v>
      </c>
      <c r="J5014" s="84">
        <f t="shared" si="160"/>
        <v>0</v>
      </c>
      <c r="K5014" s="84">
        <f t="shared" si="161"/>
        <v>0</v>
      </c>
      <c r="L5014" s="61" t="e">
        <f>VLOOKUP(K5014,[1]Mapping!$J$3:$Q$351,8,FALSE)</f>
        <v>#N/A</v>
      </c>
      <c r="M5014" t="s">
        <v>83</v>
      </c>
    </row>
    <row r="5015" spans="5:13" hidden="1" x14ac:dyDescent="0.35">
      <c r="E5015" s="81"/>
      <c r="I5015" s="83" t="e">
        <f>VLOOKUP(E5015,[1]Mapping!$A$3:$B$14,2,FALSE)</f>
        <v>#N/A</v>
      </c>
      <c r="J5015" s="84">
        <f t="shared" si="160"/>
        <v>0</v>
      </c>
      <c r="K5015" s="84">
        <f t="shared" si="161"/>
        <v>0</v>
      </c>
      <c r="L5015" s="61" t="e">
        <f>VLOOKUP(K5015,[1]Mapping!$J$3:$Q$351,8,FALSE)</f>
        <v>#N/A</v>
      </c>
      <c r="M5015" t="s">
        <v>83</v>
      </c>
    </row>
    <row r="5016" spans="5:13" hidden="1" x14ac:dyDescent="0.35">
      <c r="E5016" s="81"/>
      <c r="I5016" s="83" t="e">
        <f>VLOOKUP(E5016,[1]Mapping!$A$3:$B$14,2,FALSE)</f>
        <v>#N/A</v>
      </c>
      <c r="J5016" s="84">
        <f t="shared" si="160"/>
        <v>0</v>
      </c>
      <c r="K5016" s="84">
        <f t="shared" si="161"/>
        <v>0</v>
      </c>
      <c r="L5016" s="61" t="e">
        <f>VLOOKUP(K5016,[1]Mapping!$J$3:$Q$351,8,FALSE)</f>
        <v>#N/A</v>
      </c>
      <c r="M5016" t="s">
        <v>83</v>
      </c>
    </row>
    <row r="5017" spans="5:13" hidden="1" x14ac:dyDescent="0.35">
      <c r="E5017" s="81"/>
      <c r="I5017" s="83" t="e">
        <f>VLOOKUP(E5017,[1]Mapping!$A$3:$B$14,2,FALSE)</f>
        <v>#N/A</v>
      </c>
      <c r="J5017" s="84">
        <f t="shared" si="160"/>
        <v>0</v>
      </c>
      <c r="K5017" s="84">
        <f t="shared" si="161"/>
        <v>0</v>
      </c>
      <c r="L5017" s="61" t="e">
        <f>VLOOKUP(K5017,[1]Mapping!$J$3:$Q$351,8,FALSE)</f>
        <v>#N/A</v>
      </c>
      <c r="M5017" t="s">
        <v>83</v>
      </c>
    </row>
    <row r="5018" spans="5:13" hidden="1" x14ac:dyDescent="0.35">
      <c r="E5018" s="81"/>
      <c r="I5018" s="83" t="e">
        <f>VLOOKUP(E5018,[1]Mapping!$A$3:$B$14,2,FALSE)</f>
        <v>#N/A</v>
      </c>
      <c r="J5018" s="84">
        <f t="shared" si="160"/>
        <v>0</v>
      </c>
      <c r="K5018" s="84">
        <f t="shared" si="161"/>
        <v>0</v>
      </c>
      <c r="L5018" s="61" t="e">
        <f>VLOOKUP(K5018,[1]Mapping!$J$3:$Q$351,8,FALSE)</f>
        <v>#N/A</v>
      </c>
      <c r="M5018" t="s">
        <v>83</v>
      </c>
    </row>
    <row r="5019" spans="5:13" hidden="1" x14ac:dyDescent="0.35">
      <c r="E5019" s="81"/>
      <c r="I5019" s="83" t="e">
        <f>VLOOKUP(E5019,[1]Mapping!$A$3:$B$14,2,FALSE)</f>
        <v>#N/A</v>
      </c>
      <c r="J5019" s="84">
        <f t="shared" si="160"/>
        <v>0</v>
      </c>
      <c r="K5019" s="84">
        <f t="shared" si="161"/>
        <v>0</v>
      </c>
      <c r="L5019" s="61" t="e">
        <f>VLOOKUP(K5019,[1]Mapping!$J$3:$Q$351,8,FALSE)</f>
        <v>#N/A</v>
      </c>
      <c r="M5019" t="s">
        <v>83</v>
      </c>
    </row>
    <row r="5020" spans="5:13" hidden="1" x14ac:dyDescent="0.35">
      <c r="E5020" s="81"/>
      <c r="I5020" s="83" t="e">
        <f>VLOOKUP(E5020,[1]Mapping!$A$3:$B$14,2,FALSE)</f>
        <v>#N/A</v>
      </c>
      <c r="J5020" s="84">
        <f t="shared" si="160"/>
        <v>0</v>
      </c>
      <c r="K5020" s="84">
        <f t="shared" si="161"/>
        <v>0</v>
      </c>
      <c r="L5020" s="61" t="e">
        <f>VLOOKUP(K5020,[1]Mapping!$J$3:$Q$351,8,FALSE)</f>
        <v>#N/A</v>
      </c>
      <c r="M5020" t="s">
        <v>83</v>
      </c>
    </row>
    <row r="5021" spans="5:13" hidden="1" x14ac:dyDescent="0.35">
      <c r="E5021" s="81"/>
      <c r="I5021" s="83" t="e">
        <f>VLOOKUP(E5021,[1]Mapping!$A$3:$B$14,2,FALSE)</f>
        <v>#N/A</v>
      </c>
      <c r="J5021" s="84">
        <f t="shared" si="160"/>
        <v>0</v>
      </c>
      <c r="K5021" s="84">
        <f t="shared" si="161"/>
        <v>0</v>
      </c>
      <c r="L5021" s="61" t="e">
        <f>VLOOKUP(K5021,[1]Mapping!$J$3:$Q$351,8,FALSE)</f>
        <v>#N/A</v>
      </c>
      <c r="M5021" t="s">
        <v>83</v>
      </c>
    </row>
    <row r="5022" spans="5:13" hidden="1" x14ac:dyDescent="0.35">
      <c r="E5022" s="81"/>
      <c r="I5022" s="83" t="e">
        <f>VLOOKUP(E5022,[1]Mapping!$A$3:$B$14,2,FALSE)</f>
        <v>#N/A</v>
      </c>
      <c r="J5022" s="84">
        <f t="shared" si="160"/>
        <v>0</v>
      </c>
      <c r="K5022" s="84">
        <f t="shared" si="161"/>
        <v>0</v>
      </c>
      <c r="L5022" s="61" t="e">
        <f>VLOOKUP(K5022,[1]Mapping!$J$3:$Q$351,8,FALSE)</f>
        <v>#N/A</v>
      </c>
      <c r="M5022" t="s">
        <v>83</v>
      </c>
    </row>
    <row r="5023" spans="5:13" hidden="1" x14ac:dyDescent="0.35">
      <c r="E5023" s="81"/>
      <c r="I5023" s="83" t="e">
        <f>VLOOKUP(E5023,[1]Mapping!$A$3:$B$14,2,FALSE)</f>
        <v>#N/A</v>
      </c>
      <c r="J5023" s="84">
        <f t="shared" si="160"/>
        <v>0</v>
      </c>
      <c r="K5023" s="84">
        <f t="shared" si="161"/>
        <v>0</v>
      </c>
      <c r="L5023" s="61" t="e">
        <f>VLOOKUP(K5023,[1]Mapping!$J$3:$Q$351,8,FALSE)</f>
        <v>#N/A</v>
      </c>
      <c r="M5023" t="s">
        <v>83</v>
      </c>
    </row>
    <row r="5024" spans="5:13" hidden="1" x14ac:dyDescent="0.35">
      <c r="E5024" s="81"/>
      <c r="I5024" s="83" t="e">
        <f>VLOOKUP(E5024,[1]Mapping!$A$3:$B$14,2,FALSE)</f>
        <v>#N/A</v>
      </c>
      <c r="J5024" s="84">
        <f t="shared" si="160"/>
        <v>0</v>
      </c>
      <c r="K5024" s="84">
        <f t="shared" si="161"/>
        <v>0</v>
      </c>
      <c r="L5024" s="61" t="e">
        <f>VLOOKUP(K5024,[1]Mapping!$J$3:$Q$351,8,FALSE)</f>
        <v>#N/A</v>
      </c>
      <c r="M5024" t="s">
        <v>83</v>
      </c>
    </row>
    <row r="5025" spans="5:13" hidden="1" x14ac:dyDescent="0.35">
      <c r="E5025" s="81"/>
      <c r="I5025" s="83" t="e">
        <f>VLOOKUP(E5025,[1]Mapping!$A$3:$B$14,2,FALSE)</f>
        <v>#N/A</v>
      </c>
      <c r="J5025" s="84">
        <f t="shared" si="160"/>
        <v>0</v>
      </c>
      <c r="K5025" s="84">
        <f t="shared" si="161"/>
        <v>0</v>
      </c>
      <c r="L5025" s="61" t="e">
        <f>VLOOKUP(K5025,[1]Mapping!$J$3:$Q$351,8,FALSE)</f>
        <v>#N/A</v>
      </c>
      <c r="M5025" t="s">
        <v>83</v>
      </c>
    </row>
    <row r="5026" spans="5:13" hidden="1" x14ac:dyDescent="0.35">
      <c r="E5026" s="81"/>
      <c r="I5026" s="83" t="e">
        <f>VLOOKUP(E5026,[1]Mapping!$A$3:$B$14,2,FALSE)</f>
        <v>#N/A</v>
      </c>
      <c r="J5026" s="84">
        <f t="shared" si="160"/>
        <v>0</v>
      </c>
      <c r="K5026" s="84">
        <f t="shared" si="161"/>
        <v>0</v>
      </c>
      <c r="L5026" s="61" t="e">
        <f>VLOOKUP(K5026,[1]Mapping!$J$3:$Q$351,8,FALSE)</f>
        <v>#N/A</v>
      </c>
      <c r="M5026" t="s">
        <v>83</v>
      </c>
    </row>
    <row r="5027" spans="5:13" hidden="1" x14ac:dyDescent="0.35">
      <c r="E5027" s="81"/>
      <c r="I5027" s="83" t="e">
        <f>VLOOKUP(E5027,[1]Mapping!$A$3:$B$14,2,FALSE)</f>
        <v>#N/A</v>
      </c>
      <c r="J5027" s="84">
        <f t="shared" si="160"/>
        <v>0</v>
      </c>
      <c r="K5027" s="84">
        <f t="shared" si="161"/>
        <v>0</v>
      </c>
      <c r="L5027" s="61" t="e">
        <f>VLOOKUP(K5027,[1]Mapping!$J$3:$Q$351,8,FALSE)</f>
        <v>#N/A</v>
      </c>
      <c r="M5027" t="s">
        <v>83</v>
      </c>
    </row>
    <row r="5028" spans="5:13" hidden="1" x14ac:dyDescent="0.35">
      <c r="E5028" s="81"/>
      <c r="I5028" s="83" t="e">
        <f>VLOOKUP(E5028,[1]Mapping!$A$3:$B$14,2,FALSE)</f>
        <v>#N/A</v>
      </c>
      <c r="J5028" s="84">
        <f t="shared" si="160"/>
        <v>0</v>
      </c>
      <c r="K5028" s="84">
        <f t="shared" si="161"/>
        <v>0</v>
      </c>
      <c r="L5028" s="61" t="e">
        <f>VLOOKUP(K5028,[1]Mapping!$J$3:$Q$351,8,FALSE)</f>
        <v>#N/A</v>
      </c>
      <c r="M5028" t="s">
        <v>83</v>
      </c>
    </row>
    <row r="5029" spans="5:13" hidden="1" x14ac:dyDescent="0.35">
      <c r="E5029" s="81"/>
      <c r="I5029" s="83" t="e">
        <f>VLOOKUP(E5029,[1]Mapping!$A$3:$B$14,2,FALSE)</f>
        <v>#N/A</v>
      </c>
      <c r="J5029" s="84">
        <f t="shared" si="160"/>
        <v>0</v>
      </c>
      <c r="K5029" s="84">
        <f t="shared" si="161"/>
        <v>0</v>
      </c>
      <c r="L5029" s="61" t="e">
        <f>VLOOKUP(K5029,[1]Mapping!$J$3:$Q$351,8,FALSE)</f>
        <v>#N/A</v>
      </c>
      <c r="M5029" t="s">
        <v>83</v>
      </c>
    </row>
    <row r="5030" spans="5:13" hidden="1" x14ac:dyDescent="0.35">
      <c r="E5030" s="81"/>
      <c r="I5030" s="83" t="e">
        <f>VLOOKUP(E5030,[1]Mapping!$A$3:$B$14,2,FALSE)</f>
        <v>#N/A</v>
      </c>
      <c r="J5030" s="84">
        <f t="shared" si="160"/>
        <v>0</v>
      </c>
      <c r="K5030" s="84">
        <f t="shared" si="161"/>
        <v>0</v>
      </c>
      <c r="L5030" s="61" t="e">
        <f>VLOOKUP(K5030,[1]Mapping!$J$3:$Q$351,8,FALSE)</f>
        <v>#N/A</v>
      </c>
      <c r="M5030" t="s">
        <v>83</v>
      </c>
    </row>
    <row r="5031" spans="5:13" hidden="1" x14ac:dyDescent="0.35">
      <c r="E5031" s="81"/>
      <c r="I5031" s="83" t="e">
        <f>VLOOKUP(E5031,[1]Mapping!$A$3:$B$14,2,FALSE)</f>
        <v>#N/A</v>
      </c>
      <c r="J5031" s="84">
        <f t="shared" si="160"/>
        <v>0</v>
      </c>
      <c r="K5031" s="84">
        <f t="shared" si="161"/>
        <v>0</v>
      </c>
      <c r="L5031" s="61" t="e">
        <f>VLOOKUP(K5031,[1]Mapping!$J$3:$Q$351,8,FALSE)</f>
        <v>#N/A</v>
      </c>
      <c r="M5031" t="s">
        <v>83</v>
      </c>
    </row>
    <row r="5032" spans="5:13" hidden="1" x14ac:dyDescent="0.35">
      <c r="E5032" s="81"/>
      <c r="I5032" s="83" t="e">
        <f>VLOOKUP(E5032,[1]Mapping!$A$3:$B$14,2,FALSE)</f>
        <v>#N/A</v>
      </c>
      <c r="J5032" s="84">
        <f t="shared" si="160"/>
        <v>0</v>
      </c>
      <c r="K5032" s="84">
        <f t="shared" si="161"/>
        <v>0</v>
      </c>
      <c r="L5032" s="61" t="e">
        <f>VLOOKUP(K5032,[1]Mapping!$J$3:$Q$351,8,FALSE)</f>
        <v>#N/A</v>
      </c>
      <c r="M5032" t="s">
        <v>83</v>
      </c>
    </row>
    <row r="5033" spans="5:13" hidden="1" x14ac:dyDescent="0.35">
      <c r="E5033" s="81"/>
      <c r="I5033" s="83" t="e">
        <f>VLOOKUP(E5033,[1]Mapping!$A$3:$B$14,2,FALSE)</f>
        <v>#N/A</v>
      </c>
      <c r="J5033" s="84">
        <f t="shared" si="160"/>
        <v>0</v>
      </c>
      <c r="K5033" s="84">
        <f t="shared" si="161"/>
        <v>0</v>
      </c>
      <c r="L5033" s="61" t="e">
        <f>VLOOKUP(K5033,[1]Mapping!$J$3:$Q$351,8,FALSE)</f>
        <v>#N/A</v>
      </c>
      <c r="M5033" t="s">
        <v>83</v>
      </c>
    </row>
    <row r="5034" spans="5:13" hidden="1" x14ac:dyDescent="0.35">
      <c r="E5034" s="81"/>
      <c r="I5034" s="83" t="e">
        <f>VLOOKUP(E5034,[1]Mapping!$A$3:$B$14,2,FALSE)</f>
        <v>#N/A</v>
      </c>
      <c r="J5034" s="84">
        <f t="shared" si="160"/>
        <v>0</v>
      </c>
      <c r="K5034" s="84">
        <f t="shared" si="161"/>
        <v>0</v>
      </c>
      <c r="L5034" s="61" t="e">
        <f>VLOOKUP(K5034,[1]Mapping!$J$3:$Q$351,8,FALSE)</f>
        <v>#N/A</v>
      </c>
      <c r="M5034" t="s">
        <v>83</v>
      </c>
    </row>
    <row r="5035" spans="5:13" hidden="1" x14ac:dyDescent="0.35">
      <c r="E5035" s="81"/>
      <c r="I5035" s="83" t="e">
        <f>VLOOKUP(E5035,[1]Mapping!$A$3:$B$14,2,FALSE)</f>
        <v>#N/A</v>
      </c>
      <c r="J5035" s="84">
        <f t="shared" si="160"/>
        <v>0</v>
      </c>
      <c r="K5035" s="84">
        <f t="shared" si="161"/>
        <v>0</v>
      </c>
      <c r="L5035" s="61" t="e">
        <f>VLOOKUP(K5035,[1]Mapping!$J$3:$Q$351,8,FALSE)</f>
        <v>#N/A</v>
      </c>
      <c r="M5035" t="s">
        <v>83</v>
      </c>
    </row>
    <row r="5036" spans="5:13" hidden="1" x14ac:dyDescent="0.35">
      <c r="E5036" s="81"/>
      <c r="I5036" s="83" t="e">
        <f>VLOOKUP(E5036,[1]Mapping!$A$3:$B$14,2,FALSE)</f>
        <v>#N/A</v>
      </c>
      <c r="J5036" s="84">
        <f t="shared" si="160"/>
        <v>0</v>
      </c>
      <c r="K5036" s="84">
        <f t="shared" si="161"/>
        <v>0</v>
      </c>
      <c r="L5036" s="61" t="e">
        <f>VLOOKUP(K5036,[1]Mapping!$J$3:$Q$351,8,FALSE)</f>
        <v>#N/A</v>
      </c>
      <c r="M5036" t="s">
        <v>83</v>
      </c>
    </row>
    <row r="5037" spans="5:13" hidden="1" x14ac:dyDescent="0.35">
      <c r="E5037" s="81"/>
      <c r="I5037" s="83" t="e">
        <f>VLOOKUP(E5037,[1]Mapping!$A$3:$B$14,2,FALSE)</f>
        <v>#N/A</v>
      </c>
      <c r="J5037" s="84">
        <f t="shared" si="160"/>
        <v>0</v>
      </c>
      <c r="K5037" s="84">
        <f t="shared" si="161"/>
        <v>0</v>
      </c>
      <c r="L5037" s="61" t="e">
        <f>VLOOKUP(K5037,[1]Mapping!$J$3:$Q$351,8,FALSE)</f>
        <v>#N/A</v>
      </c>
      <c r="M5037" t="s">
        <v>83</v>
      </c>
    </row>
    <row r="5038" spans="5:13" hidden="1" x14ac:dyDescent="0.35">
      <c r="E5038" s="81"/>
      <c r="I5038" s="83" t="e">
        <f>VLOOKUP(E5038,[1]Mapping!$A$3:$B$14,2,FALSE)</f>
        <v>#N/A</v>
      </c>
      <c r="J5038" s="84">
        <f t="shared" si="160"/>
        <v>0</v>
      </c>
      <c r="K5038" s="84">
        <f t="shared" si="161"/>
        <v>0</v>
      </c>
      <c r="L5038" s="61" t="e">
        <f>VLOOKUP(K5038,[1]Mapping!$J$3:$Q$351,8,FALSE)</f>
        <v>#N/A</v>
      </c>
      <c r="M5038" t="s">
        <v>83</v>
      </c>
    </row>
    <row r="5039" spans="5:13" hidden="1" x14ac:dyDescent="0.35">
      <c r="E5039" s="81"/>
      <c r="I5039" s="83" t="e">
        <f>VLOOKUP(E5039,[1]Mapping!$A$3:$B$14,2,FALSE)</f>
        <v>#N/A</v>
      </c>
      <c r="J5039" s="84">
        <f t="shared" si="160"/>
        <v>0</v>
      </c>
      <c r="K5039" s="84">
        <f t="shared" si="161"/>
        <v>0</v>
      </c>
      <c r="L5039" s="61" t="e">
        <f>VLOOKUP(K5039,[1]Mapping!$J$3:$Q$351,8,FALSE)</f>
        <v>#N/A</v>
      </c>
      <c r="M5039" t="s">
        <v>83</v>
      </c>
    </row>
    <row r="5040" spans="5:13" hidden="1" x14ac:dyDescent="0.35">
      <c r="E5040" s="81"/>
      <c r="I5040" s="83" t="e">
        <f>VLOOKUP(E5040,[1]Mapping!$A$3:$B$14,2,FALSE)</f>
        <v>#N/A</v>
      </c>
      <c r="J5040" s="84">
        <f t="shared" si="160"/>
        <v>0</v>
      </c>
      <c r="K5040" s="84">
        <f t="shared" si="161"/>
        <v>0</v>
      </c>
      <c r="L5040" s="61" t="e">
        <f>VLOOKUP(K5040,[1]Mapping!$J$3:$Q$351,8,FALSE)</f>
        <v>#N/A</v>
      </c>
      <c r="M5040" t="s">
        <v>83</v>
      </c>
    </row>
    <row r="5041" spans="1:15" hidden="1" x14ac:dyDescent="0.35">
      <c r="E5041" s="81"/>
      <c r="I5041" s="83" t="e">
        <f>VLOOKUP(E5041,[1]Mapping!$A$3:$B$14,2,FALSE)</f>
        <v>#N/A</v>
      </c>
      <c r="J5041" s="84">
        <f t="shared" si="160"/>
        <v>0</v>
      </c>
      <c r="K5041" s="84">
        <f t="shared" si="161"/>
        <v>0</v>
      </c>
      <c r="L5041" s="61" t="e">
        <f>VLOOKUP(K5041,[1]Mapping!$J$3:$Q$351,8,FALSE)</f>
        <v>#N/A</v>
      </c>
      <c r="M5041" t="s">
        <v>83</v>
      </c>
    </row>
    <row r="5042" spans="1:15" hidden="1" x14ac:dyDescent="0.35">
      <c r="E5042" s="81"/>
      <c r="I5042" s="83" t="e">
        <f>VLOOKUP(E5042,[1]Mapping!$A$3:$B$14,2,FALSE)</f>
        <v>#N/A</v>
      </c>
      <c r="J5042" s="84">
        <f t="shared" si="160"/>
        <v>0</v>
      </c>
      <c r="K5042" s="84">
        <f t="shared" si="161"/>
        <v>0</v>
      </c>
      <c r="L5042" s="61" t="e">
        <f>VLOOKUP(K5042,[1]Mapping!$J$3:$Q$351,8,FALSE)</f>
        <v>#N/A</v>
      </c>
      <c r="M5042" t="s">
        <v>83</v>
      </c>
    </row>
    <row r="5043" spans="1:15" hidden="1" x14ac:dyDescent="0.35">
      <c r="E5043" s="81"/>
      <c r="I5043" s="83" t="e">
        <f>VLOOKUP(E5043,[1]Mapping!$A$3:$B$14,2,FALSE)</f>
        <v>#N/A</v>
      </c>
      <c r="J5043" s="84">
        <f t="shared" si="160"/>
        <v>0</v>
      </c>
      <c r="K5043" s="84">
        <f t="shared" si="161"/>
        <v>0</v>
      </c>
      <c r="L5043" s="61" t="e">
        <f>VLOOKUP(K5043,[1]Mapping!$J$3:$Q$351,8,FALSE)</f>
        <v>#N/A</v>
      </c>
      <c r="M5043" t="s">
        <v>83</v>
      </c>
    </row>
    <row r="5044" spans="1:15" hidden="1" x14ac:dyDescent="0.35">
      <c r="E5044" s="81"/>
      <c r="I5044" s="83" t="e">
        <f>VLOOKUP(E5044,[1]Mapping!$A$3:$B$14,2,FALSE)</f>
        <v>#N/A</v>
      </c>
      <c r="J5044" s="84">
        <f t="shared" si="160"/>
        <v>0</v>
      </c>
      <c r="K5044" s="84">
        <f t="shared" si="161"/>
        <v>0</v>
      </c>
      <c r="L5044" s="61" t="e">
        <f>VLOOKUP(K5044,[1]Mapping!$J$3:$Q$351,8,FALSE)</f>
        <v>#N/A</v>
      </c>
      <c r="M5044" t="s">
        <v>83</v>
      </c>
    </row>
    <row r="5045" spans="1:15" hidden="1" x14ac:dyDescent="0.35">
      <c r="E5045" s="81"/>
      <c r="I5045" s="83" t="e">
        <f>VLOOKUP(E5045,[1]Mapping!$A$3:$B$14,2,FALSE)</f>
        <v>#N/A</v>
      </c>
      <c r="J5045" s="84">
        <f t="shared" si="160"/>
        <v>0</v>
      </c>
      <c r="K5045" s="84">
        <f t="shared" si="161"/>
        <v>0</v>
      </c>
      <c r="L5045" s="61" t="e">
        <f>VLOOKUP(K5045,[1]Mapping!$J$3:$Q$351,8,FALSE)</f>
        <v>#N/A</v>
      </c>
      <c r="M5045" t="s">
        <v>83</v>
      </c>
    </row>
    <row r="5046" spans="1:15" hidden="1" x14ac:dyDescent="0.35">
      <c r="E5046" s="81"/>
      <c r="I5046" s="83" t="e">
        <f>VLOOKUP(E5046,[1]Mapping!$A$3:$B$14,2,FALSE)</f>
        <v>#N/A</v>
      </c>
      <c r="J5046" s="84">
        <f t="shared" si="160"/>
        <v>0</v>
      </c>
      <c r="K5046" s="84">
        <f t="shared" si="161"/>
        <v>0</v>
      </c>
      <c r="L5046" s="61" t="e">
        <f>VLOOKUP(K5046,[1]Mapping!$J$3:$Q$351,8,FALSE)</f>
        <v>#N/A</v>
      </c>
      <c r="M5046" t="s">
        <v>83</v>
      </c>
    </row>
    <row r="5047" spans="1:15" hidden="1" x14ac:dyDescent="0.35">
      <c r="E5047" s="81"/>
      <c r="I5047" s="83" t="e">
        <f>VLOOKUP(E5047,[1]Mapping!$A$3:$B$14,2,FALSE)</f>
        <v>#N/A</v>
      </c>
      <c r="J5047" s="84">
        <f t="shared" si="160"/>
        <v>0</v>
      </c>
      <c r="K5047" s="84">
        <f t="shared" si="161"/>
        <v>0</v>
      </c>
      <c r="L5047" s="61" t="e">
        <f>VLOOKUP(K5047,[1]Mapping!$J$3:$Q$351,8,FALSE)</f>
        <v>#N/A</v>
      </c>
      <c r="M5047" t="s">
        <v>83</v>
      </c>
    </row>
    <row r="5048" spans="1:15" hidden="1" x14ac:dyDescent="0.35">
      <c r="A5048">
        <v>4064045061</v>
      </c>
      <c r="B5048" t="s">
        <v>189</v>
      </c>
      <c r="C5048">
        <v>607000</v>
      </c>
      <c r="D5048" t="s">
        <v>202</v>
      </c>
      <c r="E5048" s="81">
        <v>12</v>
      </c>
      <c r="F5048" t="s">
        <v>27</v>
      </c>
      <c r="G5048" s="55">
        <v>2685129</v>
      </c>
      <c r="H5048" s="82">
        <f>SUMIFS([1]Matrix!CC:CC,[1]Matrix!BX:BX,'JDE GL Act'!N5048,[1]Matrix!CE:CE,'JDE GL Act'!E5048,[1]Matrix!BZ:BZ,'JDE GL Act'!O5048)*G5048</f>
        <v>0</v>
      </c>
      <c r="I5048" s="83" t="str">
        <f>VLOOKUP(E5048,[1]Mapping!$A$3:$B$14,2,FALSE)</f>
        <v>Jun</v>
      </c>
      <c r="J5048" s="84">
        <f t="shared" si="160"/>
        <v>4064045061</v>
      </c>
      <c r="K5048" s="84">
        <f t="shared" si="161"/>
        <v>607000</v>
      </c>
      <c r="L5048" s="61" t="str">
        <f>VLOOKUP(K5048,[1]Mapping!$J$3:$Q$351,8,FALSE)</f>
        <v>Outside Services</v>
      </c>
      <c r="M5048" t="s">
        <v>83</v>
      </c>
      <c r="N5048" t="s">
        <v>180</v>
      </c>
      <c r="O5048" t="s">
        <v>178</v>
      </c>
    </row>
    <row r="5049" spans="1:15" hidden="1" x14ac:dyDescent="0.35">
      <c r="I5049" s="83" t="e">
        <f>VLOOKUP(E5049,[1]Mapping!$A$3:$B$14,2,FALSE)</f>
        <v>#N/A</v>
      </c>
      <c r="J5049" s="84">
        <f t="shared" si="160"/>
        <v>0</v>
      </c>
      <c r="K5049" s="84">
        <f t="shared" si="161"/>
        <v>0</v>
      </c>
      <c r="L5049" s="61" t="e">
        <f>VLOOKUP(K5049,[1]Mapping!$J$3:$Q$351,8,FALSE)</f>
        <v>#N/A</v>
      </c>
      <c r="M5049" t="s">
        <v>83</v>
      </c>
    </row>
    <row r="5050" spans="1:15" hidden="1" x14ac:dyDescent="0.35">
      <c r="I5050" s="83" t="e">
        <f>VLOOKUP(E5050,[1]Mapping!$A$3:$B$14,2,FALSE)</f>
        <v>#N/A</v>
      </c>
      <c r="J5050" s="84">
        <f t="shared" si="160"/>
        <v>0</v>
      </c>
      <c r="K5050" s="84">
        <f t="shared" si="161"/>
        <v>0</v>
      </c>
      <c r="L5050" s="61" t="e">
        <f>VLOOKUP(K5050,[1]Mapping!$J$3:$Q$351,8,FALSE)</f>
        <v>#N/A</v>
      </c>
      <c r="M5050" t="s">
        <v>83</v>
      </c>
    </row>
    <row r="5051" spans="1:15" hidden="1" x14ac:dyDescent="0.35">
      <c r="I5051" s="83" t="e">
        <f>VLOOKUP(E5051,[1]Mapping!$A$3:$B$14,2,FALSE)</f>
        <v>#N/A</v>
      </c>
      <c r="J5051" s="84">
        <f t="shared" si="160"/>
        <v>0</v>
      </c>
      <c r="K5051" s="84">
        <f t="shared" si="161"/>
        <v>0</v>
      </c>
      <c r="L5051" s="61" t="e">
        <f>VLOOKUP(K5051,[1]Mapping!$J$3:$Q$351,8,FALSE)</f>
        <v>#N/A</v>
      </c>
      <c r="M5051" t="s">
        <v>83</v>
      </c>
    </row>
    <row r="5052" spans="1:15" hidden="1" x14ac:dyDescent="0.35">
      <c r="I5052" s="83" t="e">
        <f>VLOOKUP(E5052,[1]Mapping!$A$3:$B$14,2,FALSE)</f>
        <v>#N/A</v>
      </c>
      <c r="J5052" s="84">
        <f t="shared" si="160"/>
        <v>0</v>
      </c>
      <c r="K5052" s="84">
        <f t="shared" si="161"/>
        <v>0</v>
      </c>
      <c r="L5052" s="61" t="e">
        <f>VLOOKUP(K5052,[1]Mapping!$J$3:$Q$351,8,FALSE)</f>
        <v>#N/A</v>
      </c>
      <c r="M5052" t="s">
        <v>83</v>
      </c>
    </row>
    <row r="5053" spans="1:15" hidden="1" x14ac:dyDescent="0.35">
      <c r="I5053" s="83" t="e">
        <f>VLOOKUP(E5053,[1]Mapping!$A$3:$B$14,2,FALSE)</f>
        <v>#N/A</v>
      </c>
      <c r="J5053" s="84">
        <f t="shared" si="160"/>
        <v>0</v>
      </c>
      <c r="K5053" s="84">
        <f t="shared" si="161"/>
        <v>0</v>
      </c>
      <c r="L5053" s="61" t="e">
        <f>VLOOKUP(K5053,[1]Mapping!$J$3:$Q$351,8,FALSE)</f>
        <v>#N/A</v>
      </c>
      <c r="M5053" t="s">
        <v>83</v>
      </c>
    </row>
    <row r="5054" spans="1:15" hidden="1" x14ac:dyDescent="0.35">
      <c r="I5054" s="83" t="e">
        <f>VLOOKUP(E5054,[1]Mapping!$A$3:$B$14,2,FALSE)</f>
        <v>#N/A</v>
      </c>
      <c r="J5054" s="84">
        <f t="shared" si="160"/>
        <v>0</v>
      </c>
      <c r="K5054" s="84">
        <f t="shared" si="161"/>
        <v>0</v>
      </c>
      <c r="L5054" s="61" t="e">
        <f>VLOOKUP(K5054,[1]Mapping!$J$3:$Q$351,8,FALSE)</f>
        <v>#N/A</v>
      </c>
      <c r="M5054" t="s">
        <v>83</v>
      </c>
    </row>
    <row r="5055" spans="1:15" hidden="1" x14ac:dyDescent="0.35">
      <c r="I5055" s="83" t="e">
        <f>VLOOKUP(E5055,[1]Mapping!$A$3:$B$14,2,FALSE)</f>
        <v>#N/A</v>
      </c>
      <c r="J5055" s="84">
        <f t="shared" si="160"/>
        <v>0</v>
      </c>
      <c r="K5055" s="84">
        <f t="shared" si="161"/>
        <v>0</v>
      </c>
      <c r="L5055" s="61" t="e">
        <f>VLOOKUP(K5055,[1]Mapping!$J$3:$Q$351,8,FALSE)</f>
        <v>#N/A</v>
      </c>
      <c r="M5055" t="s">
        <v>83</v>
      </c>
    </row>
    <row r="5056" spans="1:15" hidden="1" x14ac:dyDescent="0.35">
      <c r="I5056" s="83" t="e">
        <f>VLOOKUP(E5056,[1]Mapping!$A$3:$B$14,2,FALSE)</f>
        <v>#N/A</v>
      </c>
      <c r="J5056" s="84">
        <f t="shared" si="160"/>
        <v>0</v>
      </c>
      <c r="K5056" s="84">
        <f t="shared" si="161"/>
        <v>0</v>
      </c>
      <c r="L5056" s="61" t="e">
        <f>VLOOKUP(K5056,[1]Mapping!$J$3:$Q$351,8,FALSE)</f>
        <v>#N/A</v>
      </c>
      <c r="M5056" t="s">
        <v>83</v>
      </c>
    </row>
    <row r="5057" spans="9:13" hidden="1" x14ac:dyDescent="0.35">
      <c r="I5057" s="83" t="e">
        <f>VLOOKUP(E5057,[1]Mapping!$A$3:$B$14,2,FALSE)</f>
        <v>#N/A</v>
      </c>
      <c r="J5057" s="84">
        <f t="shared" si="160"/>
        <v>0</v>
      </c>
      <c r="K5057" s="84">
        <f t="shared" si="161"/>
        <v>0</v>
      </c>
      <c r="L5057" s="61" t="e">
        <f>VLOOKUP(K5057,[1]Mapping!$J$3:$Q$351,8,FALSE)</f>
        <v>#N/A</v>
      </c>
      <c r="M5057" t="s">
        <v>83</v>
      </c>
    </row>
    <row r="5058" spans="9:13" hidden="1" x14ac:dyDescent="0.35">
      <c r="I5058" s="83" t="e">
        <f>VLOOKUP(E5058,[1]Mapping!$A$3:$B$14,2,FALSE)</f>
        <v>#N/A</v>
      </c>
      <c r="J5058" s="84">
        <f t="shared" si="160"/>
        <v>0</v>
      </c>
      <c r="K5058" s="84">
        <f t="shared" si="161"/>
        <v>0</v>
      </c>
      <c r="L5058" s="61" t="e">
        <f>VLOOKUP(K5058,[1]Mapping!$J$3:$Q$351,8,FALSE)</f>
        <v>#N/A</v>
      </c>
      <c r="M5058" t="s">
        <v>83</v>
      </c>
    </row>
    <row r="5059" spans="9:13" hidden="1" x14ac:dyDescent="0.35">
      <c r="I5059" s="83" t="e">
        <f>VLOOKUP(E5059,[1]Mapping!$A$3:$B$14,2,FALSE)</f>
        <v>#N/A</v>
      </c>
      <c r="J5059" s="84">
        <f t="shared" si="160"/>
        <v>0</v>
      </c>
      <c r="K5059" s="84">
        <f t="shared" si="161"/>
        <v>0</v>
      </c>
      <c r="L5059" s="61" t="e">
        <f>VLOOKUP(K5059,[1]Mapping!$J$3:$Q$351,8,FALSE)</f>
        <v>#N/A</v>
      </c>
      <c r="M5059" t="s">
        <v>83</v>
      </c>
    </row>
    <row r="5060" spans="9:13" hidden="1" x14ac:dyDescent="0.35">
      <c r="I5060" s="83" t="e">
        <f>VLOOKUP(E5060,[1]Mapping!$A$3:$B$14,2,FALSE)</f>
        <v>#N/A</v>
      </c>
      <c r="J5060" s="84">
        <f t="shared" si="160"/>
        <v>0</v>
      </c>
      <c r="K5060" s="84">
        <f t="shared" si="161"/>
        <v>0</v>
      </c>
      <c r="L5060" s="61" t="e">
        <f>VLOOKUP(K5060,[1]Mapping!$J$3:$Q$351,8,FALSE)</f>
        <v>#N/A</v>
      </c>
      <c r="M5060" t="s">
        <v>83</v>
      </c>
    </row>
    <row r="5061" spans="9:13" hidden="1" x14ac:dyDescent="0.35">
      <c r="I5061" s="83" t="e">
        <f>VLOOKUP(E5061,[1]Mapping!$A$3:$B$14,2,FALSE)</f>
        <v>#N/A</v>
      </c>
      <c r="J5061" s="84">
        <f t="shared" si="160"/>
        <v>0</v>
      </c>
      <c r="K5061" s="84">
        <f t="shared" si="161"/>
        <v>0</v>
      </c>
      <c r="L5061" s="61" t="e">
        <f>VLOOKUP(K5061,[1]Mapping!$J$3:$Q$351,8,FALSE)</f>
        <v>#N/A</v>
      </c>
      <c r="M5061" t="s">
        <v>83</v>
      </c>
    </row>
    <row r="5062" spans="9:13" hidden="1" x14ac:dyDescent="0.35">
      <c r="I5062" s="83" t="e">
        <f>VLOOKUP(E5062,[1]Mapping!$A$3:$B$14,2,FALSE)</f>
        <v>#N/A</v>
      </c>
      <c r="J5062" s="84">
        <f t="shared" si="160"/>
        <v>0</v>
      </c>
      <c r="K5062" s="84">
        <f t="shared" si="161"/>
        <v>0</v>
      </c>
      <c r="L5062" s="61" t="e">
        <f>VLOOKUP(K5062,[1]Mapping!$J$3:$Q$351,8,FALSE)</f>
        <v>#N/A</v>
      </c>
      <c r="M5062" t="s">
        <v>83</v>
      </c>
    </row>
    <row r="5063" spans="9:13" hidden="1" x14ac:dyDescent="0.35">
      <c r="I5063" s="83" t="e">
        <f>VLOOKUP(E5063,[1]Mapping!$A$3:$B$14,2,FALSE)</f>
        <v>#N/A</v>
      </c>
      <c r="J5063" s="84">
        <f t="shared" si="160"/>
        <v>0</v>
      </c>
      <c r="K5063" s="84">
        <f t="shared" si="161"/>
        <v>0</v>
      </c>
      <c r="L5063" s="61" t="e">
        <f>VLOOKUP(K5063,[1]Mapping!$J$3:$Q$351,8,FALSE)</f>
        <v>#N/A</v>
      </c>
      <c r="M5063" t="s">
        <v>83</v>
      </c>
    </row>
    <row r="5064" spans="9:13" hidden="1" x14ac:dyDescent="0.35">
      <c r="I5064" s="83" t="e">
        <f>VLOOKUP(E5064,[1]Mapping!$A$3:$B$14,2,FALSE)</f>
        <v>#N/A</v>
      </c>
      <c r="J5064" s="84">
        <f t="shared" si="160"/>
        <v>0</v>
      </c>
      <c r="K5064" s="84">
        <f t="shared" si="161"/>
        <v>0</v>
      </c>
      <c r="L5064" s="61" t="e">
        <f>VLOOKUP(K5064,[1]Mapping!$J$3:$Q$351,8,FALSE)</f>
        <v>#N/A</v>
      </c>
      <c r="M5064" t="s">
        <v>83</v>
      </c>
    </row>
    <row r="5065" spans="9:13" hidden="1" x14ac:dyDescent="0.35">
      <c r="I5065" s="83" t="e">
        <f>VLOOKUP(E5065,[1]Mapping!$A$3:$B$14,2,FALSE)</f>
        <v>#N/A</v>
      </c>
      <c r="J5065" s="84">
        <f t="shared" si="160"/>
        <v>0</v>
      </c>
      <c r="K5065" s="84">
        <f t="shared" si="161"/>
        <v>0</v>
      </c>
      <c r="L5065" s="61" t="e">
        <f>VLOOKUP(K5065,[1]Mapping!$J$3:$Q$351,8,FALSE)</f>
        <v>#N/A</v>
      </c>
      <c r="M5065" t="s">
        <v>83</v>
      </c>
    </row>
    <row r="5066" spans="9:13" hidden="1" x14ac:dyDescent="0.35">
      <c r="I5066" s="83" t="e">
        <f>VLOOKUP(E5066,[1]Mapping!$A$3:$B$14,2,FALSE)</f>
        <v>#N/A</v>
      </c>
      <c r="J5066" s="84">
        <f t="shared" si="160"/>
        <v>0</v>
      </c>
      <c r="K5066" s="84">
        <f t="shared" si="161"/>
        <v>0</v>
      </c>
      <c r="L5066" s="61" t="e">
        <f>VLOOKUP(K5066,[1]Mapping!$J$3:$Q$351,8,FALSE)</f>
        <v>#N/A</v>
      </c>
      <c r="M5066" t="s">
        <v>83</v>
      </c>
    </row>
    <row r="5067" spans="9:13" hidden="1" x14ac:dyDescent="0.35">
      <c r="I5067" s="83" t="e">
        <f>VLOOKUP(E5067,[1]Mapping!$A$3:$B$14,2,FALSE)</f>
        <v>#N/A</v>
      </c>
      <c r="J5067" s="84">
        <f t="shared" si="160"/>
        <v>0</v>
      </c>
      <c r="K5067" s="84">
        <f t="shared" si="161"/>
        <v>0</v>
      </c>
      <c r="L5067" s="61" t="e">
        <f>VLOOKUP(K5067,[1]Mapping!$J$3:$Q$351,8,FALSE)</f>
        <v>#N/A</v>
      </c>
      <c r="M5067" t="s">
        <v>83</v>
      </c>
    </row>
    <row r="5068" spans="9:13" hidden="1" x14ac:dyDescent="0.35">
      <c r="I5068" s="83" t="e">
        <f>VLOOKUP(E5068,[1]Mapping!$A$3:$B$14,2,FALSE)</f>
        <v>#N/A</v>
      </c>
      <c r="J5068" s="84">
        <f t="shared" si="160"/>
        <v>0</v>
      </c>
      <c r="K5068" s="84">
        <f t="shared" si="161"/>
        <v>0</v>
      </c>
      <c r="L5068" s="61" t="e">
        <f>VLOOKUP(K5068,[1]Mapping!$J$3:$Q$351,8,FALSE)</f>
        <v>#N/A</v>
      </c>
      <c r="M5068" t="s">
        <v>83</v>
      </c>
    </row>
    <row r="5069" spans="9:13" hidden="1" x14ac:dyDescent="0.35">
      <c r="I5069" s="83" t="e">
        <f>VLOOKUP(E5069,[1]Mapping!$A$3:$B$14,2,FALSE)</f>
        <v>#N/A</v>
      </c>
      <c r="J5069" s="84">
        <f t="shared" si="160"/>
        <v>0</v>
      </c>
      <c r="K5069" s="84">
        <f t="shared" si="161"/>
        <v>0</v>
      </c>
      <c r="L5069" s="61" t="e">
        <f>VLOOKUP(K5069,[1]Mapping!$J$3:$Q$351,8,FALSE)</f>
        <v>#N/A</v>
      </c>
      <c r="M5069" t="s">
        <v>83</v>
      </c>
    </row>
    <row r="5070" spans="9:13" hidden="1" x14ac:dyDescent="0.35">
      <c r="I5070" s="83" t="e">
        <f>VLOOKUP(E5070,[1]Mapping!$A$3:$B$14,2,FALSE)</f>
        <v>#N/A</v>
      </c>
      <c r="J5070" s="84">
        <f t="shared" si="160"/>
        <v>0</v>
      </c>
      <c r="K5070" s="84">
        <f t="shared" si="161"/>
        <v>0</v>
      </c>
      <c r="L5070" s="61" t="e">
        <f>VLOOKUP(K5070,[1]Mapping!$J$3:$Q$351,8,FALSE)</f>
        <v>#N/A</v>
      </c>
      <c r="M5070" t="s">
        <v>83</v>
      </c>
    </row>
    <row r="5071" spans="9:13" hidden="1" x14ac:dyDescent="0.35">
      <c r="I5071" s="83" t="e">
        <f>VLOOKUP(E5071,[1]Mapping!$A$3:$B$14,2,FALSE)</f>
        <v>#N/A</v>
      </c>
      <c r="J5071" s="84">
        <f t="shared" si="160"/>
        <v>0</v>
      </c>
      <c r="K5071" s="84">
        <f t="shared" si="161"/>
        <v>0</v>
      </c>
      <c r="L5071" s="61" t="e">
        <f>VLOOKUP(K5071,[1]Mapping!$J$3:$Q$351,8,FALSE)</f>
        <v>#N/A</v>
      </c>
      <c r="M5071" t="s">
        <v>83</v>
      </c>
    </row>
    <row r="5072" spans="9:13" hidden="1" x14ac:dyDescent="0.35">
      <c r="I5072" s="83" t="e">
        <f>VLOOKUP(E5072,[1]Mapping!$A$3:$B$14,2,FALSE)</f>
        <v>#N/A</v>
      </c>
      <c r="J5072" s="84">
        <f t="shared" ref="J5072:J5135" si="162">VALUE(A5072)</f>
        <v>0</v>
      </c>
      <c r="K5072" s="84">
        <f t="shared" ref="K5072:K5135" si="163">VALUE(C5072)</f>
        <v>0</v>
      </c>
      <c r="L5072" s="61" t="e">
        <f>VLOOKUP(K5072,[1]Mapping!$J$3:$Q$351,8,FALSE)</f>
        <v>#N/A</v>
      </c>
      <c r="M5072" t="s">
        <v>83</v>
      </c>
    </row>
    <row r="5073" spans="9:13" hidden="1" x14ac:dyDescent="0.35">
      <c r="I5073" s="83" t="e">
        <f>VLOOKUP(E5073,[1]Mapping!$A$3:$B$14,2,FALSE)</f>
        <v>#N/A</v>
      </c>
      <c r="J5073" s="84">
        <f t="shared" si="162"/>
        <v>0</v>
      </c>
      <c r="K5073" s="84">
        <f t="shared" si="163"/>
        <v>0</v>
      </c>
      <c r="L5073" s="61" t="e">
        <f>VLOOKUP(K5073,[1]Mapping!$J$3:$Q$351,8,FALSE)</f>
        <v>#N/A</v>
      </c>
      <c r="M5073" t="s">
        <v>83</v>
      </c>
    </row>
    <row r="5074" spans="9:13" hidden="1" x14ac:dyDescent="0.35">
      <c r="I5074" s="83" t="e">
        <f>VLOOKUP(E5074,[1]Mapping!$A$3:$B$14,2,FALSE)</f>
        <v>#N/A</v>
      </c>
      <c r="J5074" s="84">
        <f t="shared" si="162"/>
        <v>0</v>
      </c>
      <c r="K5074" s="84">
        <f t="shared" si="163"/>
        <v>0</v>
      </c>
      <c r="L5074" s="61" t="e">
        <f>VLOOKUP(K5074,[1]Mapping!$J$3:$Q$351,8,FALSE)</f>
        <v>#N/A</v>
      </c>
      <c r="M5074" t="s">
        <v>83</v>
      </c>
    </row>
    <row r="5075" spans="9:13" hidden="1" x14ac:dyDescent="0.35">
      <c r="I5075" s="83" t="e">
        <f>VLOOKUP(E5075,[1]Mapping!$A$3:$B$14,2,FALSE)</f>
        <v>#N/A</v>
      </c>
      <c r="J5075" s="84">
        <f t="shared" si="162"/>
        <v>0</v>
      </c>
      <c r="K5075" s="84">
        <f t="shared" si="163"/>
        <v>0</v>
      </c>
      <c r="L5075" s="61" t="e">
        <f>VLOOKUP(K5075,[1]Mapping!$J$3:$Q$351,8,FALSE)</f>
        <v>#N/A</v>
      </c>
      <c r="M5075" t="s">
        <v>83</v>
      </c>
    </row>
    <row r="5076" spans="9:13" hidden="1" x14ac:dyDescent="0.35">
      <c r="I5076" s="83" t="e">
        <f>VLOOKUP(E5076,[1]Mapping!$A$3:$B$14,2,FALSE)</f>
        <v>#N/A</v>
      </c>
      <c r="J5076" s="84">
        <f t="shared" si="162"/>
        <v>0</v>
      </c>
      <c r="K5076" s="84">
        <f t="shared" si="163"/>
        <v>0</v>
      </c>
      <c r="L5076" s="61" t="e">
        <f>VLOOKUP(K5076,[1]Mapping!$J$3:$Q$351,8,FALSE)</f>
        <v>#N/A</v>
      </c>
      <c r="M5076" t="s">
        <v>83</v>
      </c>
    </row>
    <row r="5077" spans="9:13" hidden="1" x14ac:dyDescent="0.35">
      <c r="I5077" s="83" t="e">
        <f>VLOOKUP(E5077,[1]Mapping!$A$3:$B$14,2,FALSE)</f>
        <v>#N/A</v>
      </c>
      <c r="J5077" s="84">
        <f t="shared" si="162"/>
        <v>0</v>
      </c>
      <c r="K5077" s="84">
        <f t="shared" si="163"/>
        <v>0</v>
      </c>
      <c r="L5077" s="61" t="e">
        <f>VLOOKUP(K5077,[1]Mapping!$J$3:$Q$351,8,FALSE)</f>
        <v>#N/A</v>
      </c>
      <c r="M5077" t="s">
        <v>83</v>
      </c>
    </row>
    <row r="5078" spans="9:13" hidden="1" x14ac:dyDescent="0.35">
      <c r="I5078" s="83" t="e">
        <f>VLOOKUP(E5078,[1]Mapping!$A$3:$B$14,2,FALSE)</f>
        <v>#N/A</v>
      </c>
      <c r="J5078" s="84">
        <f t="shared" si="162"/>
        <v>0</v>
      </c>
      <c r="K5078" s="84">
        <f t="shared" si="163"/>
        <v>0</v>
      </c>
      <c r="L5078" s="61" t="e">
        <f>VLOOKUP(K5078,[1]Mapping!$J$3:$Q$351,8,FALSE)</f>
        <v>#N/A</v>
      </c>
      <c r="M5078" t="s">
        <v>83</v>
      </c>
    </row>
    <row r="5079" spans="9:13" hidden="1" x14ac:dyDescent="0.35">
      <c r="I5079" s="83" t="e">
        <f>VLOOKUP(E5079,[1]Mapping!$A$3:$B$14,2,FALSE)</f>
        <v>#N/A</v>
      </c>
      <c r="J5079" s="84">
        <f t="shared" si="162"/>
        <v>0</v>
      </c>
      <c r="K5079" s="84">
        <f t="shared" si="163"/>
        <v>0</v>
      </c>
      <c r="L5079" s="61" t="e">
        <f>VLOOKUP(K5079,[1]Mapping!$J$3:$Q$351,8,FALSE)</f>
        <v>#N/A</v>
      </c>
      <c r="M5079" t="s">
        <v>83</v>
      </c>
    </row>
    <row r="5080" spans="9:13" hidden="1" x14ac:dyDescent="0.35">
      <c r="I5080" s="83" t="e">
        <f>VLOOKUP(E5080,[1]Mapping!$A$3:$B$14,2,FALSE)</f>
        <v>#N/A</v>
      </c>
      <c r="J5080" s="84">
        <f t="shared" si="162"/>
        <v>0</v>
      </c>
      <c r="K5080" s="84">
        <f t="shared" si="163"/>
        <v>0</v>
      </c>
      <c r="L5080" s="61" t="e">
        <f>VLOOKUP(K5080,[1]Mapping!$J$3:$Q$351,8,FALSE)</f>
        <v>#N/A</v>
      </c>
      <c r="M5080" t="s">
        <v>83</v>
      </c>
    </row>
    <row r="5081" spans="9:13" hidden="1" x14ac:dyDescent="0.35">
      <c r="I5081" s="83" t="e">
        <f>VLOOKUP(E5081,[1]Mapping!$A$3:$B$14,2,FALSE)</f>
        <v>#N/A</v>
      </c>
      <c r="J5081" s="84">
        <f t="shared" si="162"/>
        <v>0</v>
      </c>
      <c r="K5081" s="84">
        <f t="shared" si="163"/>
        <v>0</v>
      </c>
      <c r="L5081" s="61" t="e">
        <f>VLOOKUP(K5081,[1]Mapping!$J$3:$Q$351,8,FALSE)</f>
        <v>#N/A</v>
      </c>
      <c r="M5081" t="s">
        <v>83</v>
      </c>
    </row>
    <row r="5082" spans="9:13" hidden="1" x14ac:dyDescent="0.35">
      <c r="I5082" s="83" t="e">
        <f>VLOOKUP(E5082,[1]Mapping!$A$3:$B$14,2,FALSE)</f>
        <v>#N/A</v>
      </c>
      <c r="J5082" s="84">
        <f t="shared" si="162"/>
        <v>0</v>
      </c>
      <c r="K5082" s="84">
        <f t="shared" si="163"/>
        <v>0</v>
      </c>
      <c r="L5082" s="61" t="e">
        <f>VLOOKUP(K5082,[1]Mapping!$J$3:$Q$351,8,FALSE)</f>
        <v>#N/A</v>
      </c>
      <c r="M5082" t="s">
        <v>83</v>
      </c>
    </row>
    <row r="5083" spans="9:13" hidden="1" x14ac:dyDescent="0.35">
      <c r="I5083" s="83" t="e">
        <f>VLOOKUP(E5083,[1]Mapping!$A$3:$B$14,2,FALSE)</f>
        <v>#N/A</v>
      </c>
      <c r="J5083" s="84">
        <f t="shared" si="162"/>
        <v>0</v>
      </c>
      <c r="K5083" s="84">
        <f t="shared" si="163"/>
        <v>0</v>
      </c>
      <c r="L5083" s="61" t="e">
        <f>VLOOKUP(K5083,[1]Mapping!$J$3:$Q$351,8,FALSE)</f>
        <v>#N/A</v>
      </c>
      <c r="M5083" t="s">
        <v>83</v>
      </c>
    </row>
    <row r="5084" spans="9:13" hidden="1" x14ac:dyDescent="0.35">
      <c r="I5084" s="83" t="e">
        <f>VLOOKUP(E5084,[1]Mapping!$A$3:$B$14,2,FALSE)</f>
        <v>#N/A</v>
      </c>
      <c r="J5084" s="84">
        <f t="shared" si="162"/>
        <v>0</v>
      </c>
      <c r="K5084" s="84">
        <f t="shared" si="163"/>
        <v>0</v>
      </c>
      <c r="L5084" s="61" t="e">
        <f>VLOOKUP(K5084,[1]Mapping!$J$3:$Q$351,8,FALSE)</f>
        <v>#N/A</v>
      </c>
      <c r="M5084" t="s">
        <v>83</v>
      </c>
    </row>
    <row r="5085" spans="9:13" hidden="1" x14ac:dyDescent="0.35">
      <c r="I5085" s="83" t="e">
        <f>VLOOKUP(E5085,[1]Mapping!$A$3:$B$14,2,FALSE)</f>
        <v>#N/A</v>
      </c>
      <c r="J5085" s="84">
        <f t="shared" si="162"/>
        <v>0</v>
      </c>
      <c r="K5085" s="84">
        <f t="shared" si="163"/>
        <v>0</v>
      </c>
      <c r="L5085" s="61" t="e">
        <f>VLOOKUP(K5085,[1]Mapping!$J$3:$Q$351,8,FALSE)</f>
        <v>#N/A</v>
      </c>
      <c r="M5085" t="s">
        <v>83</v>
      </c>
    </row>
    <row r="5086" spans="9:13" hidden="1" x14ac:dyDescent="0.35">
      <c r="I5086" s="83" t="e">
        <f>VLOOKUP(E5086,[1]Mapping!$A$3:$B$14,2,FALSE)</f>
        <v>#N/A</v>
      </c>
      <c r="J5086" s="84">
        <f t="shared" si="162"/>
        <v>0</v>
      </c>
      <c r="K5086" s="84">
        <f t="shared" si="163"/>
        <v>0</v>
      </c>
      <c r="L5086" s="61" t="e">
        <f>VLOOKUP(K5086,[1]Mapping!$J$3:$Q$351,8,FALSE)</f>
        <v>#N/A</v>
      </c>
      <c r="M5086" t="s">
        <v>83</v>
      </c>
    </row>
    <row r="5087" spans="9:13" hidden="1" x14ac:dyDescent="0.35">
      <c r="I5087" s="83" t="e">
        <f>VLOOKUP(E5087,[1]Mapping!$A$3:$B$14,2,FALSE)</f>
        <v>#N/A</v>
      </c>
      <c r="J5087" s="84">
        <f t="shared" si="162"/>
        <v>0</v>
      </c>
      <c r="K5087" s="84">
        <f t="shared" si="163"/>
        <v>0</v>
      </c>
      <c r="L5087" s="61" t="e">
        <f>VLOOKUP(K5087,[1]Mapping!$J$3:$Q$351,8,FALSE)</f>
        <v>#N/A</v>
      </c>
      <c r="M5087" t="s">
        <v>83</v>
      </c>
    </row>
    <row r="5088" spans="9:13" hidden="1" x14ac:dyDescent="0.35">
      <c r="I5088" s="83" t="e">
        <f>VLOOKUP(E5088,[1]Mapping!$A$3:$B$14,2,FALSE)</f>
        <v>#N/A</v>
      </c>
      <c r="J5088" s="84">
        <f t="shared" si="162"/>
        <v>0</v>
      </c>
      <c r="K5088" s="84">
        <f t="shared" si="163"/>
        <v>0</v>
      </c>
      <c r="L5088" s="61" t="e">
        <f>VLOOKUP(K5088,[1]Mapping!$J$3:$Q$351,8,FALSE)</f>
        <v>#N/A</v>
      </c>
      <c r="M5088" t="s">
        <v>83</v>
      </c>
    </row>
    <row r="5089" spans="9:13" hidden="1" x14ac:dyDescent="0.35">
      <c r="I5089" s="83" t="e">
        <f>VLOOKUP(E5089,[1]Mapping!$A$3:$B$14,2,FALSE)</f>
        <v>#N/A</v>
      </c>
      <c r="J5089" s="84">
        <f t="shared" si="162"/>
        <v>0</v>
      </c>
      <c r="K5089" s="84">
        <f t="shared" si="163"/>
        <v>0</v>
      </c>
      <c r="L5089" s="61" t="e">
        <f>VLOOKUP(K5089,[1]Mapping!$J$3:$Q$351,8,FALSE)</f>
        <v>#N/A</v>
      </c>
      <c r="M5089" t="s">
        <v>83</v>
      </c>
    </row>
    <row r="5090" spans="9:13" hidden="1" x14ac:dyDescent="0.35">
      <c r="I5090" s="83" t="e">
        <f>VLOOKUP(E5090,[1]Mapping!$A$3:$B$14,2,FALSE)</f>
        <v>#N/A</v>
      </c>
      <c r="J5090" s="84">
        <f t="shared" si="162"/>
        <v>0</v>
      </c>
      <c r="K5090" s="84">
        <f t="shared" si="163"/>
        <v>0</v>
      </c>
      <c r="L5090" s="61" t="e">
        <f>VLOOKUP(K5090,[1]Mapping!$J$3:$Q$351,8,FALSE)</f>
        <v>#N/A</v>
      </c>
      <c r="M5090" t="s">
        <v>83</v>
      </c>
    </row>
    <row r="5091" spans="9:13" hidden="1" x14ac:dyDescent="0.35">
      <c r="I5091" s="83" t="e">
        <f>VLOOKUP(E5091,[1]Mapping!$A$3:$B$14,2,FALSE)</f>
        <v>#N/A</v>
      </c>
      <c r="J5091" s="84">
        <f t="shared" si="162"/>
        <v>0</v>
      </c>
      <c r="K5091" s="84">
        <f t="shared" si="163"/>
        <v>0</v>
      </c>
      <c r="L5091" s="61" t="e">
        <f>VLOOKUP(K5091,[1]Mapping!$J$3:$Q$351,8,FALSE)</f>
        <v>#N/A</v>
      </c>
      <c r="M5091" t="s">
        <v>83</v>
      </c>
    </row>
    <row r="5092" spans="9:13" hidden="1" x14ac:dyDescent="0.35">
      <c r="I5092" s="83" t="e">
        <f>VLOOKUP(E5092,[1]Mapping!$A$3:$B$14,2,FALSE)</f>
        <v>#N/A</v>
      </c>
      <c r="J5092" s="84">
        <f t="shared" si="162"/>
        <v>0</v>
      </c>
      <c r="K5092" s="84">
        <f t="shared" si="163"/>
        <v>0</v>
      </c>
      <c r="L5092" s="61" t="e">
        <f>VLOOKUP(K5092,[1]Mapping!$J$3:$Q$351,8,FALSE)</f>
        <v>#N/A</v>
      </c>
      <c r="M5092" t="s">
        <v>83</v>
      </c>
    </row>
    <row r="5093" spans="9:13" hidden="1" x14ac:dyDescent="0.35">
      <c r="I5093" s="83" t="e">
        <f>VLOOKUP(E5093,[1]Mapping!$A$3:$B$14,2,FALSE)</f>
        <v>#N/A</v>
      </c>
      <c r="J5093" s="84">
        <f t="shared" si="162"/>
        <v>0</v>
      </c>
      <c r="K5093" s="84">
        <f t="shared" si="163"/>
        <v>0</v>
      </c>
      <c r="L5093" s="61" t="e">
        <f>VLOOKUP(K5093,[1]Mapping!$J$3:$Q$351,8,FALSE)</f>
        <v>#N/A</v>
      </c>
      <c r="M5093" t="s">
        <v>83</v>
      </c>
    </row>
    <row r="5094" spans="9:13" hidden="1" x14ac:dyDescent="0.35">
      <c r="I5094" s="83" t="e">
        <f>VLOOKUP(E5094,[1]Mapping!$A$3:$B$14,2,FALSE)</f>
        <v>#N/A</v>
      </c>
      <c r="J5094" s="84">
        <f t="shared" si="162"/>
        <v>0</v>
      </c>
      <c r="K5094" s="84">
        <f t="shared" si="163"/>
        <v>0</v>
      </c>
      <c r="L5094" s="61" t="e">
        <f>VLOOKUP(K5094,[1]Mapping!$J$3:$Q$351,8,FALSE)</f>
        <v>#N/A</v>
      </c>
      <c r="M5094" t="s">
        <v>83</v>
      </c>
    </row>
    <row r="5095" spans="9:13" hidden="1" x14ac:dyDescent="0.35">
      <c r="I5095" s="83" t="e">
        <f>VLOOKUP(E5095,[1]Mapping!$A$3:$B$14,2,FALSE)</f>
        <v>#N/A</v>
      </c>
      <c r="J5095" s="84">
        <f t="shared" si="162"/>
        <v>0</v>
      </c>
      <c r="K5095" s="84">
        <f t="shared" si="163"/>
        <v>0</v>
      </c>
      <c r="L5095" s="61" t="e">
        <f>VLOOKUP(K5095,[1]Mapping!$J$3:$Q$351,8,FALSE)</f>
        <v>#N/A</v>
      </c>
      <c r="M5095" t="s">
        <v>83</v>
      </c>
    </row>
    <row r="5096" spans="9:13" hidden="1" x14ac:dyDescent="0.35">
      <c r="I5096" s="83" t="e">
        <f>VLOOKUP(E5096,[1]Mapping!$A$3:$B$14,2,FALSE)</f>
        <v>#N/A</v>
      </c>
      <c r="J5096" s="84">
        <f t="shared" si="162"/>
        <v>0</v>
      </c>
      <c r="K5096" s="84">
        <f t="shared" si="163"/>
        <v>0</v>
      </c>
      <c r="L5096" s="61" t="e">
        <f>VLOOKUP(K5096,[1]Mapping!$J$3:$Q$351,8,FALSE)</f>
        <v>#N/A</v>
      </c>
      <c r="M5096" t="s">
        <v>83</v>
      </c>
    </row>
    <row r="5097" spans="9:13" hidden="1" x14ac:dyDescent="0.35">
      <c r="I5097" s="83" t="e">
        <f>VLOOKUP(E5097,[1]Mapping!$A$3:$B$14,2,FALSE)</f>
        <v>#N/A</v>
      </c>
      <c r="J5097" s="84">
        <f t="shared" si="162"/>
        <v>0</v>
      </c>
      <c r="K5097" s="84">
        <f t="shared" si="163"/>
        <v>0</v>
      </c>
      <c r="L5097" s="61" t="e">
        <f>VLOOKUP(K5097,[1]Mapping!$J$3:$Q$351,8,FALSE)</f>
        <v>#N/A</v>
      </c>
      <c r="M5097" t="s">
        <v>83</v>
      </c>
    </row>
    <row r="5098" spans="9:13" hidden="1" x14ac:dyDescent="0.35">
      <c r="I5098" s="83" t="e">
        <f>VLOOKUP(E5098,[1]Mapping!$A$3:$B$14,2,FALSE)</f>
        <v>#N/A</v>
      </c>
      <c r="J5098" s="84">
        <f t="shared" si="162"/>
        <v>0</v>
      </c>
      <c r="K5098" s="84">
        <f t="shared" si="163"/>
        <v>0</v>
      </c>
      <c r="L5098" s="61" t="e">
        <f>VLOOKUP(K5098,[1]Mapping!$J$3:$Q$351,8,FALSE)</f>
        <v>#N/A</v>
      </c>
      <c r="M5098" t="s">
        <v>83</v>
      </c>
    </row>
    <row r="5099" spans="9:13" hidden="1" x14ac:dyDescent="0.35">
      <c r="I5099" s="83" t="e">
        <f>VLOOKUP(E5099,[1]Mapping!$A$3:$B$14,2,FALSE)</f>
        <v>#N/A</v>
      </c>
      <c r="J5099" s="84">
        <f t="shared" si="162"/>
        <v>0</v>
      </c>
      <c r="K5099" s="84">
        <f t="shared" si="163"/>
        <v>0</v>
      </c>
      <c r="L5099" s="61" t="e">
        <f>VLOOKUP(K5099,[1]Mapping!$J$3:$Q$351,8,FALSE)</f>
        <v>#N/A</v>
      </c>
      <c r="M5099" t="s">
        <v>83</v>
      </c>
    </row>
    <row r="5100" spans="9:13" hidden="1" x14ac:dyDescent="0.35">
      <c r="I5100" s="83" t="e">
        <f>VLOOKUP(E5100,[1]Mapping!$A$3:$B$14,2,FALSE)</f>
        <v>#N/A</v>
      </c>
      <c r="J5100" s="84">
        <f t="shared" si="162"/>
        <v>0</v>
      </c>
      <c r="K5100" s="84">
        <f t="shared" si="163"/>
        <v>0</v>
      </c>
      <c r="L5100" s="61" t="e">
        <f>VLOOKUP(K5100,[1]Mapping!$J$3:$Q$351,8,FALSE)</f>
        <v>#N/A</v>
      </c>
      <c r="M5100" t="s">
        <v>83</v>
      </c>
    </row>
    <row r="5101" spans="9:13" hidden="1" x14ac:dyDescent="0.35">
      <c r="I5101" s="83" t="e">
        <f>VLOOKUP(E5101,[1]Mapping!$A$3:$B$14,2,FALSE)</f>
        <v>#N/A</v>
      </c>
      <c r="J5101" s="84">
        <f t="shared" si="162"/>
        <v>0</v>
      </c>
      <c r="K5101" s="84">
        <f t="shared" si="163"/>
        <v>0</v>
      </c>
      <c r="L5101" s="61" t="e">
        <f>VLOOKUP(K5101,[1]Mapping!$J$3:$Q$351,8,FALSE)</f>
        <v>#N/A</v>
      </c>
      <c r="M5101" t="s">
        <v>83</v>
      </c>
    </row>
    <row r="5102" spans="9:13" hidden="1" x14ac:dyDescent="0.35">
      <c r="I5102" s="83" t="e">
        <f>VLOOKUP(E5102,[1]Mapping!$A$3:$B$14,2,FALSE)</f>
        <v>#N/A</v>
      </c>
      <c r="J5102" s="84">
        <f t="shared" si="162"/>
        <v>0</v>
      </c>
      <c r="K5102" s="84">
        <f t="shared" si="163"/>
        <v>0</v>
      </c>
      <c r="L5102" s="61" t="e">
        <f>VLOOKUP(K5102,[1]Mapping!$J$3:$Q$351,8,FALSE)</f>
        <v>#N/A</v>
      </c>
      <c r="M5102" t="s">
        <v>83</v>
      </c>
    </row>
    <row r="5103" spans="9:13" hidden="1" x14ac:dyDescent="0.35">
      <c r="I5103" s="83" t="e">
        <f>VLOOKUP(E5103,[1]Mapping!$A$3:$B$14,2,FALSE)</f>
        <v>#N/A</v>
      </c>
      <c r="J5103" s="84">
        <f t="shared" si="162"/>
        <v>0</v>
      </c>
      <c r="K5103" s="84">
        <f t="shared" si="163"/>
        <v>0</v>
      </c>
      <c r="L5103" s="61" t="e">
        <f>VLOOKUP(K5103,[1]Mapping!$J$3:$Q$351,8,FALSE)</f>
        <v>#N/A</v>
      </c>
      <c r="M5103" t="s">
        <v>83</v>
      </c>
    </row>
    <row r="5104" spans="9:13" hidden="1" x14ac:dyDescent="0.35">
      <c r="I5104" s="83" t="e">
        <f>VLOOKUP(E5104,[1]Mapping!$A$3:$B$14,2,FALSE)</f>
        <v>#N/A</v>
      </c>
      <c r="J5104" s="84">
        <f t="shared" si="162"/>
        <v>0</v>
      </c>
      <c r="K5104" s="84">
        <f t="shared" si="163"/>
        <v>0</v>
      </c>
      <c r="L5104" s="61" t="e">
        <f>VLOOKUP(K5104,[1]Mapping!$J$3:$Q$351,8,FALSE)</f>
        <v>#N/A</v>
      </c>
      <c r="M5104" t="s">
        <v>83</v>
      </c>
    </row>
    <row r="5105" spans="9:13" hidden="1" x14ac:dyDescent="0.35">
      <c r="I5105" s="83" t="e">
        <f>VLOOKUP(E5105,[1]Mapping!$A$3:$B$14,2,FALSE)</f>
        <v>#N/A</v>
      </c>
      <c r="J5105" s="84">
        <f t="shared" si="162"/>
        <v>0</v>
      </c>
      <c r="K5105" s="84">
        <f t="shared" si="163"/>
        <v>0</v>
      </c>
      <c r="L5105" s="61" t="e">
        <f>VLOOKUP(K5105,[1]Mapping!$J$3:$Q$351,8,FALSE)</f>
        <v>#N/A</v>
      </c>
      <c r="M5105" t="s">
        <v>83</v>
      </c>
    </row>
    <row r="5106" spans="9:13" hidden="1" x14ac:dyDescent="0.35">
      <c r="I5106" s="83" t="e">
        <f>VLOOKUP(E5106,[1]Mapping!$A$3:$B$14,2,FALSE)</f>
        <v>#N/A</v>
      </c>
      <c r="J5106" s="84">
        <f t="shared" si="162"/>
        <v>0</v>
      </c>
      <c r="K5106" s="84">
        <f t="shared" si="163"/>
        <v>0</v>
      </c>
      <c r="L5106" s="61" t="e">
        <f>VLOOKUP(K5106,[1]Mapping!$J$3:$Q$351,8,FALSE)</f>
        <v>#N/A</v>
      </c>
      <c r="M5106" t="s">
        <v>83</v>
      </c>
    </row>
    <row r="5107" spans="9:13" hidden="1" x14ac:dyDescent="0.35">
      <c r="I5107" s="83" t="e">
        <f>VLOOKUP(E5107,[1]Mapping!$A$3:$B$14,2,FALSE)</f>
        <v>#N/A</v>
      </c>
      <c r="J5107" s="84">
        <f t="shared" si="162"/>
        <v>0</v>
      </c>
      <c r="K5107" s="84">
        <f t="shared" si="163"/>
        <v>0</v>
      </c>
      <c r="L5107" s="61" t="e">
        <f>VLOOKUP(K5107,[1]Mapping!$J$3:$Q$351,8,FALSE)</f>
        <v>#N/A</v>
      </c>
      <c r="M5107" t="s">
        <v>83</v>
      </c>
    </row>
    <row r="5108" spans="9:13" hidden="1" x14ac:dyDescent="0.35">
      <c r="I5108" s="83" t="e">
        <f>VLOOKUP(E5108,[1]Mapping!$A$3:$B$14,2,FALSE)</f>
        <v>#N/A</v>
      </c>
      <c r="J5108" s="84">
        <f t="shared" si="162"/>
        <v>0</v>
      </c>
      <c r="K5108" s="84">
        <f t="shared" si="163"/>
        <v>0</v>
      </c>
      <c r="L5108" s="61" t="e">
        <f>VLOOKUP(K5108,[1]Mapping!$J$3:$Q$351,8,FALSE)</f>
        <v>#N/A</v>
      </c>
      <c r="M5108" t="s">
        <v>83</v>
      </c>
    </row>
    <row r="5109" spans="9:13" hidden="1" x14ac:dyDescent="0.35">
      <c r="I5109" s="83" t="e">
        <f>VLOOKUP(E5109,[1]Mapping!$A$3:$B$14,2,FALSE)</f>
        <v>#N/A</v>
      </c>
      <c r="J5109" s="84">
        <f t="shared" si="162"/>
        <v>0</v>
      </c>
      <c r="K5109" s="84">
        <f t="shared" si="163"/>
        <v>0</v>
      </c>
      <c r="L5109" s="61" t="e">
        <f>VLOOKUP(K5109,[1]Mapping!$J$3:$Q$351,8,FALSE)</f>
        <v>#N/A</v>
      </c>
      <c r="M5109" t="s">
        <v>83</v>
      </c>
    </row>
    <row r="5110" spans="9:13" hidden="1" x14ac:dyDescent="0.35">
      <c r="I5110" s="83" t="e">
        <f>VLOOKUP(E5110,[1]Mapping!$A$3:$B$14,2,FALSE)</f>
        <v>#N/A</v>
      </c>
      <c r="J5110" s="84">
        <f t="shared" si="162"/>
        <v>0</v>
      </c>
      <c r="K5110" s="84">
        <f t="shared" si="163"/>
        <v>0</v>
      </c>
      <c r="L5110" s="61" t="e">
        <f>VLOOKUP(K5110,[1]Mapping!$J$3:$Q$351,8,FALSE)</f>
        <v>#N/A</v>
      </c>
      <c r="M5110" t="s">
        <v>83</v>
      </c>
    </row>
    <row r="5111" spans="9:13" hidden="1" x14ac:dyDescent="0.35">
      <c r="I5111" s="83" t="e">
        <f>VLOOKUP(E5111,[1]Mapping!$A$3:$B$14,2,FALSE)</f>
        <v>#N/A</v>
      </c>
      <c r="J5111" s="84">
        <f t="shared" si="162"/>
        <v>0</v>
      </c>
      <c r="K5111" s="84">
        <f t="shared" si="163"/>
        <v>0</v>
      </c>
      <c r="L5111" s="61" t="e">
        <f>VLOOKUP(K5111,[1]Mapping!$J$3:$Q$351,8,FALSE)</f>
        <v>#N/A</v>
      </c>
      <c r="M5111" t="s">
        <v>83</v>
      </c>
    </row>
    <row r="5112" spans="9:13" hidden="1" x14ac:dyDescent="0.35">
      <c r="I5112" s="83" t="e">
        <f>VLOOKUP(E5112,[1]Mapping!$A$3:$B$14,2,FALSE)</f>
        <v>#N/A</v>
      </c>
      <c r="J5112" s="84">
        <f t="shared" si="162"/>
        <v>0</v>
      </c>
      <c r="K5112" s="84">
        <f t="shared" si="163"/>
        <v>0</v>
      </c>
      <c r="L5112" s="61" t="e">
        <f>VLOOKUP(K5112,[1]Mapping!$J$3:$Q$351,8,FALSE)</f>
        <v>#N/A</v>
      </c>
      <c r="M5112" t="s">
        <v>83</v>
      </c>
    </row>
    <row r="5113" spans="9:13" hidden="1" x14ac:dyDescent="0.35">
      <c r="I5113" s="83" t="e">
        <f>VLOOKUP(E5113,[1]Mapping!$A$3:$B$14,2,FALSE)</f>
        <v>#N/A</v>
      </c>
      <c r="J5113" s="84">
        <f t="shared" si="162"/>
        <v>0</v>
      </c>
      <c r="K5113" s="84">
        <f t="shared" si="163"/>
        <v>0</v>
      </c>
      <c r="L5113" s="61" t="e">
        <f>VLOOKUP(K5113,[1]Mapping!$J$3:$Q$351,8,FALSE)</f>
        <v>#N/A</v>
      </c>
      <c r="M5113" t="s">
        <v>83</v>
      </c>
    </row>
    <row r="5114" spans="9:13" hidden="1" x14ac:dyDescent="0.35">
      <c r="I5114" s="83" t="e">
        <f>VLOOKUP(E5114,[1]Mapping!$A$3:$B$14,2,FALSE)</f>
        <v>#N/A</v>
      </c>
      <c r="J5114" s="84">
        <f t="shared" si="162"/>
        <v>0</v>
      </c>
      <c r="K5114" s="84">
        <f t="shared" si="163"/>
        <v>0</v>
      </c>
      <c r="L5114" s="61" t="e">
        <f>VLOOKUP(K5114,[1]Mapping!$J$3:$Q$351,8,FALSE)</f>
        <v>#N/A</v>
      </c>
      <c r="M5114" t="s">
        <v>83</v>
      </c>
    </row>
    <row r="5115" spans="9:13" hidden="1" x14ac:dyDescent="0.35">
      <c r="I5115" s="83" t="e">
        <f>VLOOKUP(E5115,[1]Mapping!$A$3:$B$14,2,FALSE)</f>
        <v>#N/A</v>
      </c>
      <c r="J5115" s="84">
        <f t="shared" si="162"/>
        <v>0</v>
      </c>
      <c r="K5115" s="84">
        <f t="shared" si="163"/>
        <v>0</v>
      </c>
      <c r="L5115" s="61" t="e">
        <f>VLOOKUP(K5115,[1]Mapping!$J$3:$Q$351,8,FALSE)</f>
        <v>#N/A</v>
      </c>
      <c r="M5115" t="s">
        <v>83</v>
      </c>
    </row>
    <row r="5116" spans="9:13" hidden="1" x14ac:dyDescent="0.35">
      <c r="I5116" s="83" t="e">
        <f>VLOOKUP(E5116,[1]Mapping!$A$3:$B$14,2,FALSE)</f>
        <v>#N/A</v>
      </c>
      <c r="J5116" s="84">
        <f t="shared" si="162"/>
        <v>0</v>
      </c>
      <c r="K5116" s="84">
        <f t="shared" si="163"/>
        <v>0</v>
      </c>
      <c r="L5116" s="61" t="e">
        <f>VLOOKUP(K5116,[1]Mapping!$J$3:$Q$351,8,FALSE)</f>
        <v>#N/A</v>
      </c>
      <c r="M5116" t="s">
        <v>83</v>
      </c>
    </row>
    <row r="5117" spans="9:13" hidden="1" x14ac:dyDescent="0.35">
      <c r="I5117" s="83" t="e">
        <f>VLOOKUP(E5117,[1]Mapping!$A$3:$B$14,2,FALSE)</f>
        <v>#N/A</v>
      </c>
      <c r="J5117" s="84">
        <f t="shared" si="162"/>
        <v>0</v>
      </c>
      <c r="K5117" s="84">
        <f t="shared" si="163"/>
        <v>0</v>
      </c>
      <c r="L5117" s="61" t="e">
        <f>VLOOKUP(K5117,[1]Mapping!$J$3:$Q$351,8,FALSE)</f>
        <v>#N/A</v>
      </c>
      <c r="M5117" t="s">
        <v>83</v>
      </c>
    </row>
    <row r="5118" spans="9:13" hidden="1" x14ac:dyDescent="0.35">
      <c r="I5118" s="83" t="e">
        <f>VLOOKUP(E5118,[1]Mapping!$A$3:$B$14,2,FALSE)</f>
        <v>#N/A</v>
      </c>
      <c r="J5118" s="84">
        <f t="shared" si="162"/>
        <v>0</v>
      </c>
      <c r="K5118" s="84">
        <f t="shared" si="163"/>
        <v>0</v>
      </c>
      <c r="L5118" s="61" t="e">
        <f>VLOOKUP(K5118,[1]Mapping!$J$3:$Q$351,8,FALSE)</f>
        <v>#N/A</v>
      </c>
      <c r="M5118" t="s">
        <v>83</v>
      </c>
    </row>
    <row r="5119" spans="9:13" hidden="1" x14ac:dyDescent="0.35">
      <c r="I5119" s="83" t="e">
        <f>VLOOKUP(E5119,[1]Mapping!$A$3:$B$14,2,FALSE)</f>
        <v>#N/A</v>
      </c>
      <c r="J5119" s="84">
        <f t="shared" si="162"/>
        <v>0</v>
      </c>
      <c r="K5119" s="84">
        <f t="shared" si="163"/>
        <v>0</v>
      </c>
      <c r="L5119" s="61" t="e">
        <f>VLOOKUP(K5119,[1]Mapping!$J$3:$Q$351,8,FALSE)</f>
        <v>#N/A</v>
      </c>
      <c r="M5119" t="s">
        <v>83</v>
      </c>
    </row>
    <row r="5120" spans="9:13" hidden="1" x14ac:dyDescent="0.35">
      <c r="I5120" s="83" t="e">
        <f>VLOOKUP(E5120,[1]Mapping!$A$3:$B$14,2,FALSE)</f>
        <v>#N/A</v>
      </c>
      <c r="J5120" s="84">
        <f t="shared" si="162"/>
        <v>0</v>
      </c>
      <c r="K5120" s="84">
        <f t="shared" si="163"/>
        <v>0</v>
      </c>
      <c r="L5120" s="61" t="e">
        <f>VLOOKUP(K5120,[1]Mapping!$J$3:$Q$351,8,FALSE)</f>
        <v>#N/A</v>
      </c>
      <c r="M5120" t="s">
        <v>83</v>
      </c>
    </row>
    <row r="5121" spans="9:13" hidden="1" x14ac:dyDescent="0.35">
      <c r="I5121" s="83" t="e">
        <f>VLOOKUP(E5121,[1]Mapping!$A$3:$B$14,2,FALSE)</f>
        <v>#N/A</v>
      </c>
      <c r="J5121" s="84">
        <f t="shared" si="162"/>
        <v>0</v>
      </c>
      <c r="K5121" s="84">
        <f t="shared" si="163"/>
        <v>0</v>
      </c>
      <c r="L5121" s="61" t="e">
        <f>VLOOKUP(K5121,[1]Mapping!$J$3:$Q$351,8,FALSE)</f>
        <v>#N/A</v>
      </c>
      <c r="M5121" t="s">
        <v>83</v>
      </c>
    </row>
    <row r="5122" spans="9:13" hidden="1" x14ac:dyDescent="0.35">
      <c r="I5122" s="83" t="e">
        <f>VLOOKUP(E5122,[1]Mapping!$A$3:$B$14,2,FALSE)</f>
        <v>#N/A</v>
      </c>
      <c r="J5122" s="84">
        <f t="shared" si="162"/>
        <v>0</v>
      </c>
      <c r="K5122" s="84">
        <f t="shared" si="163"/>
        <v>0</v>
      </c>
      <c r="L5122" s="61" t="e">
        <f>VLOOKUP(K5122,[1]Mapping!$J$3:$Q$351,8,FALSE)</f>
        <v>#N/A</v>
      </c>
      <c r="M5122" t="s">
        <v>83</v>
      </c>
    </row>
    <row r="5123" spans="9:13" hidden="1" x14ac:dyDescent="0.35">
      <c r="I5123" s="83" t="e">
        <f>VLOOKUP(E5123,[1]Mapping!$A$3:$B$14,2,FALSE)</f>
        <v>#N/A</v>
      </c>
      <c r="J5123" s="84">
        <f t="shared" si="162"/>
        <v>0</v>
      </c>
      <c r="K5123" s="84">
        <f t="shared" si="163"/>
        <v>0</v>
      </c>
      <c r="L5123" s="61" t="e">
        <f>VLOOKUP(K5123,[1]Mapping!$J$3:$Q$351,8,FALSE)</f>
        <v>#N/A</v>
      </c>
      <c r="M5123" t="s">
        <v>83</v>
      </c>
    </row>
    <row r="5124" spans="9:13" hidden="1" x14ac:dyDescent="0.35">
      <c r="I5124" s="83" t="e">
        <f>VLOOKUP(E5124,[1]Mapping!$A$3:$B$14,2,FALSE)</f>
        <v>#N/A</v>
      </c>
      <c r="J5124" s="84">
        <f t="shared" si="162"/>
        <v>0</v>
      </c>
      <c r="K5124" s="84">
        <f t="shared" si="163"/>
        <v>0</v>
      </c>
      <c r="L5124" s="61" t="e">
        <f>VLOOKUP(K5124,[1]Mapping!$J$3:$Q$351,8,FALSE)</f>
        <v>#N/A</v>
      </c>
      <c r="M5124" t="s">
        <v>83</v>
      </c>
    </row>
    <row r="5125" spans="9:13" hidden="1" x14ac:dyDescent="0.35">
      <c r="I5125" s="83" t="e">
        <f>VLOOKUP(E5125,[1]Mapping!$A$3:$B$14,2,FALSE)</f>
        <v>#N/A</v>
      </c>
      <c r="J5125" s="84">
        <f t="shared" si="162"/>
        <v>0</v>
      </c>
      <c r="K5125" s="84">
        <f t="shared" si="163"/>
        <v>0</v>
      </c>
      <c r="L5125" s="61" t="e">
        <f>VLOOKUP(K5125,[1]Mapping!$J$3:$Q$351,8,FALSE)</f>
        <v>#N/A</v>
      </c>
      <c r="M5125" t="s">
        <v>83</v>
      </c>
    </row>
    <row r="5126" spans="9:13" hidden="1" x14ac:dyDescent="0.35">
      <c r="I5126" s="83" t="e">
        <f>VLOOKUP(E5126,[1]Mapping!$A$3:$B$14,2,FALSE)</f>
        <v>#N/A</v>
      </c>
      <c r="J5126" s="84">
        <f t="shared" si="162"/>
        <v>0</v>
      </c>
      <c r="K5126" s="84">
        <f t="shared" si="163"/>
        <v>0</v>
      </c>
      <c r="L5126" s="61" t="e">
        <f>VLOOKUP(K5126,[1]Mapping!$J$3:$Q$351,8,FALSE)</f>
        <v>#N/A</v>
      </c>
      <c r="M5126" t="s">
        <v>83</v>
      </c>
    </row>
    <row r="5127" spans="9:13" hidden="1" x14ac:dyDescent="0.35">
      <c r="I5127" s="83" t="e">
        <f>VLOOKUP(E5127,[1]Mapping!$A$3:$B$14,2,FALSE)</f>
        <v>#N/A</v>
      </c>
      <c r="J5127" s="84">
        <f t="shared" si="162"/>
        <v>0</v>
      </c>
      <c r="K5127" s="84">
        <f t="shared" si="163"/>
        <v>0</v>
      </c>
      <c r="L5127" s="61" t="e">
        <f>VLOOKUP(K5127,[1]Mapping!$J$3:$Q$351,8,FALSE)</f>
        <v>#N/A</v>
      </c>
      <c r="M5127" t="s">
        <v>83</v>
      </c>
    </row>
    <row r="5128" spans="9:13" hidden="1" x14ac:dyDescent="0.35">
      <c r="I5128" s="83" t="e">
        <f>VLOOKUP(E5128,[1]Mapping!$A$3:$B$14,2,FALSE)</f>
        <v>#N/A</v>
      </c>
      <c r="J5128" s="84">
        <f t="shared" si="162"/>
        <v>0</v>
      </c>
      <c r="K5128" s="84">
        <f t="shared" si="163"/>
        <v>0</v>
      </c>
      <c r="L5128" s="61" t="e">
        <f>VLOOKUP(K5128,[1]Mapping!$J$3:$Q$351,8,FALSE)</f>
        <v>#N/A</v>
      </c>
      <c r="M5128" t="s">
        <v>83</v>
      </c>
    </row>
    <row r="5129" spans="9:13" hidden="1" x14ac:dyDescent="0.35">
      <c r="I5129" s="83" t="e">
        <f>VLOOKUP(E5129,[1]Mapping!$A$3:$B$14,2,FALSE)</f>
        <v>#N/A</v>
      </c>
      <c r="J5129" s="84">
        <f t="shared" si="162"/>
        <v>0</v>
      </c>
      <c r="K5129" s="84">
        <f t="shared" si="163"/>
        <v>0</v>
      </c>
      <c r="L5129" s="61" t="e">
        <f>VLOOKUP(K5129,[1]Mapping!$J$3:$Q$351,8,FALSE)</f>
        <v>#N/A</v>
      </c>
      <c r="M5129" t="s">
        <v>83</v>
      </c>
    </row>
    <row r="5130" spans="9:13" hidden="1" x14ac:dyDescent="0.35">
      <c r="I5130" s="83" t="e">
        <f>VLOOKUP(E5130,[1]Mapping!$A$3:$B$14,2,FALSE)</f>
        <v>#N/A</v>
      </c>
      <c r="J5130" s="84">
        <f t="shared" si="162"/>
        <v>0</v>
      </c>
      <c r="K5130" s="84">
        <f t="shared" si="163"/>
        <v>0</v>
      </c>
      <c r="L5130" s="61" t="e">
        <f>VLOOKUP(K5130,[1]Mapping!$J$3:$Q$351,8,FALSE)</f>
        <v>#N/A</v>
      </c>
      <c r="M5130" t="s">
        <v>83</v>
      </c>
    </row>
    <row r="5131" spans="9:13" hidden="1" x14ac:dyDescent="0.35">
      <c r="I5131" s="83" t="e">
        <f>VLOOKUP(E5131,[1]Mapping!$A$3:$B$14,2,FALSE)</f>
        <v>#N/A</v>
      </c>
      <c r="J5131" s="84">
        <f t="shared" si="162"/>
        <v>0</v>
      </c>
      <c r="K5131" s="84">
        <f t="shared" si="163"/>
        <v>0</v>
      </c>
      <c r="L5131" s="61" t="e">
        <f>VLOOKUP(K5131,[1]Mapping!$J$3:$Q$351,8,FALSE)</f>
        <v>#N/A</v>
      </c>
      <c r="M5131" t="s">
        <v>83</v>
      </c>
    </row>
    <row r="5132" spans="9:13" hidden="1" x14ac:dyDescent="0.35">
      <c r="I5132" s="83" t="e">
        <f>VLOOKUP(E5132,[1]Mapping!$A$3:$B$14,2,FALSE)</f>
        <v>#N/A</v>
      </c>
      <c r="J5132" s="84">
        <f t="shared" si="162"/>
        <v>0</v>
      </c>
      <c r="K5132" s="84">
        <f t="shared" si="163"/>
        <v>0</v>
      </c>
      <c r="L5132" s="61" t="e">
        <f>VLOOKUP(K5132,[1]Mapping!$J$3:$Q$351,8,FALSE)</f>
        <v>#N/A</v>
      </c>
      <c r="M5132" t="s">
        <v>83</v>
      </c>
    </row>
    <row r="5133" spans="9:13" hidden="1" x14ac:dyDescent="0.35">
      <c r="I5133" s="83" t="e">
        <f>VLOOKUP(E5133,[1]Mapping!$A$3:$B$14,2,FALSE)</f>
        <v>#N/A</v>
      </c>
      <c r="J5133" s="84">
        <f t="shared" si="162"/>
        <v>0</v>
      </c>
      <c r="K5133" s="84">
        <f t="shared" si="163"/>
        <v>0</v>
      </c>
      <c r="L5133" s="61" t="e">
        <f>VLOOKUP(K5133,[1]Mapping!$J$3:$Q$351,8,FALSE)</f>
        <v>#N/A</v>
      </c>
      <c r="M5133" t="s">
        <v>83</v>
      </c>
    </row>
    <row r="5134" spans="9:13" hidden="1" x14ac:dyDescent="0.35">
      <c r="I5134" s="83" t="e">
        <f>VLOOKUP(E5134,[1]Mapping!$A$3:$B$14,2,FALSE)</f>
        <v>#N/A</v>
      </c>
      <c r="J5134" s="84">
        <f t="shared" si="162"/>
        <v>0</v>
      </c>
      <c r="K5134" s="84">
        <f t="shared" si="163"/>
        <v>0</v>
      </c>
      <c r="L5134" s="61" t="e">
        <f>VLOOKUP(K5134,[1]Mapping!$J$3:$Q$351,8,FALSE)</f>
        <v>#N/A</v>
      </c>
      <c r="M5134" t="s">
        <v>83</v>
      </c>
    </row>
    <row r="5135" spans="9:13" hidden="1" x14ac:dyDescent="0.35">
      <c r="I5135" s="83" t="e">
        <f>VLOOKUP(E5135,[1]Mapping!$A$3:$B$14,2,FALSE)</f>
        <v>#N/A</v>
      </c>
      <c r="J5135" s="84">
        <f t="shared" si="162"/>
        <v>0</v>
      </c>
      <c r="K5135" s="84">
        <f t="shared" si="163"/>
        <v>0</v>
      </c>
      <c r="L5135" s="61" t="e">
        <f>VLOOKUP(K5135,[1]Mapping!$J$3:$Q$351,8,FALSE)</f>
        <v>#N/A</v>
      </c>
      <c r="M5135" t="s">
        <v>83</v>
      </c>
    </row>
    <row r="5136" spans="9:13" hidden="1" x14ac:dyDescent="0.35">
      <c r="I5136" s="83" t="e">
        <f>VLOOKUP(E5136,[1]Mapping!$A$3:$B$14,2,FALSE)</f>
        <v>#N/A</v>
      </c>
      <c r="J5136" s="84">
        <f t="shared" ref="J5136:J5199" si="164">VALUE(A5136)</f>
        <v>0</v>
      </c>
      <c r="K5136" s="84">
        <f t="shared" ref="K5136:K5199" si="165">VALUE(C5136)</f>
        <v>0</v>
      </c>
      <c r="L5136" s="61" t="e">
        <f>VLOOKUP(K5136,[1]Mapping!$J$3:$Q$351,8,FALSE)</f>
        <v>#N/A</v>
      </c>
      <c r="M5136" t="s">
        <v>83</v>
      </c>
    </row>
    <row r="5137" spans="9:13" hidden="1" x14ac:dyDescent="0.35">
      <c r="I5137" s="83" t="e">
        <f>VLOOKUP(E5137,[1]Mapping!$A$3:$B$14,2,FALSE)</f>
        <v>#N/A</v>
      </c>
      <c r="J5137" s="84">
        <f t="shared" si="164"/>
        <v>0</v>
      </c>
      <c r="K5137" s="84">
        <f t="shared" si="165"/>
        <v>0</v>
      </c>
      <c r="L5137" s="61" t="e">
        <f>VLOOKUP(K5137,[1]Mapping!$J$3:$Q$351,8,FALSE)</f>
        <v>#N/A</v>
      </c>
      <c r="M5137" t="s">
        <v>83</v>
      </c>
    </row>
    <row r="5138" spans="9:13" hidden="1" x14ac:dyDescent="0.35">
      <c r="I5138" s="83" t="e">
        <f>VLOOKUP(E5138,[1]Mapping!$A$3:$B$14,2,FALSE)</f>
        <v>#N/A</v>
      </c>
      <c r="J5138" s="84">
        <f t="shared" si="164"/>
        <v>0</v>
      </c>
      <c r="K5138" s="84">
        <f t="shared" si="165"/>
        <v>0</v>
      </c>
      <c r="L5138" s="61" t="e">
        <f>VLOOKUP(K5138,[1]Mapping!$J$3:$Q$351,8,FALSE)</f>
        <v>#N/A</v>
      </c>
      <c r="M5138" t="s">
        <v>83</v>
      </c>
    </row>
    <row r="5139" spans="9:13" hidden="1" x14ac:dyDescent="0.35">
      <c r="I5139" s="83" t="e">
        <f>VLOOKUP(E5139,[1]Mapping!$A$3:$B$14,2,FALSE)</f>
        <v>#N/A</v>
      </c>
      <c r="J5139" s="84">
        <f t="shared" si="164"/>
        <v>0</v>
      </c>
      <c r="K5139" s="84">
        <f t="shared" si="165"/>
        <v>0</v>
      </c>
      <c r="L5139" s="61" t="e">
        <f>VLOOKUP(K5139,[1]Mapping!$J$3:$Q$351,8,FALSE)</f>
        <v>#N/A</v>
      </c>
      <c r="M5139" t="s">
        <v>83</v>
      </c>
    </row>
    <row r="5140" spans="9:13" hidden="1" x14ac:dyDescent="0.35">
      <c r="I5140" s="83" t="e">
        <f>VLOOKUP(E5140,[1]Mapping!$A$3:$B$14,2,FALSE)</f>
        <v>#N/A</v>
      </c>
      <c r="J5140" s="84">
        <f t="shared" si="164"/>
        <v>0</v>
      </c>
      <c r="K5140" s="84">
        <f t="shared" si="165"/>
        <v>0</v>
      </c>
      <c r="L5140" s="61" t="e">
        <f>VLOOKUP(K5140,[1]Mapping!$J$3:$Q$351,8,FALSE)</f>
        <v>#N/A</v>
      </c>
      <c r="M5140" t="s">
        <v>83</v>
      </c>
    </row>
    <row r="5141" spans="9:13" hidden="1" x14ac:dyDescent="0.35">
      <c r="I5141" s="83" t="e">
        <f>VLOOKUP(E5141,[1]Mapping!$A$3:$B$14,2,FALSE)</f>
        <v>#N/A</v>
      </c>
      <c r="J5141" s="84">
        <f t="shared" si="164"/>
        <v>0</v>
      </c>
      <c r="K5141" s="84">
        <f t="shared" si="165"/>
        <v>0</v>
      </c>
      <c r="L5141" s="61" t="e">
        <f>VLOOKUP(K5141,[1]Mapping!$J$3:$Q$351,8,FALSE)</f>
        <v>#N/A</v>
      </c>
      <c r="M5141" t="s">
        <v>83</v>
      </c>
    </row>
    <row r="5142" spans="9:13" hidden="1" x14ac:dyDescent="0.35">
      <c r="I5142" s="83" t="e">
        <f>VLOOKUP(E5142,[1]Mapping!$A$3:$B$14,2,FALSE)</f>
        <v>#N/A</v>
      </c>
      <c r="J5142" s="84">
        <f t="shared" si="164"/>
        <v>0</v>
      </c>
      <c r="K5142" s="84">
        <f t="shared" si="165"/>
        <v>0</v>
      </c>
      <c r="L5142" s="61" t="e">
        <f>VLOOKUP(K5142,[1]Mapping!$J$3:$Q$351,8,FALSE)</f>
        <v>#N/A</v>
      </c>
      <c r="M5142" t="s">
        <v>83</v>
      </c>
    </row>
    <row r="5143" spans="9:13" hidden="1" x14ac:dyDescent="0.35">
      <c r="I5143" s="83" t="e">
        <f>VLOOKUP(E5143,[1]Mapping!$A$3:$B$14,2,FALSE)</f>
        <v>#N/A</v>
      </c>
      <c r="J5143" s="84">
        <f t="shared" si="164"/>
        <v>0</v>
      </c>
      <c r="K5143" s="84">
        <f t="shared" si="165"/>
        <v>0</v>
      </c>
      <c r="L5143" s="61" t="e">
        <f>VLOOKUP(K5143,[1]Mapping!$J$3:$Q$351,8,FALSE)</f>
        <v>#N/A</v>
      </c>
      <c r="M5143" t="s">
        <v>83</v>
      </c>
    </row>
    <row r="5144" spans="9:13" hidden="1" x14ac:dyDescent="0.35">
      <c r="I5144" s="83" t="e">
        <f>VLOOKUP(E5144,[1]Mapping!$A$3:$B$14,2,FALSE)</f>
        <v>#N/A</v>
      </c>
      <c r="J5144" s="84">
        <f t="shared" si="164"/>
        <v>0</v>
      </c>
      <c r="K5144" s="84">
        <f t="shared" si="165"/>
        <v>0</v>
      </c>
      <c r="L5144" s="61" t="e">
        <f>VLOOKUP(K5144,[1]Mapping!$J$3:$Q$351,8,FALSE)</f>
        <v>#N/A</v>
      </c>
      <c r="M5144" t="s">
        <v>83</v>
      </c>
    </row>
    <row r="5145" spans="9:13" hidden="1" x14ac:dyDescent="0.35">
      <c r="I5145" s="83" t="e">
        <f>VLOOKUP(E5145,[1]Mapping!$A$3:$B$14,2,FALSE)</f>
        <v>#N/A</v>
      </c>
      <c r="J5145" s="84">
        <f t="shared" si="164"/>
        <v>0</v>
      </c>
      <c r="K5145" s="84">
        <f t="shared" si="165"/>
        <v>0</v>
      </c>
      <c r="L5145" s="61" t="e">
        <f>VLOOKUP(K5145,[1]Mapping!$J$3:$Q$351,8,FALSE)</f>
        <v>#N/A</v>
      </c>
      <c r="M5145" t="s">
        <v>83</v>
      </c>
    </row>
    <row r="5146" spans="9:13" hidden="1" x14ac:dyDescent="0.35">
      <c r="I5146" s="83" t="e">
        <f>VLOOKUP(E5146,[1]Mapping!$A$3:$B$14,2,FALSE)</f>
        <v>#N/A</v>
      </c>
      <c r="J5146" s="84">
        <f t="shared" si="164"/>
        <v>0</v>
      </c>
      <c r="K5146" s="84">
        <f t="shared" si="165"/>
        <v>0</v>
      </c>
      <c r="L5146" s="61" t="e">
        <f>VLOOKUP(K5146,[1]Mapping!$J$3:$Q$351,8,FALSE)</f>
        <v>#N/A</v>
      </c>
      <c r="M5146" t="s">
        <v>83</v>
      </c>
    </row>
    <row r="5147" spans="9:13" hidden="1" x14ac:dyDescent="0.35">
      <c r="I5147" s="83" t="e">
        <f>VLOOKUP(E5147,[1]Mapping!$A$3:$B$14,2,FALSE)</f>
        <v>#N/A</v>
      </c>
      <c r="J5147" s="84">
        <f t="shared" si="164"/>
        <v>0</v>
      </c>
      <c r="K5147" s="84">
        <f t="shared" si="165"/>
        <v>0</v>
      </c>
      <c r="L5147" s="61" t="e">
        <f>VLOOKUP(K5147,[1]Mapping!$J$3:$Q$351,8,FALSE)</f>
        <v>#N/A</v>
      </c>
      <c r="M5147" t="s">
        <v>83</v>
      </c>
    </row>
    <row r="5148" spans="9:13" hidden="1" x14ac:dyDescent="0.35">
      <c r="I5148" s="83" t="e">
        <f>VLOOKUP(E5148,[1]Mapping!$A$3:$B$14,2,FALSE)</f>
        <v>#N/A</v>
      </c>
      <c r="J5148" s="84">
        <f t="shared" si="164"/>
        <v>0</v>
      </c>
      <c r="K5148" s="84">
        <f t="shared" si="165"/>
        <v>0</v>
      </c>
      <c r="L5148" s="61" t="e">
        <f>VLOOKUP(K5148,[1]Mapping!$J$3:$Q$351,8,FALSE)</f>
        <v>#N/A</v>
      </c>
      <c r="M5148" t="s">
        <v>83</v>
      </c>
    </row>
    <row r="5149" spans="9:13" hidden="1" x14ac:dyDescent="0.35">
      <c r="I5149" s="83" t="e">
        <f>VLOOKUP(E5149,[1]Mapping!$A$3:$B$14,2,FALSE)</f>
        <v>#N/A</v>
      </c>
      <c r="J5149" s="84">
        <f t="shared" si="164"/>
        <v>0</v>
      </c>
      <c r="K5149" s="84">
        <f t="shared" si="165"/>
        <v>0</v>
      </c>
      <c r="L5149" s="61" t="e">
        <f>VLOOKUP(K5149,[1]Mapping!$J$3:$Q$351,8,FALSE)</f>
        <v>#N/A</v>
      </c>
      <c r="M5149" t="s">
        <v>83</v>
      </c>
    </row>
    <row r="5150" spans="9:13" hidden="1" x14ac:dyDescent="0.35">
      <c r="I5150" s="83" t="e">
        <f>VLOOKUP(E5150,[1]Mapping!$A$3:$B$14,2,FALSE)</f>
        <v>#N/A</v>
      </c>
      <c r="J5150" s="84">
        <f t="shared" si="164"/>
        <v>0</v>
      </c>
      <c r="K5150" s="84">
        <f t="shared" si="165"/>
        <v>0</v>
      </c>
      <c r="L5150" s="61" t="e">
        <f>VLOOKUP(K5150,[1]Mapping!$J$3:$Q$351,8,FALSE)</f>
        <v>#N/A</v>
      </c>
      <c r="M5150" t="s">
        <v>83</v>
      </c>
    </row>
    <row r="5151" spans="9:13" hidden="1" x14ac:dyDescent="0.35">
      <c r="I5151" s="83" t="e">
        <f>VLOOKUP(E5151,[1]Mapping!$A$3:$B$14,2,FALSE)</f>
        <v>#N/A</v>
      </c>
      <c r="J5151" s="84">
        <f t="shared" si="164"/>
        <v>0</v>
      </c>
      <c r="K5151" s="84">
        <f t="shared" si="165"/>
        <v>0</v>
      </c>
      <c r="L5151" s="61" t="e">
        <f>VLOOKUP(K5151,[1]Mapping!$J$3:$Q$351,8,FALSE)</f>
        <v>#N/A</v>
      </c>
      <c r="M5151" t="s">
        <v>83</v>
      </c>
    </row>
    <row r="5152" spans="9:13" hidden="1" x14ac:dyDescent="0.35">
      <c r="I5152" s="83" t="e">
        <f>VLOOKUP(E5152,[1]Mapping!$A$3:$B$14,2,FALSE)</f>
        <v>#N/A</v>
      </c>
      <c r="J5152" s="84">
        <f t="shared" si="164"/>
        <v>0</v>
      </c>
      <c r="K5152" s="84">
        <f t="shared" si="165"/>
        <v>0</v>
      </c>
      <c r="L5152" s="61" t="e">
        <f>VLOOKUP(K5152,[1]Mapping!$J$3:$Q$351,8,FALSE)</f>
        <v>#N/A</v>
      </c>
      <c r="M5152" t="s">
        <v>83</v>
      </c>
    </row>
    <row r="5153" spans="9:13" hidden="1" x14ac:dyDescent="0.35">
      <c r="I5153" s="83" t="e">
        <f>VLOOKUP(E5153,[1]Mapping!$A$3:$B$14,2,FALSE)</f>
        <v>#N/A</v>
      </c>
      <c r="J5153" s="84">
        <f t="shared" si="164"/>
        <v>0</v>
      </c>
      <c r="K5153" s="84">
        <f t="shared" si="165"/>
        <v>0</v>
      </c>
      <c r="L5153" s="61" t="e">
        <f>VLOOKUP(K5153,[1]Mapping!$J$3:$Q$351,8,FALSE)</f>
        <v>#N/A</v>
      </c>
      <c r="M5153" t="s">
        <v>83</v>
      </c>
    </row>
    <row r="5154" spans="9:13" hidden="1" x14ac:dyDescent="0.35">
      <c r="I5154" s="83" t="e">
        <f>VLOOKUP(E5154,[1]Mapping!$A$3:$B$14,2,FALSE)</f>
        <v>#N/A</v>
      </c>
      <c r="J5154" s="84">
        <f t="shared" si="164"/>
        <v>0</v>
      </c>
      <c r="K5154" s="84">
        <f t="shared" si="165"/>
        <v>0</v>
      </c>
      <c r="L5154" s="61" t="e">
        <f>VLOOKUP(K5154,[1]Mapping!$J$3:$Q$351,8,FALSE)</f>
        <v>#N/A</v>
      </c>
      <c r="M5154" t="s">
        <v>83</v>
      </c>
    </row>
    <row r="5155" spans="9:13" hidden="1" x14ac:dyDescent="0.35">
      <c r="I5155" s="83" t="e">
        <f>VLOOKUP(E5155,[1]Mapping!$A$3:$B$14,2,FALSE)</f>
        <v>#N/A</v>
      </c>
      <c r="J5155" s="84">
        <f t="shared" si="164"/>
        <v>0</v>
      </c>
      <c r="K5155" s="84">
        <f t="shared" si="165"/>
        <v>0</v>
      </c>
      <c r="L5155" s="61" t="e">
        <f>VLOOKUP(K5155,[1]Mapping!$J$3:$Q$351,8,FALSE)</f>
        <v>#N/A</v>
      </c>
      <c r="M5155" t="s">
        <v>83</v>
      </c>
    </row>
    <row r="5156" spans="9:13" hidden="1" x14ac:dyDescent="0.35">
      <c r="I5156" s="83" t="e">
        <f>VLOOKUP(E5156,[1]Mapping!$A$3:$B$14,2,FALSE)</f>
        <v>#N/A</v>
      </c>
      <c r="J5156" s="84">
        <f t="shared" si="164"/>
        <v>0</v>
      </c>
      <c r="K5156" s="84">
        <f t="shared" si="165"/>
        <v>0</v>
      </c>
      <c r="L5156" s="61" t="e">
        <f>VLOOKUP(K5156,[1]Mapping!$J$3:$Q$351,8,FALSE)</f>
        <v>#N/A</v>
      </c>
      <c r="M5156" t="s">
        <v>83</v>
      </c>
    </row>
    <row r="5157" spans="9:13" hidden="1" x14ac:dyDescent="0.35">
      <c r="I5157" s="83" t="e">
        <f>VLOOKUP(E5157,[1]Mapping!$A$3:$B$14,2,FALSE)</f>
        <v>#N/A</v>
      </c>
      <c r="J5157" s="84">
        <f t="shared" si="164"/>
        <v>0</v>
      </c>
      <c r="K5157" s="84">
        <f t="shared" si="165"/>
        <v>0</v>
      </c>
      <c r="L5157" s="61" t="e">
        <f>VLOOKUP(K5157,[1]Mapping!$J$3:$Q$351,8,FALSE)</f>
        <v>#N/A</v>
      </c>
      <c r="M5157" t="s">
        <v>83</v>
      </c>
    </row>
    <row r="5158" spans="9:13" hidden="1" x14ac:dyDescent="0.35">
      <c r="I5158" s="83" t="e">
        <f>VLOOKUP(E5158,[1]Mapping!$A$3:$B$14,2,FALSE)</f>
        <v>#N/A</v>
      </c>
      <c r="J5158" s="84">
        <f t="shared" si="164"/>
        <v>0</v>
      </c>
      <c r="K5158" s="84">
        <f t="shared" si="165"/>
        <v>0</v>
      </c>
      <c r="L5158" s="61" t="e">
        <f>VLOOKUP(K5158,[1]Mapping!$J$3:$Q$351,8,FALSE)</f>
        <v>#N/A</v>
      </c>
      <c r="M5158" t="s">
        <v>83</v>
      </c>
    </row>
    <row r="5159" spans="9:13" hidden="1" x14ac:dyDescent="0.35">
      <c r="I5159" s="83" t="e">
        <f>VLOOKUP(E5159,[1]Mapping!$A$3:$B$14,2,FALSE)</f>
        <v>#N/A</v>
      </c>
      <c r="J5159" s="84">
        <f t="shared" si="164"/>
        <v>0</v>
      </c>
      <c r="K5159" s="84">
        <f t="shared" si="165"/>
        <v>0</v>
      </c>
      <c r="L5159" s="61" t="e">
        <f>VLOOKUP(K5159,[1]Mapping!$J$3:$Q$351,8,FALSE)</f>
        <v>#N/A</v>
      </c>
      <c r="M5159" t="s">
        <v>83</v>
      </c>
    </row>
    <row r="5160" spans="9:13" hidden="1" x14ac:dyDescent="0.35">
      <c r="I5160" s="83" t="e">
        <f>VLOOKUP(E5160,[1]Mapping!$A$3:$B$14,2,FALSE)</f>
        <v>#N/A</v>
      </c>
      <c r="J5160" s="84">
        <f t="shared" si="164"/>
        <v>0</v>
      </c>
      <c r="K5160" s="84">
        <f t="shared" si="165"/>
        <v>0</v>
      </c>
      <c r="L5160" s="61" t="e">
        <f>VLOOKUP(K5160,[1]Mapping!$J$3:$Q$351,8,FALSE)</f>
        <v>#N/A</v>
      </c>
      <c r="M5160" t="s">
        <v>83</v>
      </c>
    </row>
    <row r="5161" spans="9:13" hidden="1" x14ac:dyDescent="0.35">
      <c r="I5161" s="83" t="e">
        <f>VLOOKUP(E5161,[1]Mapping!$A$3:$B$14,2,FALSE)</f>
        <v>#N/A</v>
      </c>
      <c r="J5161" s="84">
        <f t="shared" si="164"/>
        <v>0</v>
      </c>
      <c r="K5161" s="84">
        <f t="shared" si="165"/>
        <v>0</v>
      </c>
      <c r="L5161" s="61" t="e">
        <f>VLOOKUP(K5161,[1]Mapping!$J$3:$Q$351,8,FALSE)</f>
        <v>#N/A</v>
      </c>
      <c r="M5161" t="s">
        <v>83</v>
      </c>
    </row>
    <row r="5162" spans="9:13" hidden="1" x14ac:dyDescent="0.35">
      <c r="I5162" s="83" t="e">
        <f>VLOOKUP(E5162,[1]Mapping!$A$3:$B$14,2,FALSE)</f>
        <v>#N/A</v>
      </c>
      <c r="J5162" s="84">
        <f t="shared" si="164"/>
        <v>0</v>
      </c>
      <c r="K5162" s="84">
        <f t="shared" si="165"/>
        <v>0</v>
      </c>
      <c r="L5162" s="61" t="e">
        <f>VLOOKUP(K5162,[1]Mapping!$J$3:$Q$351,8,FALSE)</f>
        <v>#N/A</v>
      </c>
      <c r="M5162" t="s">
        <v>83</v>
      </c>
    </row>
    <row r="5163" spans="9:13" hidden="1" x14ac:dyDescent="0.35">
      <c r="I5163" s="83" t="e">
        <f>VLOOKUP(E5163,[1]Mapping!$A$3:$B$14,2,FALSE)</f>
        <v>#N/A</v>
      </c>
      <c r="J5163" s="84">
        <f t="shared" si="164"/>
        <v>0</v>
      </c>
      <c r="K5163" s="84">
        <f t="shared" si="165"/>
        <v>0</v>
      </c>
      <c r="L5163" s="61" t="e">
        <f>VLOOKUP(K5163,[1]Mapping!$J$3:$Q$351,8,FALSE)</f>
        <v>#N/A</v>
      </c>
      <c r="M5163" t="s">
        <v>83</v>
      </c>
    </row>
    <row r="5164" spans="9:13" hidden="1" x14ac:dyDescent="0.35">
      <c r="I5164" s="83" t="e">
        <f>VLOOKUP(E5164,[1]Mapping!$A$3:$B$14,2,FALSE)</f>
        <v>#N/A</v>
      </c>
      <c r="J5164" s="84">
        <f t="shared" si="164"/>
        <v>0</v>
      </c>
      <c r="K5164" s="84">
        <f t="shared" si="165"/>
        <v>0</v>
      </c>
      <c r="L5164" s="61" t="e">
        <f>VLOOKUP(K5164,[1]Mapping!$J$3:$Q$351,8,FALSE)</f>
        <v>#N/A</v>
      </c>
      <c r="M5164" t="s">
        <v>83</v>
      </c>
    </row>
    <row r="5165" spans="9:13" hidden="1" x14ac:dyDescent="0.35">
      <c r="I5165" s="83" t="e">
        <f>VLOOKUP(E5165,[1]Mapping!$A$3:$B$14,2,FALSE)</f>
        <v>#N/A</v>
      </c>
      <c r="J5165" s="84">
        <f t="shared" si="164"/>
        <v>0</v>
      </c>
      <c r="K5165" s="84">
        <f t="shared" si="165"/>
        <v>0</v>
      </c>
      <c r="L5165" s="61" t="e">
        <f>VLOOKUP(K5165,[1]Mapping!$J$3:$Q$351,8,FALSE)</f>
        <v>#N/A</v>
      </c>
      <c r="M5165" t="s">
        <v>83</v>
      </c>
    </row>
    <row r="5166" spans="9:13" hidden="1" x14ac:dyDescent="0.35">
      <c r="I5166" s="83" t="e">
        <f>VLOOKUP(E5166,[1]Mapping!$A$3:$B$14,2,FALSE)</f>
        <v>#N/A</v>
      </c>
      <c r="J5166" s="84">
        <f t="shared" si="164"/>
        <v>0</v>
      </c>
      <c r="K5166" s="84">
        <f t="shared" si="165"/>
        <v>0</v>
      </c>
      <c r="L5166" s="61" t="e">
        <f>VLOOKUP(K5166,[1]Mapping!$J$3:$Q$351,8,FALSE)</f>
        <v>#N/A</v>
      </c>
      <c r="M5166" t="s">
        <v>83</v>
      </c>
    </row>
    <row r="5167" spans="9:13" hidden="1" x14ac:dyDescent="0.35">
      <c r="I5167" s="83" t="e">
        <f>VLOOKUP(E5167,[1]Mapping!$A$3:$B$14,2,FALSE)</f>
        <v>#N/A</v>
      </c>
      <c r="J5167" s="84">
        <f t="shared" si="164"/>
        <v>0</v>
      </c>
      <c r="K5167" s="84">
        <f t="shared" si="165"/>
        <v>0</v>
      </c>
      <c r="L5167" s="61" t="e">
        <f>VLOOKUP(K5167,[1]Mapping!$J$3:$Q$351,8,FALSE)</f>
        <v>#N/A</v>
      </c>
      <c r="M5167" t="s">
        <v>83</v>
      </c>
    </row>
    <row r="5168" spans="9:13" hidden="1" x14ac:dyDescent="0.35">
      <c r="I5168" s="83" t="e">
        <f>VLOOKUP(E5168,[1]Mapping!$A$3:$B$14,2,FALSE)</f>
        <v>#N/A</v>
      </c>
      <c r="J5168" s="84">
        <f t="shared" si="164"/>
        <v>0</v>
      </c>
      <c r="K5168" s="84">
        <f t="shared" si="165"/>
        <v>0</v>
      </c>
      <c r="L5168" s="61" t="e">
        <f>VLOOKUP(K5168,[1]Mapping!$J$3:$Q$351,8,FALSE)</f>
        <v>#N/A</v>
      </c>
      <c r="M5168" t="s">
        <v>83</v>
      </c>
    </row>
    <row r="5169" spans="9:13" hidden="1" x14ac:dyDescent="0.35">
      <c r="I5169" s="83" t="e">
        <f>VLOOKUP(E5169,[1]Mapping!$A$3:$B$14,2,FALSE)</f>
        <v>#N/A</v>
      </c>
      <c r="J5169" s="84">
        <f t="shared" si="164"/>
        <v>0</v>
      </c>
      <c r="K5169" s="84">
        <f t="shared" si="165"/>
        <v>0</v>
      </c>
      <c r="L5169" s="61" t="e">
        <f>VLOOKUP(K5169,[1]Mapping!$J$3:$Q$351,8,FALSE)</f>
        <v>#N/A</v>
      </c>
      <c r="M5169" t="s">
        <v>83</v>
      </c>
    </row>
    <row r="5170" spans="9:13" hidden="1" x14ac:dyDescent="0.35">
      <c r="I5170" s="83" t="e">
        <f>VLOOKUP(E5170,[1]Mapping!$A$3:$B$14,2,FALSE)</f>
        <v>#N/A</v>
      </c>
      <c r="J5170" s="84">
        <f t="shared" si="164"/>
        <v>0</v>
      </c>
      <c r="K5170" s="84">
        <f t="shared" si="165"/>
        <v>0</v>
      </c>
      <c r="L5170" s="61" t="e">
        <f>VLOOKUP(K5170,[1]Mapping!$J$3:$Q$351,8,FALSE)</f>
        <v>#N/A</v>
      </c>
      <c r="M5170" t="s">
        <v>83</v>
      </c>
    </row>
    <row r="5171" spans="9:13" hidden="1" x14ac:dyDescent="0.35">
      <c r="I5171" s="83" t="e">
        <f>VLOOKUP(E5171,[1]Mapping!$A$3:$B$14,2,FALSE)</f>
        <v>#N/A</v>
      </c>
      <c r="J5171" s="84">
        <f t="shared" si="164"/>
        <v>0</v>
      </c>
      <c r="K5171" s="84">
        <f t="shared" si="165"/>
        <v>0</v>
      </c>
      <c r="L5171" s="61" t="e">
        <f>VLOOKUP(K5171,[1]Mapping!$J$3:$Q$351,8,FALSE)</f>
        <v>#N/A</v>
      </c>
      <c r="M5171" t="s">
        <v>83</v>
      </c>
    </row>
    <row r="5172" spans="9:13" hidden="1" x14ac:dyDescent="0.35">
      <c r="I5172" s="83" t="e">
        <f>VLOOKUP(E5172,[1]Mapping!$A$3:$B$14,2,FALSE)</f>
        <v>#N/A</v>
      </c>
      <c r="J5172" s="84">
        <f t="shared" si="164"/>
        <v>0</v>
      </c>
      <c r="K5172" s="84">
        <f t="shared" si="165"/>
        <v>0</v>
      </c>
      <c r="L5172" s="61" t="e">
        <f>VLOOKUP(K5172,[1]Mapping!$J$3:$Q$351,8,FALSE)</f>
        <v>#N/A</v>
      </c>
      <c r="M5172" t="s">
        <v>83</v>
      </c>
    </row>
    <row r="5173" spans="9:13" hidden="1" x14ac:dyDescent="0.35">
      <c r="I5173" s="83" t="e">
        <f>VLOOKUP(E5173,[1]Mapping!$A$3:$B$14,2,FALSE)</f>
        <v>#N/A</v>
      </c>
      <c r="J5173" s="84">
        <f t="shared" si="164"/>
        <v>0</v>
      </c>
      <c r="K5173" s="84">
        <f t="shared" si="165"/>
        <v>0</v>
      </c>
      <c r="L5173" s="61" t="e">
        <f>VLOOKUP(K5173,[1]Mapping!$J$3:$Q$351,8,FALSE)</f>
        <v>#N/A</v>
      </c>
      <c r="M5173" t="s">
        <v>83</v>
      </c>
    </row>
    <row r="5174" spans="9:13" hidden="1" x14ac:dyDescent="0.35">
      <c r="I5174" s="83" t="e">
        <f>VLOOKUP(E5174,[1]Mapping!$A$3:$B$14,2,FALSE)</f>
        <v>#N/A</v>
      </c>
      <c r="J5174" s="84">
        <f t="shared" si="164"/>
        <v>0</v>
      </c>
      <c r="K5174" s="84">
        <f t="shared" si="165"/>
        <v>0</v>
      </c>
      <c r="L5174" s="61" t="e">
        <f>VLOOKUP(K5174,[1]Mapping!$J$3:$Q$351,8,FALSE)</f>
        <v>#N/A</v>
      </c>
      <c r="M5174" t="s">
        <v>83</v>
      </c>
    </row>
    <row r="5175" spans="9:13" hidden="1" x14ac:dyDescent="0.35">
      <c r="I5175" s="83" t="e">
        <f>VLOOKUP(E5175,[1]Mapping!$A$3:$B$14,2,FALSE)</f>
        <v>#N/A</v>
      </c>
      <c r="J5175" s="84">
        <f t="shared" si="164"/>
        <v>0</v>
      </c>
      <c r="K5175" s="84">
        <f t="shared" si="165"/>
        <v>0</v>
      </c>
      <c r="L5175" s="61" t="e">
        <f>VLOOKUP(K5175,[1]Mapping!$J$3:$Q$351,8,FALSE)</f>
        <v>#N/A</v>
      </c>
      <c r="M5175" t="s">
        <v>83</v>
      </c>
    </row>
    <row r="5176" spans="9:13" hidden="1" x14ac:dyDescent="0.35">
      <c r="I5176" s="83" t="e">
        <f>VLOOKUP(E5176,[1]Mapping!$A$3:$B$14,2,FALSE)</f>
        <v>#N/A</v>
      </c>
      <c r="J5176" s="84">
        <f t="shared" si="164"/>
        <v>0</v>
      </c>
      <c r="K5176" s="84">
        <f t="shared" si="165"/>
        <v>0</v>
      </c>
      <c r="L5176" s="61" t="e">
        <f>VLOOKUP(K5176,[1]Mapping!$J$3:$Q$351,8,FALSE)</f>
        <v>#N/A</v>
      </c>
      <c r="M5176" t="s">
        <v>83</v>
      </c>
    </row>
    <row r="5177" spans="9:13" hidden="1" x14ac:dyDescent="0.35">
      <c r="I5177" s="83" t="e">
        <f>VLOOKUP(E5177,[1]Mapping!$A$3:$B$14,2,FALSE)</f>
        <v>#N/A</v>
      </c>
      <c r="J5177" s="84">
        <f t="shared" si="164"/>
        <v>0</v>
      </c>
      <c r="K5177" s="84">
        <f t="shared" si="165"/>
        <v>0</v>
      </c>
      <c r="L5177" s="61" t="e">
        <f>VLOOKUP(K5177,[1]Mapping!$J$3:$Q$351,8,FALSE)</f>
        <v>#N/A</v>
      </c>
      <c r="M5177" t="s">
        <v>83</v>
      </c>
    </row>
    <row r="5178" spans="9:13" hidden="1" x14ac:dyDescent="0.35">
      <c r="I5178" s="83" t="e">
        <f>VLOOKUP(E5178,[1]Mapping!$A$3:$B$14,2,FALSE)</f>
        <v>#N/A</v>
      </c>
      <c r="J5178" s="84">
        <f t="shared" si="164"/>
        <v>0</v>
      </c>
      <c r="K5178" s="84">
        <f t="shared" si="165"/>
        <v>0</v>
      </c>
      <c r="L5178" s="61" t="e">
        <f>VLOOKUP(K5178,[1]Mapping!$J$3:$Q$351,8,FALSE)</f>
        <v>#N/A</v>
      </c>
      <c r="M5178" t="s">
        <v>83</v>
      </c>
    </row>
    <row r="5179" spans="9:13" hidden="1" x14ac:dyDescent="0.35">
      <c r="I5179" s="83" t="e">
        <f>VLOOKUP(E5179,[1]Mapping!$A$3:$B$14,2,FALSE)</f>
        <v>#N/A</v>
      </c>
      <c r="J5179" s="84">
        <f t="shared" si="164"/>
        <v>0</v>
      </c>
      <c r="K5179" s="84">
        <f t="shared" si="165"/>
        <v>0</v>
      </c>
      <c r="L5179" s="61" t="e">
        <f>VLOOKUP(K5179,[1]Mapping!$J$3:$Q$351,8,FALSE)</f>
        <v>#N/A</v>
      </c>
      <c r="M5179" t="s">
        <v>83</v>
      </c>
    </row>
    <row r="5180" spans="9:13" hidden="1" x14ac:dyDescent="0.35">
      <c r="I5180" s="83" t="e">
        <f>VLOOKUP(E5180,[1]Mapping!$A$3:$B$14,2,FALSE)</f>
        <v>#N/A</v>
      </c>
      <c r="J5180" s="84">
        <f t="shared" si="164"/>
        <v>0</v>
      </c>
      <c r="K5180" s="84">
        <f t="shared" si="165"/>
        <v>0</v>
      </c>
      <c r="L5180" s="61" t="e">
        <f>VLOOKUP(K5180,[1]Mapping!$J$3:$Q$351,8,FALSE)</f>
        <v>#N/A</v>
      </c>
      <c r="M5180" t="s">
        <v>83</v>
      </c>
    </row>
    <row r="5181" spans="9:13" hidden="1" x14ac:dyDescent="0.35">
      <c r="I5181" s="83" t="e">
        <f>VLOOKUP(E5181,[1]Mapping!$A$3:$B$14,2,FALSE)</f>
        <v>#N/A</v>
      </c>
      <c r="J5181" s="84">
        <f t="shared" si="164"/>
        <v>0</v>
      </c>
      <c r="K5181" s="84">
        <f t="shared" si="165"/>
        <v>0</v>
      </c>
      <c r="L5181" s="61" t="e">
        <f>VLOOKUP(K5181,[1]Mapping!$J$3:$Q$351,8,FALSE)</f>
        <v>#N/A</v>
      </c>
      <c r="M5181" t="s">
        <v>83</v>
      </c>
    </row>
    <row r="5182" spans="9:13" hidden="1" x14ac:dyDescent="0.35">
      <c r="I5182" s="83" t="e">
        <f>VLOOKUP(E5182,[1]Mapping!$A$3:$B$14,2,FALSE)</f>
        <v>#N/A</v>
      </c>
      <c r="J5182" s="84">
        <f t="shared" si="164"/>
        <v>0</v>
      </c>
      <c r="K5182" s="84">
        <f t="shared" si="165"/>
        <v>0</v>
      </c>
      <c r="L5182" s="61" t="e">
        <f>VLOOKUP(K5182,[1]Mapping!$J$3:$Q$351,8,FALSE)</f>
        <v>#N/A</v>
      </c>
      <c r="M5182" t="s">
        <v>83</v>
      </c>
    </row>
    <row r="5183" spans="9:13" hidden="1" x14ac:dyDescent="0.35">
      <c r="I5183" s="83" t="e">
        <f>VLOOKUP(E5183,[1]Mapping!$A$3:$B$14,2,FALSE)</f>
        <v>#N/A</v>
      </c>
      <c r="J5183" s="84">
        <f t="shared" si="164"/>
        <v>0</v>
      </c>
      <c r="K5183" s="84">
        <f t="shared" si="165"/>
        <v>0</v>
      </c>
      <c r="L5183" s="61" t="e">
        <f>VLOOKUP(K5183,[1]Mapping!$J$3:$Q$351,8,FALSE)</f>
        <v>#N/A</v>
      </c>
      <c r="M5183" t="s">
        <v>83</v>
      </c>
    </row>
    <row r="5184" spans="9:13" hidden="1" x14ac:dyDescent="0.35">
      <c r="I5184" s="83" t="e">
        <f>VLOOKUP(E5184,[1]Mapping!$A$3:$B$14,2,FALSE)</f>
        <v>#N/A</v>
      </c>
      <c r="J5184" s="84">
        <f t="shared" si="164"/>
        <v>0</v>
      </c>
      <c r="K5184" s="84">
        <f t="shared" si="165"/>
        <v>0</v>
      </c>
      <c r="L5184" s="61" t="e">
        <f>VLOOKUP(K5184,[1]Mapping!$J$3:$Q$351,8,FALSE)</f>
        <v>#N/A</v>
      </c>
      <c r="M5184" t="s">
        <v>83</v>
      </c>
    </row>
    <row r="5185" spans="9:13" hidden="1" x14ac:dyDescent="0.35">
      <c r="I5185" s="83" t="e">
        <f>VLOOKUP(E5185,[1]Mapping!$A$3:$B$14,2,FALSE)</f>
        <v>#N/A</v>
      </c>
      <c r="J5185" s="84">
        <f t="shared" si="164"/>
        <v>0</v>
      </c>
      <c r="K5185" s="84">
        <f t="shared" si="165"/>
        <v>0</v>
      </c>
      <c r="L5185" s="61" t="e">
        <f>VLOOKUP(K5185,[1]Mapping!$J$3:$Q$351,8,FALSE)</f>
        <v>#N/A</v>
      </c>
      <c r="M5185" t="s">
        <v>83</v>
      </c>
    </row>
    <row r="5186" spans="9:13" hidden="1" x14ac:dyDescent="0.35">
      <c r="I5186" s="83" t="e">
        <f>VLOOKUP(E5186,[1]Mapping!$A$3:$B$14,2,FALSE)</f>
        <v>#N/A</v>
      </c>
      <c r="J5186" s="84">
        <f t="shared" si="164"/>
        <v>0</v>
      </c>
      <c r="K5186" s="84">
        <f t="shared" si="165"/>
        <v>0</v>
      </c>
      <c r="L5186" s="61" t="e">
        <f>VLOOKUP(K5186,[1]Mapping!$J$3:$Q$351,8,FALSE)</f>
        <v>#N/A</v>
      </c>
      <c r="M5186" t="s">
        <v>83</v>
      </c>
    </row>
    <row r="5187" spans="9:13" hidden="1" x14ac:dyDescent="0.35">
      <c r="I5187" s="83" t="e">
        <f>VLOOKUP(E5187,[1]Mapping!$A$3:$B$14,2,FALSE)</f>
        <v>#N/A</v>
      </c>
      <c r="J5187" s="84">
        <f t="shared" si="164"/>
        <v>0</v>
      </c>
      <c r="K5187" s="84">
        <f t="shared" si="165"/>
        <v>0</v>
      </c>
      <c r="L5187" s="61" t="e">
        <f>VLOOKUP(K5187,[1]Mapping!$J$3:$Q$351,8,FALSE)</f>
        <v>#N/A</v>
      </c>
      <c r="M5187" t="s">
        <v>83</v>
      </c>
    </row>
    <row r="5188" spans="9:13" hidden="1" x14ac:dyDescent="0.35">
      <c r="I5188" s="83" t="e">
        <f>VLOOKUP(E5188,[1]Mapping!$A$3:$B$14,2,FALSE)</f>
        <v>#N/A</v>
      </c>
      <c r="J5188" s="84">
        <f t="shared" si="164"/>
        <v>0</v>
      </c>
      <c r="K5188" s="84">
        <f t="shared" si="165"/>
        <v>0</v>
      </c>
      <c r="L5188" s="61" t="e">
        <f>VLOOKUP(K5188,[1]Mapping!$J$3:$Q$351,8,FALSE)</f>
        <v>#N/A</v>
      </c>
      <c r="M5188" t="s">
        <v>83</v>
      </c>
    </row>
    <row r="5189" spans="9:13" hidden="1" x14ac:dyDescent="0.35">
      <c r="I5189" s="83" t="e">
        <f>VLOOKUP(E5189,[1]Mapping!$A$3:$B$14,2,FALSE)</f>
        <v>#N/A</v>
      </c>
      <c r="J5189" s="84">
        <f t="shared" si="164"/>
        <v>0</v>
      </c>
      <c r="K5189" s="84">
        <f t="shared" si="165"/>
        <v>0</v>
      </c>
      <c r="L5189" s="61" t="e">
        <f>VLOOKUP(K5189,[1]Mapping!$J$3:$Q$351,8,FALSE)</f>
        <v>#N/A</v>
      </c>
      <c r="M5189" t="s">
        <v>83</v>
      </c>
    </row>
    <row r="5190" spans="9:13" hidden="1" x14ac:dyDescent="0.35">
      <c r="I5190" s="83" t="e">
        <f>VLOOKUP(E5190,[1]Mapping!$A$3:$B$14,2,FALSE)</f>
        <v>#N/A</v>
      </c>
      <c r="J5190" s="84">
        <f t="shared" si="164"/>
        <v>0</v>
      </c>
      <c r="K5190" s="84">
        <f t="shared" si="165"/>
        <v>0</v>
      </c>
      <c r="L5190" s="61" t="e">
        <f>VLOOKUP(K5190,[1]Mapping!$J$3:$Q$351,8,FALSE)</f>
        <v>#N/A</v>
      </c>
      <c r="M5190" t="s">
        <v>83</v>
      </c>
    </row>
    <row r="5191" spans="9:13" hidden="1" x14ac:dyDescent="0.35">
      <c r="I5191" s="83" t="e">
        <f>VLOOKUP(E5191,[1]Mapping!$A$3:$B$14,2,FALSE)</f>
        <v>#N/A</v>
      </c>
      <c r="J5191" s="84">
        <f t="shared" si="164"/>
        <v>0</v>
      </c>
      <c r="K5191" s="84">
        <f t="shared" si="165"/>
        <v>0</v>
      </c>
      <c r="L5191" s="61" t="e">
        <f>VLOOKUP(K5191,[1]Mapping!$J$3:$Q$351,8,FALSE)</f>
        <v>#N/A</v>
      </c>
      <c r="M5191" t="s">
        <v>83</v>
      </c>
    </row>
    <row r="5192" spans="9:13" hidden="1" x14ac:dyDescent="0.35">
      <c r="I5192" s="83" t="e">
        <f>VLOOKUP(E5192,[1]Mapping!$A$3:$B$14,2,FALSE)</f>
        <v>#N/A</v>
      </c>
      <c r="J5192" s="84">
        <f t="shared" si="164"/>
        <v>0</v>
      </c>
      <c r="K5192" s="84">
        <f t="shared" si="165"/>
        <v>0</v>
      </c>
      <c r="L5192" s="61" t="e">
        <f>VLOOKUP(K5192,[1]Mapping!$J$3:$Q$351,8,FALSE)</f>
        <v>#N/A</v>
      </c>
      <c r="M5192" t="s">
        <v>83</v>
      </c>
    </row>
    <row r="5193" spans="9:13" hidden="1" x14ac:dyDescent="0.35">
      <c r="I5193" s="83" t="e">
        <f>VLOOKUP(E5193,[1]Mapping!$A$3:$B$14,2,FALSE)</f>
        <v>#N/A</v>
      </c>
      <c r="J5193" s="84">
        <f t="shared" si="164"/>
        <v>0</v>
      </c>
      <c r="K5193" s="84">
        <f t="shared" si="165"/>
        <v>0</v>
      </c>
      <c r="L5193" s="61" t="e">
        <f>VLOOKUP(K5193,[1]Mapping!$J$3:$Q$351,8,FALSE)</f>
        <v>#N/A</v>
      </c>
      <c r="M5193" t="s">
        <v>83</v>
      </c>
    </row>
    <row r="5194" spans="9:13" hidden="1" x14ac:dyDescent="0.35">
      <c r="I5194" s="83" t="e">
        <f>VLOOKUP(E5194,[1]Mapping!$A$3:$B$14,2,FALSE)</f>
        <v>#N/A</v>
      </c>
      <c r="J5194" s="84">
        <f t="shared" si="164"/>
        <v>0</v>
      </c>
      <c r="K5194" s="84">
        <f t="shared" si="165"/>
        <v>0</v>
      </c>
      <c r="L5194" s="61" t="e">
        <f>VLOOKUP(K5194,[1]Mapping!$J$3:$Q$351,8,FALSE)</f>
        <v>#N/A</v>
      </c>
      <c r="M5194" t="s">
        <v>83</v>
      </c>
    </row>
    <row r="5195" spans="9:13" hidden="1" x14ac:dyDescent="0.35">
      <c r="I5195" s="83" t="e">
        <f>VLOOKUP(E5195,[1]Mapping!$A$3:$B$14,2,FALSE)</f>
        <v>#N/A</v>
      </c>
      <c r="J5195" s="84">
        <f t="shared" si="164"/>
        <v>0</v>
      </c>
      <c r="K5195" s="84">
        <f t="shared" si="165"/>
        <v>0</v>
      </c>
      <c r="L5195" s="61" t="e">
        <f>VLOOKUP(K5195,[1]Mapping!$J$3:$Q$351,8,FALSE)</f>
        <v>#N/A</v>
      </c>
      <c r="M5195" t="s">
        <v>83</v>
      </c>
    </row>
    <row r="5196" spans="9:13" hidden="1" x14ac:dyDescent="0.35">
      <c r="I5196" s="83" t="e">
        <f>VLOOKUP(E5196,[1]Mapping!$A$3:$B$14,2,FALSE)</f>
        <v>#N/A</v>
      </c>
      <c r="J5196" s="84">
        <f t="shared" si="164"/>
        <v>0</v>
      </c>
      <c r="K5196" s="84">
        <f t="shared" si="165"/>
        <v>0</v>
      </c>
      <c r="L5196" s="61" t="e">
        <f>VLOOKUP(K5196,[1]Mapping!$J$3:$Q$351,8,FALSE)</f>
        <v>#N/A</v>
      </c>
      <c r="M5196" t="s">
        <v>83</v>
      </c>
    </row>
    <row r="5197" spans="9:13" hidden="1" x14ac:dyDescent="0.35">
      <c r="I5197" s="83" t="e">
        <f>VLOOKUP(E5197,[1]Mapping!$A$3:$B$14,2,FALSE)</f>
        <v>#N/A</v>
      </c>
      <c r="J5197" s="84">
        <f t="shared" si="164"/>
        <v>0</v>
      </c>
      <c r="K5197" s="84">
        <f t="shared" si="165"/>
        <v>0</v>
      </c>
      <c r="L5197" s="61" t="e">
        <f>VLOOKUP(K5197,[1]Mapping!$J$3:$Q$351,8,FALSE)</f>
        <v>#N/A</v>
      </c>
      <c r="M5197" t="s">
        <v>83</v>
      </c>
    </row>
    <row r="5198" spans="9:13" hidden="1" x14ac:dyDescent="0.35">
      <c r="I5198" s="83" t="e">
        <f>VLOOKUP(E5198,[1]Mapping!$A$3:$B$14,2,FALSE)</f>
        <v>#N/A</v>
      </c>
      <c r="J5198" s="84">
        <f t="shared" si="164"/>
        <v>0</v>
      </c>
      <c r="K5198" s="84">
        <f t="shared" si="165"/>
        <v>0</v>
      </c>
      <c r="L5198" s="61" t="e">
        <f>VLOOKUP(K5198,[1]Mapping!$J$3:$Q$351,8,FALSE)</f>
        <v>#N/A</v>
      </c>
      <c r="M5198" t="s">
        <v>83</v>
      </c>
    </row>
    <row r="5199" spans="9:13" hidden="1" x14ac:dyDescent="0.35">
      <c r="I5199" s="83" t="e">
        <f>VLOOKUP(E5199,[1]Mapping!$A$3:$B$14,2,FALSE)</f>
        <v>#N/A</v>
      </c>
      <c r="J5199" s="84">
        <f t="shared" si="164"/>
        <v>0</v>
      </c>
      <c r="K5199" s="84">
        <f t="shared" si="165"/>
        <v>0</v>
      </c>
      <c r="L5199" s="61" t="e">
        <f>VLOOKUP(K5199,[1]Mapping!$J$3:$Q$351,8,FALSE)</f>
        <v>#N/A</v>
      </c>
      <c r="M5199" t="s">
        <v>83</v>
      </c>
    </row>
    <row r="5200" spans="9:13" hidden="1" x14ac:dyDescent="0.35">
      <c r="I5200" s="83" t="e">
        <f>VLOOKUP(E5200,[1]Mapping!$A$3:$B$14,2,FALSE)</f>
        <v>#N/A</v>
      </c>
      <c r="J5200" s="84">
        <f t="shared" ref="J5200:J5263" si="166">VALUE(A5200)</f>
        <v>0</v>
      </c>
      <c r="K5200" s="84">
        <f t="shared" ref="K5200:K5263" si="167">VALUE(C5200)</f>
        <v>0</v>
      </c>
      <c r="L5200" s="61" t="e">
        <f>VLOOKUP(K5200,[1]Mapping!$J$3:$Q$351,8,FALSE)</f>
        <v>#N/A</v>
      </c>
      <c r="M5200" t="s">
        <v>83</v>
      </c>
    </row>
    <row r="5201" spans="9:13" hidden="1" x14ac:dyDescent="0.35">
      <c r="I5201" s="83" t="e">
        <f>VLOOKUP(E5201,[1]Mapping!$A$3:$B$14,2,FALSE)</f>
        <v>#N/A</v>
      </c>
      <c r="J5201" s="84">
        <f t="shared" si="166"/>
        <v>0</v>
      </c>
      <c r="K5201" s="84">
        <f t="shared" si="167"/>
        <v>0</v>
      </c>
      <c r="L5201" s="61" t="e">
        <f>VLOOKUP(K5201,[1]Mapping!$J$3:$Q$351,8,FALSE)</f>
        <v>#N/A</v>
      </c>
      <c r="M5201" t="s">
        <v>83</v>
      </c>
    </row>
    <row r="5202" spans="9:13" hidden="1" x14ac:dyDescent="0.35">
      <c r="I5202" s="83" t="e">
        <f>VLOOKUP(E5202,[1]Mapping!$A$3:$B$14,2,FALSE)</f>
        <v>#N/A</v>
      </c>
      <c r="J5202" s="84">
        <f t="shared" si="166"/>
        <v>0</v>
      </c>
      <c r="K5202" s="84">
        <f t="shared" si="167"/>
        <v>0</v>
      </c>
      <c r="L5202" s="61" t="e">
        <f>VLOOKUP(K5202,[1]Mapping!$J$3:$Q$351,8,FALSE)</f>
        <v>#N/A</v>
      </c>
      <c r="M5202" t="s">
        <v>83</v>
      </c>
    </row>
    <row r="5203" spans="9:13" hidden="1" x14ac:dyDescent="0.35">
      <c r="I5203" s="83" t="e">
        <f>VLOOKUP(E5203,[1]Mapping!$A$3:$B$14,2,FALSE)</f>
        <v>#N/A</v>
      </c>
      <c r="J5203" s="84">
        <f t="shared" si="166"/>
        <v>0</v>
      </c>
      <c r="K5203" s="84">
        <f t="shared" si="167"/>
        <v>0</v>
      </c>
      <c r="L5203" s="61" t="e">
        <f>VLOOKUP(K5203,[1]Mapping!$J$3:$Q$351,8,FALSE)</f>
        <v>#N/A</v>
      </c>
      <c r="M5203" t="s">
        <v>83</v>
      </c>
    </row>
    <row r="5204" spans="9:13" hidden="1" x14ac:dyDescent="0.35">
      <c r="I5204" s="83" t="e">
        <f>VLOOKUP(E5204,[1]Mapping!$A$3:$B$14,2,FALSE)</f>
        <v>#N/A</v>
      </c>
      <c r="J5204" s="84">
        <f t="shared" si="166"/>
        <v>0</v>
      </c>
      <c r="K5204" s="84">
        <f t="shared" si="167"/>
        <v>0</v>
      </c>
      <c r="L5204" s="61" t="e">
        <f>VLOOKUP(K5204,[1]Mapping!$J$3:$Q$351,8,FALSE)</f>
        <v>#N/A</v>
      </c>
      <c r="M5204" t="s">
        <v>83</v>
      </c>
    </row>
    <row r="5205" spans="9:13" hidden="1" x14ac:dyDescent="0.35">
      <c r="I5205" s="83" t="e">
        <f>VLOOKUP(E5205,[1]Mapping!$A$3:$B$14,2,FALSE)</f>
        <v>#N/A</v>
      </c>
      <c r="J5205" s="84">
        <f t="shared" si="166"/>
        <v>0</v>
      </c>
      <c r="K5205" s="84">
        <f t="shared" si="167"/>
        <v>0</v>
      </c>
      <c r="L5205" s="61" t="e">
        <f>VLOOKUP(K5205,[1]Mapping!$J$3:$Q$351,8,FALSE)</f>
        <v>#N/A</v>
      </c>
      <c r="M5205" t="s">
        <v>83</v>
      </c>
    </row>
    <row r="5206" spans="9:13" hidden="1" x14ac:dyDescent="0.35">
      <c r="I5206" s="83" t="e">
        <f>VLOOKUP(E5206,[1]Mapping!$A$3:$B$14,2,FALSE)</f>
        <v>#N/A</v>
      </c>
      <c r="J5206" s="84">
        <f t="shared" si="166"/>
        <v>0</v>
      </c>
      <c r="K5206" s="84">
        <f t="shared" si="167"/>
        <v>0</v>
      </c>
      <c r="L5206" s="61" t="e">
        <f>VLOOKUP(K5206,[1]Mapping!$J$3:$Q$351,8,FALSE)</f>
        <v>#N/A</v>
      </c>
      <c r="M5206" t="s">
        <v>83</v>
      </c>
    </row>
    <row r="5207" spans="9:13" hidden="1" x14ac:dyDescent="0.35">
      <c r="I5207" s="83" t="e">
        <f>VLOOKUP(E5207,[1]Mapping!$A$3:$B$14,2,FALSE)</f>
        <v>#N/A</v>
      </c>
      <c r="J5207" s="84">
        <f t="shared" si="166"/>
        <v>0</v>
      </c>
      <c r="K5207" s="84">
        <f t="shared" si="167"/>
        <v>0</v>
      </c>
      <c r="L5207" s="61" t="e">
        <f>VLOOKUP(K5207,[1]Mapping!$J$3:$Q$351,8,FALSE)</f>
        <v>#N/A</v>
      </c>
      <c r="M5207" t="s">
        <v>83</v>
      </c>
    </row>
    <row r="5208" spans="9:13" hidden="1" x14ac:dyDescent="0.35">
      <c r="I5208" s="83" t="e">
        <f>VLOOKUP(E5208,[1]Mapping!$A$3:$B$14,2,FALSE)</f>
        <v>#N/A</v>
      </c>
      <c r="J5208" s="84">
        <f t="shared" si="166"/>
        <v>0</v>
      </c>
      <c r="K5208" s="84">
        <f t="shared" si="167"/>
        <v>0</v>
      </c>
      <c r="L5208" s="61" t="e">
        <f>VLOOKUP(K5208,[1]Mapping!$J$3:$Q$351,8,FALSE)</f>
        <v>#N/A</v>
      </c>
      <c r="M5208" t="s">
        <v>83</v>
      </c>
    </row>
    <row r="5209" spans="9:13" hidden="1" x14ac:dyDescent="0.35">
      <c r="I5209" s="83" t="e">
        <f>VLOOKUP(E5209,[1]Mapping!$A$3:$B$14,2,FALSE)</f>
        <v>#N/A</v>
      </c>
      <c r="J5209" s="84">
        <f t="shared" si="166"/>
        <v>0</v>
      </c>
      <c r="K5209" s="84">
        <f t="shared" si="167"/>
        <v>0</v>
      </c>
      <c r="L5209" s="61" t="e">
        <f>VLOOKUP(K5209,[1]Mapping!$J$3:$Q$351,8,FALSE)</f>
        <v>#N/A</v>
      </c>
      <c r="M5209" t="s">
        <v>83</v>
      </c>
    </row>
    <row r="5210" spans="9:13" hidden="1" x14ac:dyDescent="0.35">
      <c r="I5210" s="83" t="e">
        <f>VLOOKUP(E5210,[1]Mapping!$A$3:$B$14,2,FALSE)</f>
        <v>#N/A</v>
      </c>
      <c r="J5210" s="84">
        <f t="shared" si="166"/>
        <v>0</v>
      </c>
      <c r="K5210" s="84">
        <f t="shared" si="167"/>
        <v>0</v>
      </c>
      <c r="L5210" s="61" t="e">
        <f>VLOOKUP(K5210,[1]Mapping!$J$3:$Q$351,8,FALSE)</f>
        <v>#N/A</v>
      </c>
      <c r="M5210" t="s">
        <v>83</v>
      </c>
    </row>
    <row r="5211" spans="9:13" hidden="1" x14ac:dyDescent="0.35">
      <c r="I5211" s="83" t="e">
        <f>VLOOKUP(E5211,[1]Mapping!$A$3:$B$14,2,FALSE)</f>
        <v>#N/A</v>
      </c>
      <c r="J5211" s="84">
        <f t="shared" si="166"/>
        <v>0</v>
      </c>
      <c r="K5211" s="84">
        <f t="shared" si="167"/>
        <v>0</v>
      </c>
      <c r="L5211" s="61" t="e">
        <f>VLOOKUP(K5211,[1]Mapping!$J$3:$Q$351,8,FALSE)</f>
        <v>#N/A</v>
      </c>
      <c r="M5211" t="s">
        <v>83</v>
      </c>
    </row>
    <row r="5212" spans="9:13" hidden="1" x14ac:dyDescent="0.35">
      <c r="I5212" s="83" t="e">
        <f>VLOOKUP(E5212,[1]Mapping!$A$3:$B$14,2,FALSE)</f>
        <v>#N/A</v>
      </c>
      <c r="J5212" s="84">
        <f t="shared" si="166"/>
        <v>0</v>
      </c>
      <c r="K5212" s="84">
        <f t="shared" si="167"/>
        <v>0</v>
      </c>
      <c r="L5212" s="61" t="e">
        <f>VLOOKUP(K5212,[1]Mapping!$J$3:$Q$351,8,FALSE)</f>
        <v>#N/A</v>
      </c>
      <c r="M5212" t="s">
        <v>83</v>
      </c>
    </row>
    <row r="5213" spans="9:13" hidden="1" x14ac:dyDescent="0.35">
      <c r="I5213" s="83" t="e">
        <f>VLOOKUP(E5213,[1]Mapping!$A$3:$B$14,2,FALSE)</f>
        <v>#N/A</v>
      </c>
      <c r="J5213" s="84">
        <f t="shared" si="166"/>
        <v>0</v>
      </c>
      <c r="K5213" s="84">
        <f t="shared" si="167"/>
        <v>0</v>
      </c>
      <c r="L5213" s="61" t="e">
        <f>VLOOKUP(K5213,[1]Mapping!$J$3:$Q$351,8,FALSE)</f>
        <v>#N/A</v>
      </c>
      <c r="M5213" t="s">
        <v>83</v>
      </c>
    </row>
    <row r="5214" spans="9:13" hidden="1" x14ac:dyDescent="0.35">
      <c r="I5214" s="83" t="e">
        <f>VLOOKUP(E5214,[1]Mapping!$A$3:$B$14,2,FALSE)</f>
        <v>#N/A</v>
      </c>
      <c r="J5214" s="84">
        <f t="shared" si="166"/>
        <v>0</v>
      </c>
      <c r="K5214" s="84">
        <f t="shared" si="167"/>
        <v>0</v>
      </c>
      <c r="L5214" s="61" t="e">
        <f>VLOOKUP(K5214,[1]Mapping!$J$3:$Q$351,8,FALSE)</f>
        <v>#N/A</v>
      </c>
      <c r="M5214" t="s">
        <v>83</v>
      </c>
    </row>
    <row r="5215" spans="9:13" hidden="1" x14ac:dyDescent="0.35">
      <c r="I5215" s="83" t="e">
        <f>VLOOKUP(E5215,[1]Mapping!$A$3:$B$14,2,FALSE)</f>
        <v>#N/A</v>
      </c>
      <c r="J5215" s="84">
        <f t="shared" si="166"/>
        <v>0</v>
      </c>
      <c r="K5215" s="84">
        <f t="shared" si="167"/>
        <v>0</v>
      </c>
      <c r="L5215" s="61" t="e">
        <f>VLOOKUP(K5215,[1]Mapping!$J$3:$Q$351,8,FALSE)</f>
        <v>#N/A</v>
      </c>
      <c r="M5215" t="s">
        <v>83</v>
      </c>
    </row>
    <row r="5216" spans="9:13" hidden="1" x14ac:dyDescent="0.35">
      <c r="I5216" s="83" t="e">
        <f>VLOOKUP(E5216,[1]Mapping!$A$3:$B$14,2,FALSE)</f>
        <v>#N/A</v>
      </c>
      <c r="J5216" s="84">
        <f t="shared" si="166"/>
        <v>0</v>
      </c>
      <c r="K5216" s="84">
        <f t="shared" si="167"/>
        <v>0</v>
      </c>
      <c r="L5216" s="61" t="e">
        <f>VLOOKUP(K5216,[1]Mapping!$J$3:$Q$351,8,FALSE)</f>
        <v>#N/A</v>
      </c>
      <c r="M5216" t="s">
        <v>83</v>
      </c>
    </row>
    <row r="5217" spans="9:13" hidden="1" x14ac:dyDescent="0.35">
      <c r="I5217" s="83" t="e">
        <f>VLOOKUP(E5217,[1]Mapping!$A$3:$B$14,2,FALSE)</f>
        <v>#N/A</v>
      </c>
      <c r="J5217" s="84">
        <f t="shared" si="166"/>
        <v>0</v>
      </c>
      <c r="K5217" s="84">
        <f t="shared" si="167"/>
        <v>0</v>
      </c>
      <c r="L5217" s="61" t="e">
        <f>VLOOKUP(K5217,[1]Mapping!$J$3:$Q$351,8,FALSE)</f>
        <v>#N/A</v>
      </c>
      <c r="M5217" t="s">
        <v>83</v>
      </c>
    </row>
    <row r="5218" spans="9:13" hidden="1" x14ac:dyDescent="0.35">
      <c r="I5218" s="83" t="e">
        <f>VLOOKUP(E5218,[1]Mapping!$A$3:$B$14,2,FALSE)</f>
        <v>#N/A</v>
      </c>
      <c r="J5218" s="84">
        <f t="shared" si="166"/>
        <v>0</v>
      </c>
      <c r="K5218" s="84">
        <f t="shared" si="167"/>
        <v>0</v>
      </c>
      <c r="L5218" s="61" t="e">
        <f>VLOOKUP(K5218,[1]Mapping!$J$3:$Q$351,8,FALSE)</f>
        <v>#N/A</v>
      </c>
      <c r="M5218" t="s">
        <v>83</v>
      </c>
    </row>
    <row r="5219" spans="9:13" hidden="1" x14ac:dyDescent="0.35">
      <c r="I5219" s="83" t="e">
        <f>VLOOKUP(E5219,[1]Mapping!$A$3:$B$14,2,FALSE)</f>
        <v>#N/A</v>
      </c>
      <c r="J5219" s="84">
        <f t="shared" si="166"/>
        <v>0</v>
      </c>
      <c r="K5219" s="84">
        <f t="shared" si="167"/>
        <v>0</v>
      </c>
      <c r="L5219" s="61" t="e">
        <f>VLOOKUP(K5219,[1]Mapping!$J$3:$Q$351,8,FALSE)</f>
        <v>#N/A</v>
      </c>
      <c r="M5219" t="s">
        <v>83</v>
      </c>
    </row>
    <row r="5220" spans="9:13" hidden="1" x14ac:dyDescent="0.35">
      <c r="I5220" s="83" t="e">
        <f>VLOOKUP(E5220,[1]Mapping!$A$3:$B$14,2,FALSE)</f>
        <v>#N/A</v>
      </c>
      <c r="J5220" s="84">
        <f t="shared" si="166"/>
        <v>0</v>
      </c>
      <c r="K5220" s="84">
        <f t="shared" si="167"/>
        <v>0</v>
      </c>
      <c r="L5220" s="61" t="e">
        <f>VLOOKUP(K5220,[1]Mapping!$J$3:$Q$351,8,FALSE)</f>
        <v>#N/A</v>
      </c>
      <c r="M5220" t="s">
        <v>83</v>
      </c>
    </row>
    <row r="5221" spans="9:13" hidden="1" x14ac:dyDescent="0.35">
      <c r="I5221" s="83" t="e">
        <f>VLOOKUP(E5221,[1]Mapping!$A$3:$B$14,2,FALSE)</f>
        <v>#N/A</v>
      </c>
      <c r="J5221" s="84">
        <f t="shared" si="166"/>
        <v>0</v>
      </c>
      <c r="K5221" s="84">
        <f t="shared" si="167"/>
        <v>0</v>
      </c>
      <c r="L5221" s="61" t="e">
        <f>VLOOKUP(K5221,[1]Mapping!$J$3:$Q$351,8,FALSE)</f>
        <v>#N/A</v>
      </c>
      <c r="M5221" t="s">
        <v>83</v>
      </c>
    </row>
    <row r="5222" spans="9:13" hidden="1" x14ac:dyDescent="0.35">
      <c r="I5222" s="83" t="e">
        <f>VLOOKUP(E5222,[1]Mapping!$A$3:$B$14,2,FALSE)</f>
        <v>#N/A</v>
      </c>
      <c r="J5222" s="84">
        <f t="shared" si="166"/>
        <v>0</v>
      </c>
      <c r="K5222" s="84">
        <f t="shared" si="167"/>
        <v>0</v>
      </c>
      <c r="L5222" s="61" t="e">
        <f>VLOOKUP(K5222,[1]Mapping!$J$3:$Q$351,8,FALSE)</f>
        <v>#N/A</v>
      </c>
      <c r="M5222" t="s">
        <v>83</v>
      </c>
    </row>
    <row r="5223" spans="9:13" hidden="1" x14ac:dyDescent="0.35">
      <c r="I5223" s="83" t="e">
        <f>VLOOKUP(E5223,[1]Mapping!$A$3:$B$14,2,FALSE)</f>
        <v>#N/A</v>
      </c>
      <c r="J5223" s="84">
        <f t="shared" si="166"/>
        <v>0</v>
      </c>
      <c r="K5223" s="84">
        <f t="shared" si="167"/>
        <v>0</v>
      </c>
      <c r="L5223" s="61" t="e">
        <f>VLOOKUP(K5223,[1]Mapping!$J$3:$Q$351,8,FALSE)</f>
        <v>#N/A</v>
      </c>
      <c r="M5223" t="s">
        <v>83</v>
      </c>
    </row>
    <row r="5224" spans="9:13" hidden="1" x14ac:dyDescent="0.35">
      <c r="I5224" s="83" t="e">
        <f>VLOOKUP(E5224,[1]Mapping!$A$3:$B$14,2,FALSE)</f>
        <v>#N/A</v>
      </c>
      <c r="J5224" s="84">
        <f t="shared" si="166"/>
        <v>0</v>
      </c>
      <c r="K5224" s="84">
        <f t="shared" si="167"/>
        <v>0</v>
      </c>
      <c r="L5224" s="61" t="e">
        <f>VLOOKUP(K5224,[1]Mapping!$J$3:$Q$351,8,FALSE)</f>
        <v>#N/A</v>
      </c>
      <c r="M5224" t="s">
        <v>83</v>
      </c>
    </row>
    <row r="5225" spans="9:13" hidden="1" x14ac:dyDescent="0.35">
      <c r="I5225" s="83" t="e">
        <f>VLOOKUP(E5225,[1]Mapping!$A$3:$B$14,2,FALSE)</f>
        <v>#N/A</v>
      </c>
      <c r="J5225" s="84">
        <f t="shared" si="166"/>
        <v>0</v>
      </c>
      <c r="K5225" s="84">
        <f t="shared" si="167"/>
        <v>0</v>
      </c>
      <c r="L5225" s="61" t="e">
        <f>VLOOKUP(K5225,[1]Mapping!$J$3:$Q$351,8,FALSE)</f>
        <v>#N/A</v>
      </c>
      <c r="M5225" t="s">
        <v>83</v>
      </c>
    </row>
    <row r="5226" spans="9:13" hidden="1" x14ac:dyDescent="0.35">
      <c r="I5226" s="83" t="e">
        <f>VLOOKUP(E5226,[1]Mapping!$A$3:$B$14,2,FALSE)</f>
        <v>#N/A</v>
      </c>
      <c r="J5226" s="84">
        <f t="shared" si="166"/>
        <v>0</v>
      </c>
      <c r="K5226" s="84">
        <f t="shared" si="167"/>
        <v>0</v>
      </c>
      <c r="L5226" s="61" t="e">
        <f>VLOOKUP(K5226,[1]Mapping!$J$3:$Q$351,8,FALSE)</f>
        <v>#N/A</v>
      </c>
      <c r="M5226" t="s">
        <v>83</v>
      </c>
    </row>
    <row r="5227" spans="9:13" hidden="1" x14ac:dyDescent="0.35">
      <c r="I5227" s="83" t="e">
        <f>VLOOKUP(E5227,[1]Mapping!$A$3:$B$14,2,FALSE)</f>
        <v>#N/A</v>
      </c>
      <c r="J5227" s="84">
        <f t="shared" si="166"/>
        <v>0</v>
      </c>
      <c r="K5227" s="84">
        <f t="shared" si="167"/>
        <v>0</v>
      </c>
      <c r="L5227" s="61" t="e">
        <f>VLOOKUP(K5227,[1]Mapping!$J$3:$Q$351,8,FALSE)</f>
        <v>#N/A</v>
      </c>
      <c r="M5227" t="s">
        <v>83</v>
      </c>
    </row>
    <row r="5228" spans="9:13" hidden="1" x14ac:dyDescent="0.35">
      <c r="I5228" s="83" t="e">
        <f>VLOOKUP(E5228,[1]Mapping!$A$3:$B$14,2,FALSE)</f>
        <v>#N/A</v>
      </c>
      <c r="J5228" s="84">
        <f t="shared" si="166"/>
        <v>0</v>
      </c>
      <c r="K5228" s="84">
        <f t="shared" si="167"/>
        <v>0</v>
      </c>
      <c r="L5228" s="61" t="e">
        <f>VLOOKUP(K5228,[1]Mapping!$J$3:$Q$351,8,FALSE)</f>
        <v>#N/A</v>
      </c>
      <c r="M5228" t="s">
        <v>83</v>
      </c>
    </row>
    <row r="5229" spans="9:13" hidden="1" x14ac:dyDescent="0.35">
      <c r="I5229" s="83" t="e">
        <f>VLOOKUP(E5229,[1]Mapping!$A$3:$B$14,2,FALSE)</f>
        <v>#N/A</v>
      </c>
      <c r="J5229" s="84">
        <f t="shared" si="166"/>
        <v>0</v>
      </c>
      <c r="K5229" s="84">
        <f t="shared" si="167"/>
        <v>0</v>
      </c>
      <c r="L5229" s="61" t="e">
        <f>VLOOKUP(K5229,[1]Mapping!$J$3:$Q$351,8,FALSE)</f>
        <v>#N/A</v>
      </c>
      <c r="M5229" t="s">
        <v>83</v>
      </c>
    </row>
    <row r="5230" spans="9:13" hidden="1" x14ac:dyDescent="0.35">
      <c r="I5230" s="83" t="e">
        <f>VLOOKUP(E5230,[1]Mapping!$A$3:$B$14,2,FALSE)</f>
        <v>#N/A</v>
      </c>
      <c r="J5230" s="84">
        <f t="shared" si="166"/>
        <v>0</v>
      </c>
      <c r="K5230" s="84">
        <f t="shared" si="167"/>
        <v>0</v>
      </c>
      <c r="L5230" s="61" t="e">
        <f>VLOOKUP(K5230,[1]Mapping!$J$3:$Q$351,8,FALSE)</f>
        <v>#N/A</v>
      </c>
      <c r="M5230" t="s">
        <v>83</v>
      </c>
    </row>
    <row r="5231" spans="9:13" hidden="1" x14ac:dyDescent="0.35">
      <c r="I5231" s="83" t="e">
        <f>VLOOKUP(E5231,[1]Mapping!$A$3:$B$14,2,FALSE)</f>
        <v>#N/A</v>
      </c>
      <c r="J5231" s="84">
        <f t="shared" si="166"/>
        <v>0</v>
      </c>
      <c r="K5231" s="84">
        <f t="shared" si="167"/>
        <v>0</v>
      </c>
      <c r="L5231" s="61" t="e">
        <f>VLOOKUP(K5231,[1]Mapping!$J$3:$Q$351,8,FALSE)</f>
        <v>#N/A</v>
      </c>
      <c r="M5231" t="s">
        <v>83</v>
      </c>
    </row>
    <row r="5232" spans="9:13" hidden="1" x14ac:dyDescent="0.35">
      <c r="I5232" s="83" t="e">
        <f>VLOOKUP(E5232,[1]Mapping!$A$3:$B$14,2,FALSE)</f>
        <v>#N/A</v>
      </c>
      <c r="J5232" s="84">
        <f t="shared" si="166"/>
        <v>0</v>
      </c>
      <c r="K5232" s="84">
        <f t="shared" si="167"/>
        <v>0</v>
      </c>
      <c r="L5232" s="61" t="e">
        <f>VLOOKUP(K5232,[1]Mapping!$J$3:$Q$351,8,FALSE)</f>
        <v>#N/A</v>
      </c>
      <c r="M5232" t="s">
        <v>83</v>
      </c>
    </row>
    <row r="5233" spans="9:13" hidden="1" x14ac:dyDescent="0.35">
      <c r="I5233" s="83" t="e">
        <f>VLOOKUP(E5233,[1]Mapping!$A$3:$B$14,2,FALSE)</f>
        <v>#N/A</v>
      </c>
      <c r="J5233" s="84">
        <f t="shared" si="166"/>
        <v>0</v>
      </c>
      <c r="K5233" s="84">
        <f t="shared" si="167"/>
        <v>0</v>
      </c>
      <c r="L5233" s="61" t="e">
        <f>VLOOKUP(K5233,[1]Mapping!$J$3:$Q$351,8,FALSE)</f>
        <v>#N/A</v>
      </c>
      <c r="M5233" t="s">
        <v>83</v>
      </c>
    </row>
    <row r="5234" spans="9:13" hidden="1" x14ac:dyDescent="0.35">
      <c r="I5234" s="83" t="e">
        <f>VLOOKUP(E5234,[1]Mapping!$A$3:$B$14,2,FALSE)</f>
        <v>#N/A</v>
      </c>
      <c r="J5234" s="84">
        <f t="shared" si="166"/>
        <v>0</v>
      </c>
      <c r="K5234" s="84">
        <f t="shared" si="167"/>
        <v>0</v>
      </c>
      <c r="L5234" s="61" t="e">
        <f>VLOOKUP(K5234,[1]Mapping!$J$3:$Q$351,8,FALSE)</f>
        <v>#N/A</v>
      </c>
      <c r="M5234" t="s">
        <v>83</v>
      </c>
    </row>
    <row r="5235" spans="9:13" hidden="1" x14ac:dyDescent="0.35">
      <c r="I5235" s="83" t="e">
        <f>VLOOKUP(E5235,[1]Mapping!$A$3:$B$14,2,FALSE)</f>
        <v>#N/A</v>
      </c>
      <c r="J5235" s="84">
        <f t="shared" si="166"/>
        <v>0</v>
      </c>
      <c r="K5235" s="84">
        <f t="shared" si="167"/>
        <v>0</v>
      </c>
      <c r="L5235" s="61" t="e">
        <f>VLOOKUP(K5235,[1]Mapping!$J$3:$Q$351,8,FALSE)</f>
        <v>#N/A</v>
      </c>
      <c r="M5235" t="s">
        <v>83</v>
      </c>
    </row>
    <row r="5236" spans="9:13" hidden="1" x14ac:dyDescent="0.35">
      <c r="I5236" s="83" t="e">
        <f>VLOOKUP(E5236,[1]Mapping!$A$3:$B$14,2,FALSE)</f>
        <v>#N/A</v>
      </c>
      <c r="J5236" s="84">
        <f t="shared" si="166"/>
        <v>0</v>
      </c>
      <c r="K5236" s="84">
        <f t="shared" si="167"/>
        <v>0</v>
      </c>
      <c r="L5236" s="61" t="e">
        <f>VLOOKUP(K5236,[1]Mapping!$J$3:$Q$351,8,FALSE)</f>
        <v>#N/A</v>
      </c>
      <c r="M5236" t="s">
        <v>83</v>
      </c>
    </row>
    <row r="5237" spans="9:13" hidden="1" x14ac:dyDescent="0.35">
      <c r="I5237" s="83" t="e">
        <f>VLOOKUP(E5237,[1]Mapping!$A$3:$B$14,2,FALSE)</f>
        <v>#N/A</v>
      </c>
      <c r="J5237" s="84">
        <f t="shared" si="166"/>
        <v>0</v>
      </c>
      <c r="K5237" s="84">
        <f t="shared" si="167"/>
        <v>0</v>
      </c>
      <c r="L5237" s="61" t="e">
        <f>VLOOKUP(K5237,[1]Mapping!$J$3:$Q$351,8,FALSE)</f>
        <v>#N/A</v>
      </c>
      <c r="M5237" t="s">
        <v>83</v>
      </c>
    </row>
    <row r="5238" spans="9:13" hidden="1" x14ac:dyDescent="0.35">
      <c r="I5238" s="83" t="e">
        <f>VLOOKUP(E5238,[1]Mapping!$A$3:$B$14,2,FALSE)</f>
        <v>#N/A</v>
      </c>
      <c r="J5238" s="84">
        <f t="shared" si="166"/>
        <v>0</v>
      </c>
      <c r="K5238" s="84">
        <f t="shared" si="167"/>
        <v>0</v>
      </c>
      <c r="L5238" s="61" t="e">
        <f>VLOOKUP(K5238,[1]Mapping!$J$3:$Q$351,8,FALSE)</f>
        <v>#N/A</v>
      </c>
      <c r="M5238" t="s">
        <v>83</v>
      </c>
    </row>
    <row r="5239" spans="9:13" hidden="1" x14ac:dyDescent="0.35">
      <c r="I5239" s="83" t="e">
        <f>VLOOKUP(E5239,[1]Mapping!$A$3:$B$14,2,FALSE)</f>
        <v>#N/A</v>
      </c>
      <c r="J5239" s="84">
        <f t="shared" si="166"/>
        <v>0</v>
      </c>
      <c r="K5239" s="84">
        <f t="shared" si="167"/>
        <v>0</v>
      </c>
      <c r="L5239" s="61" t="e">
        <f>VLOOKUP(K5239,[1]Mapping!$J$3:$Q$351,8,FALSE)</f>
        <v>#N/A</v>
      </c>
      <c r="M5239" t="s">
        <v>83</v>
      </c>
    </row>
    <row r="5240" spans="9:13" hidden="1" x14ac:dyDescent="0.35">
      <c r="I5240" s="83" t="e">
        <f>VLOOKUP(E5240,[1]Mapping!$A$3:$B$14,2,FALSE)</f>
        <v>#N/A</v>
      </c>
      <c r="J5240" s="84">
        <f t="shared" si="166"/>
        <v>0</v>
      </c>
      <c r="K5240" s="84">
        <f t="shared" si="167"/>
        <v>0</v>
      </c>
      <c r="L5240" s="61" t="e">
        <f>VLOOKUP(K5240,[1]Mapping!$J$3:$Q$351,8,FALSE)</f>
        <v>#N/A</v>
      </c>
      <c r="M5240" t="s">
        <v>83</v>
      </c>
    </row>
    <row r="5241" spans="9:13" hidden="1" x14ac:dyDescent="0.35">
      <c r="I5241" s="83" t="e">
        <f>VLOOKUP(E5241,[1]Mapping!$A$3:$B$14,2,FALSE)</f>
        <v>#N/A</v>
      </c>
      <c r="J5241" s="84">
        <f t="shared" si="166"/>
        <v>0</v>
      </c>
      <c r="K5241" s="84">
        <f t="shared" si="167"/>
        <v>0</v>
      </c>
      <c r="L5241" s="61" t="e">
        <f>VLOOKUP(K5241,[1]Mapping!$J$3:$Q$351,8,FALSE)</f>
        <v>#N/A</v>
      </c>
      <c r="M5241" t="s">
        <v>83</v>
      </c>
    </row>
    <row r="5242" spans="9:13" hidden="1" x14ac:dyDescent="0.35">
      <c r="I5242" s="83" t="e">
        <f>VLOOKUP(E5242,[1]Mapping!$A$3:$B$14,2,FALSE)</f>
        <v>#N/A</v>
      </c>
      <c r="J5242" s="84">
        <f t="shared" si="166"/>
        <v>0</v>
      </c>
      <c r="K5242" s="84">
        <f t="shared" si="167"/>
        <v>0</v>
      </c>
      <c r="L5242" s="61" t="e">
        <f>VLOOKUP(K5242,[1]Mapping!$J$3:$Q$351,8,FALSE)</f>
        <v>#N/A</v>
      </c>
      <c r="M5242" t="s">
        <v>83</v>
      </c>
    </row>
    <row r="5243" spans="9:13" hidden="1" x14ac:dyDescent="0.35">
      <c r="I5243" s="83" t="e">
        <f>VLOOKUP(E5243,[1]Mapping!$A$3:$B$14,2,FALSE)</f>
        <v>#N/A</v>
      </c>
      <c r="J5243" s="84">
        <f t="shared" si="166"/>
        <v>0</v>
      </c>
      <c r="K5243" s="84">
        <f t="shared" si="167"/>
        <v>0</v>
      </c>
      <c r="L5243" s="61" t="e">
        <f>VLOOKUP(K5243,[1]Mapping!$J$3:$Q$351,8,FALSE)</f>
        <v>#N/A</v>
      </c>
      <c r="M5243" t="s">
        <v>83</v>
      </c>
    </row>
    <row r="5244" spans="9:13" hidden="1" x14ac:dyDescent="0.35">
      <c r="I5244" s="83" t="e">
        <f>VLOOKUP(E5244,[1]Mapping!$A$3:$B$14,2,FALSE)</f>
        <v>#N/A</v>
      </c>
      <c r="J5244" s="84">
        <f t="shared" si="166"/>
        <v>0</v>
      </c>
      <c r="K5244" s="84">
        <f t="shared" si="167"/>
        <v>0</v>
      </c>
      <c r="L5244" s="61" t="e">
        <f>VLOOKUP(K5244,[1]Mapping!$J$3:$Q$351,8,FALSE)</f>
        <v>#N/A</v>
      </c>
      <c r="M5244" t="s">
        <v>83</v>
      </c>
    </row>
    <row r="5245" spans="9:13" hidden="1" x14ac:dyDescent="0.35">
      <c r="I5245" s="83" t="e">
        <f>VLOOKUP(E5245,[1]Mapping!$A$3:$B$14,2,FALSE)</f>
        <v>#N/A</v>
      </c>
      <c r="J5245" s="84">
        <f t="shared" si="166"/>
        <v>0</v>
      </c>
      <c r="K5245" s="84">
        <f t="shared" si="167"/>
        <v>0</v>
      </c>
      <c r="L5245" s="61" t="e">
        <f>VLOOKUP(K5245,[1]Mapping!$J$3:$Q$351,8,FALSE)</f>
        <v>#N/A</v>
      </c>
      <c r="M5245" t="s">
        <v>83</v>
      </c>
    </row>
    <row r="5246" spans="9:13" hidden="1" x14ac:dyDescent="0.35">
      <c r="I5246" s="83" t="e">
        <f>VLOOKUP(E5246,[1]Mapping!$A$3:$B$14,2,FALSE)</f>
        <v>#N/A</v>
      </c>
      <c r="J5246" s="84">
        <f t="shared" si="166"/>
        <v>0</v>
      </c>
      <c r="K5246" s="84">
        <f t="shared" si="167"/>
        <v>0</v>
      </c>
      <c r="L5246" s="61" t="e">
        <f>VLOOKUP(K5246,[1]Mapping!$J$3:$Q$351,8,FALSE)</f>
        <v>#N/A</v>
      </c>
      <c r="M5246" t="s">
        <v>83</v>
      </c>
    </row>
    <row r="5247" spans="9:13" hidden="1" x14ac:dyDescent="0.35">
      <c r="I5247" s="83" t="e">
        <f>VLOOKUP(E5247,[1]Mapping!$A$3:$B$14,2,FALSE)</f>
        <v>#N/A</v>
      </c>
      <c r="J5247" s="84">
        <f t="shared" si="166"/>
        <v>0</v>
      </c>
      <c r="K5247" s="84">
        <f t="shared" si="167"/>
        <v>0</v>
      </c>
      <c r="L5247" s="61" t="e">
        <f>VLOOKUP(K5247,[1]Mapping!$J$3:$Q$351,8,FALSE)</f>
        <v>#N/A</v>
      </c>
      <c r="M5247" t="s">
        <v>83</v>
      </c>
    </row>
    <row r="5248" spans="9:13" hidden="1" x14ac:dyDescent="0.35">
      <c r="I5248" s="83" t="e">
        <f>VLOOKUP(E5248,[1]Mapping!$A$3:$B$14,2,FALSE)</f>
        <v>#N/A</v>
      </c>
      <c r="J5248" s="84">
        <f t="shared" si="166"/>
        <v>0</v>
      </c>
      <c r="K5248" s="84">
        <f t="shared" si="167"/>
        <v>0</v>
      </c>
      <c r="L5248" s="61" t="e">
        <f>VLOOKUP(K5248,[1]Mapping!$J$3:$Q$351,8,FALSE)</f>
        <v>#N/A</v>
      </c>
      <c r="M5248" t="s">
        <v>83</v>
      </c>
    </row>
    <row r="5249" spans="9:13" hidden="1" x14ac:dyDescent="0.35">
      <c r="I5249" s="83" t="e">
        <f>VLOOKUP(E5249,[1]Mapping!$A$3:$B$14,2,FALSE)</f>
        <v>#N/A</v>
      </c>
      <c r="J5249" s="84">
        <f t="shared" si="166"/>
        <v>0</v>
      </c>
      <c r="K5249" s="84">
        <f t="shared" si="167"/>
        <v>0</v>
      </c>
      <c r="L5249" s="61" t="e">
        <f>VLOOKUP(K5249,[1]Mapping!$J$3:$Q$351,8,FALSE)</f>
        <v>#N/A</v>
      </c>
      <c r="M5249" t="s">
        <v>83</v>
      </c>
    </row>
    <row r="5250" spans="9:13" hidden="1" x14ac:dyDescent="0.35">
      <c r="I5250" s="83" t="e">
        <f>VLOOKUP(E5250,[1]Mapping!$A$3:$B$14,2,FALSE)</f>
        <v>#N/A</v>
      </c>
      <c r="J5250" s="84">
        <f t="shared" si="166"/>
        <v>0</v>
      </c>
      <c r="K5250" s="84">
        <f t="shared" si="167"/>
        <v>0</v>
      </c>
      <c r="L5250" s="61" t="e">
        <f>VLOOKUP(K5250,[1]Mapping!$J$3:$Q$351,8,FALSE)</f>
        <v>#N/A</v>
      </c>
      <c r="M5250" t="s">
        <v>83</v>
      </c>
    </row>
    <row r="5251" spans="9:13" hidden="1" x14ac:dyDescent="0.35">
      <c r="I5251" s="83" t="e">
        <f>VLOOKUP(E5251,[1]Mapping!$A$3:$B$14,2,FALSE)</f>
        <v>#N/A</v>
      </c>
      <c r="J5251" s="84">
        <f t="shared" si="166"/>
        <v>0</v>
      </c>
      <c r="K5251" s="84">
        <f t="shared" si="167"/>
        <v>0</v>
      </c>
      <c r="L5251" s="61" t="e">
        <f>VLOOKUP(K5251,[1]Mapping!$J$3:$Q$351,8,FALSE)</f>
        <v>#N/A</v>
      </c>
      <c r="M5251" t="s">
        <v>83</v>
      </c>
    </row>
    <row r="5252" spans="9:13" hidden="1" x14ac:dyDescent="0.35">
      <c r="I5252" s="83" t="e">
        <f>VLOOKUP(E5252,[1]Mapping!$A$3:$B$14,2,FALSE)</f>
        <v>#N/A</v>
      </c>
      <c r="J5252" s="84">
        <f t="shared" si="166"/>
        <v>0</v>
      </c>
      <c r="K5252" s="84">
        <f t="shared" si="167"/>
        <v>0</v>
      </c>
      <c r="L5252" s="61" t="e">
        <f>VLOOKUP(K5252,[1]Mapping!$J$3:$Q$351,8,FALSE)</f>
        <v>#N/A</v>
      </c>
      <c r="M5252" t="s">
        <v>83</v>
      </c>
    </row>
    <row r="5253" spans="9:13" hidden="1" x14ac:dyDescent="0.35">
      <c r="I5253" s="83" t="e">
        <f>VLOOKUP(E5253,[1]Mapping!$A$3:$B$14,2,FALSE)</f>
        <v>#N/A</v>
      </c>
      <c r="J5253" s="84">
        <f t="shared" si="166"/>
        <v>0</v>
      </c>
      <c r="K5253" s="84">
        <f t="shared" si="167"/>
        <v>0</v>
      </c>
      <c r="L5253" s="61" t="e">
        <f>VLOOKUP(K5253,[1]Mapping!$J$3:$Q$351,8,FALSE)</f>
        <v>#N/A</v>
      </c>
      <c r="M5253" t="s">
        <v>83</v>
      </c>
    </row>
    <row r="5254" spans="9:13" hidden="1" x14ac:dyDescent="0.35">
      <c r="I5254" s="83" t="e">
        <f>VLOOKUP(E5254,[1]Mapping!$A$3:$B$14,2,FALSE)</f>
        <v>#N/A</v>
      </c>
      <c r="J5254" s="84">
        <f t="shared" si="166"/>
        <v>0</v>
      </c>
      <c r="K5254" s="84">
        <f t="shared" si="167"/>
        <v>0</v>
      </c>
      <c r="L5254" s="61" t="e">
        <f>VLOOKUP(K5254,[1]Mapping!$J$3:$Q$351,8,FALSE)</f>
        <v>#N/A</v>
      </c>
      <c r="M5254" t="s">
        <v>83</v>
      </c>
    </row>
    <row r="5255" spans="9:13" hidden="1" x14ac:dyDescent="0.35">
      <c r="I5255" s="83" t="e">
        <f>VLOOKUP(E5255,[1]Mapping!$A$3:$B$14,2,FALSE)</f>
        <v>#N/A</v>
      </c>
      <c r="J5255" s="84">
        <f t="shared" si="166"/>
        <v>0</v>
      </c>
      <c r="K5255" s="84">
        <f t="shared" si="167"/>
        <v>0</v>
      </c>
      <c r="L5255" s="61" t="e">
        <f>VLOOKUP(K5255,[1]Mapping!$J$3:$Q$351,8,FALSE)</f>
        <v>#N/A</v>
      </c>
      <c r="M5255" t="s">
        <v>83</v>
      </c>
    </row>
    <row r="5256" spans="9:13" hidden="1" x14ac:dyDescent="0.35">
      <c r="I5256" s="83" t="e">
        <f>VLOOKUP(E5256,[1]Mapping!$A$3:$B$14,2,FALSE)</f>
        <v>#N/A</v>
      </c>
      <c r="J5256" s="84">
        <f t="shared" si="166"/>
        <v>0</v>
      </c>
      <c r="K5256" s="84">
        <f t="shared" si="167"/>
        <v>0</v>
      </c>
      <c r="L5256" s="61" t="e">
        <f>VLOOKUP(K5256,[1]Mapping!$J$3:$Q$351,8,FALSE)</f>
        <v>#N/A</v>
      </c>
      <c r="M5256" t="s">
        <v>83</v>
      </c>
    </row>
    <row r="5257" spans="9:13" hidden="1" x14ac:dyDescent="0.35">
      <c r="I5257" s="83" t="e">
        <f>VLOOKUP(E5257,[1]Mapping!$A$3:$B$14,2,FALSE)</f>
        <v>#N/A</v>
      </c>
      <c r="J5257" s="84">
        <f t="shared" si="166"/>
        <v>0</v>
      </c>
      <c r="K5257" s="84">
        <f t="shared" si="167"/>
        <v>0</v>
      </c>
      <c r="L5257" s="61" t="e">
        <f>VLOOKUP(K5257,[1]Mapping!$J$3:$Q$351,8,FALSE)</f>
        <v>#N/A</v>
      </c>
      <c r="M5257" t="s">
        <v>83</v>
      </c>
    </row>
    <row r="5258" spans="9:13" hidden="1" x14ac:dyDescent="0.35">
      <c r="I5258" s="83" t="e">
        <f>VLOOKUP(E5258,[1]Mapping!$A$3:$B$14,2,FALSE)</f>
        <v>#N/A</v>
      </c>
      <c r="J5258" s="84">
        <f t="shared" si="166"/>
        <v>0</v>
      </c>
      <c r="K5258" s="84">
        <f t="shared" si="167"/>
        <v>0</v>
      </c>
      <c r="L5258" s="61" t="e">
        <f>VLOOKUP(K5258,[1]Mapping!$J$3:$Q$351,8,FALSE)</f>
        <v>#N/A</v>
      </c>
      <c r="M5258" t="s">
        <v>83</v>
      </c>
    </row>
    <row r="5259" spans="9:13" hidden="1" x14ac:dyDescent="0.35">
      <c r="I5259" s="83" t="e">
        <f>VLOOKUP(E5259,[1]Mapping!$A$3:$B$14,2,FALSE)</f>
        <v>#N/A</v>
      </c>
      <c r="J5259" s="84">
        <f t="shared" si="166"/>
        <v>0</v>
      </c>
      <c r="K5259" s="84">
        <f t="shared" si="167"/>
        <v>0</v>
      </c>
      <c r="L5259" s="61" t="e">
        <f>VLOOKUP(K5259,[1]Mapping!$J$3:$Q$351,8,FALSE)</f>
        <v>#N/A</v>
      </c>
      <c r="M5259" t="s">
        <v>83</v>
      </c>
    </row>
    <row r="5260" spans="9:13" hidden="1" x14ac:dyDescent="0.35">
      <c r="I5260" s="83" t="e">
        <f>VLOOKUP(E5260,[1]Mapping!$A$3:$B$14,2,FALSE)</f>
        <v>#N/A</v>
      </c>
      <c r="J5260" s="84">
        <f t="shared" si="166"/>
        <v>0</v>
      </c>
      <c r="K5260" s="84">
        <f t="shared" si="167"/>
        <v>0</v>
      </c>
      <c r="L5260" s="61" t="e">
        <f>VLOOKUP(K5260,[1]Mapping!$J$3:$Q$351,8,FALSE)</f>
        <v>#N/A</v>
      </c>
      <c r="M5260" t="s">
        <v>83</v>
      </c>
    </row>
    <row r="5261" spans="9:13" hidden="1" x14ac:dyDescent="0.35">
      <c r="I5261" s="83" t="e">
        <f>VLOOKUP(E5261,[1]Mapping!$A$3:$B$14,2,FALSE)</f>
        <v>#N/A</v>
      </c>
      <c r="J5261" s="84">
        <f t="shared" si="166"/>
        <v>0</v>
      </c>
      <c r="K5261" s="84">
        <f t="shared" si="167"/>
        <v>0</v>
      </c>
      <c r="L5261" s="61" t="e">
        <f>VLOOKUP(K5261,[1]Mapping!$J$3:$Q$351,8,FALSE)</f>
        <v>#N/A</v>
      </c>
      <c r="M5261" t="s">
        <v>83</v>
      </c>
    </row>
    <row r="5262" spans="9:13" hidden="1" x14ac:dyDescent="0.35">
      <c r="I5262" s="83" t="e">
        <f>VLOOKUP(E5262,[1]Mapping!$A$3:$B$14,2,FALSE)</f>
        <v>#N/A</v>
      </c>
      <c r="J5262" s="84">
        <f t="shared" si="166"/>
        <v>0</v>
      </c>
      <c r="K5262" s="84">
        <f t="shared" si="167"/>
        <v>0</v>
      </c>
      <c r="L5262" s="61" t="e">
        <f>VLOOKUP(K5262,[1]Mapping!$J$3:$Q$351,8,FALSE)</f>
        <v>#N/A</v>
      </c>
      <c r="M5262" t="s">
        <v>83</v>
      </c>
    </row>
    <row r="5263" spans="9:13" hidden="1" x14ac:dyDescent="0.35">
      <c r="I5263" s="83" t="e">
        <f>VLOOKUP(E5263,[1]Mapping!$A$3:$B$14,2,FALSE)</f>
        <v>#N/A</v>
      </c>
      <c r="J5263" s="84">
        <f t="shared" si="166"/>
        <v>0</v>
      </c>
      <c r="K5263" s="84">
        <f t="shared" si="167"/>
        <v>0</v>
      </c>
      <c r="L5263" s="61" t="e">
        <f>VLOOKUP(K5263,[1]Mapping!$J$3:$Q$351,8,FALSE)</f>
        <v>#N/A</v>
      </c>
      <c r="M5263" t="s">
        <v>83</v>
      </c>
    </row>
    <row r="5264" spans="9:13" hidden="1" x14ac:dyDescent="0.35">
      <c r="I5264" s="83" t="e">
        <f>VLOOKUP(E5264,[1]Mapping!$A$3:$B$14,2,FALSE)</f>
        <v>#N/A</v>
      </c>
      <c r="J5264" s="84">
        <f t="shared" ref="J5264:J5327" si="168">VALUE(A5264)</f>
        <v>0</v>
      </c>
      <c r="K5264" s="84">
        <f t="shared" ref="K5264:K5327" si="169">VALUE(C5264)</f>
        <v>0</v>
      </c>
      <c r="L5264" s="61" t="e">
        <f>VLOOKUP(K5264,[1]Mapping!$J$3:$Q$351,8,FALSE)</f>
        <v>#N/A</v>
      </c>
      <c r="M5264" t="s">
        <v>83</v>
      </c>
    </row>
    <row r="5265" spans="9:13" hidden="1" x14ac:dyDescent="0.35">
      <c r="I5265" s="83" t="e">
        <f>VLOOKUP(E5265,[1]Mapping!$A$3:$B$14,2,FALSE)</f>
        <v>#N/A</v>
      </c>
      <c r="J5265" s="84">
        <f t="shared" si="168"/>
        <v>0</v>
      </c>
      <c r="K5265" s="84">
        <f t="shared" si="169"/>
        <v>0</v>
      </c>
      <c r="L5265" s="61" t="e">
        <f>VLOOKUP(K5265,[1]Mapping!$J$3:$Q$351,8,FALSE)</f>
        <v>#N/A</v>
      </c>
      <c r="M5265" t="s">
        <v>83</v>
      </c>
    </row>
    <row r="5266" spans="9:13" hidden="1" x14ac:dyDescent="0.35">
      <c r="I5266" s="83" t="e">
        <f>VLOOKUP(E5266,[1]Mapping!$A$3:$B$14,2,FALSE)</f>
        <v>#N/A</v>
      </c>
      <c r="J5266" s="84">
        <f t="shared" si="168"/>
        <v>0</v>
      </c>
      <c r="K5266" s="84">
        <f t="shared" si="169"/>
        <v>0</v>
      </c>
      <c r="L5266" s="61" t="e">
        <f>VLOOKUP(K5266,[1]Mapping!$J$3:$Q$351,8,FALSE)</f>
        <v>#N/A</v>
      </c>
      <c r="M5266" t="s">
        <v>83</v>
      </c>
    </row>
    <row r="5267" spans="9:13" hidden="1" x14ac:dyDescent="0.35">
      <c r="I5267" s="83" t="e">
        <f>VLOOKUP(E5267,[1]Mapping!$A$3:$B$14,2,FALSE)</f>
        <v>#N/A</v>
      </c>
      <c r="J5267" s="84">
        <f t="shared" si="168"/>
        <v>0</v>
      </c>
      <c r="K5267" s="84">
        <f t="shared" si="169"/>
        <v>0</v>
      </c>
      <c r="L5267" s="61" t="e">
        <f>VLOOKUP(K5267,[1]Mapping!$J$3:$Q$351,8,FALSE)</f>
        <v>#N/A</v>
      </c>
      <c r="M5267" t="s">
        <v>83</v>
      </c>
    </row>
    <row r="5268" spans="9:13" hidden="1" x14ac:dyDescent="0.35">
      <c r="I5268" s="83" t="e">
        <f>VLOOKUP(E5268,[1]Mapping!$A$3:$B$14,2,FALSE)</f>
        <v>#N/A</v>
      </c>
      <c r="J5268" s="84">
        <f t="shared" si="168"/>
        <v>0</v>
      </c>
      <c r="K5268" s="84">
        <f t="shared" si="169"/>
        <v>0</v>
      </c>
      <c r="L5268" s="61" t="e">
        <f>VLOOKUP(K5268,[1]Mapping!$J$3:$Q$351,8,FALSE)</f>
        <v>#N/A</v>
      </c>
      <c r="M5268" t="s">
        <v>83</v>
      </c>
    </row>
    <row r="5269" spans="9:13" hidden="1" x14ac:dyDescent="0.35">
      <c r="I5269" s="83" t="e">
        <f>VLOOKUP(E5269,[1]Mapping!$A$3:$B$14,2,FALSE)</f>
        <v>#N/A</v>
      </c>
      <c r="J5269" s="84">
        <f t="shared" si="168"/>
        <v>0</v>
      </c>
      <c r="K5269" s="84">
        <f t="shared" si="169"/>
        <v>0</v>
      </c>
      <c r="L5269" s="61" t="e">
        <f>VLOOKUP(K5269,[1]Mapping!$J$3:$Q$351,8,FALSE)</f>
        <v>#N/A</v>
      </c>
      <c r="M5269" t="s">
        <v>83</v>
      </c>
    </row>
    <row r="5270" spans="9:13" hidden="1" x14ac:dyDescent="0.35">
      <c r="I5270" s="83" t="e">
        <f>VLOOKUP(E5270,[1]Mapping!$A$3:$B$14,2,FALSE)</f>
        <v>#N/A</v>
      </c>
      <c r="J5270" s="84">
        <f t="shared" si="168"/>
        <v>0</v>
      </c>
      <c r="K5270" s="84">
        <f t="shared" si="169"/>
        <v>0</v>
      </c>
      <c r="L5270" s="61" t="e">
        <f>VLOOKUP(K5270,[1]Mapping!$J$3:$Q$351,8,FALSE)</f>
        <v>#N/A</v>
      </c>
      <c r="M5270" t="s">
        <v>83</v>
      </c>
    </row>
    <row r="5271" spans="9:13" hidden="1" x14ac:dyDescent="0.35">
      <c r="I5271" s="83" t="e">
        <f>VLOOKUP(E5271,[1]Mapping!$A$3:$B$14,2,FALSE)</f>
        <v>#N/A</v>
      </c>
      <c r="J5271" s="84">
        <f t="shared" si="168"/>
        <v>0</v>
      </c>
      <c r="K5271" s="84">
        <f t="shared" si="169"/>
        <v>0</v>
      </c>
      <c r="L5271" s="61" t="e">
        <f>VLOOKUP(K5271,[1]Mapping!$J$3:$Q$351,8,FALSE)</f>
        <v>#N/A</v>
      </c>
      <c r="M5271" t="s">
        <v>83</v>
      </c>
    </row>
    <row r="5272" spans="9:13" hidden="1" x14ac:dyDescent="0.35">
      <c r="I5272" s="83" t="e">
        <f>VLOOKUP(E5272,[1]Mapping!$A$3:$B$14,2,FALSE)</f>
        <v>#N/A</v>
      </c>
      <c r="J5272" s="84">
        <f t="shared" si="168"/>
        <v>0</v>
      </c>
      <c r="K5272" s="84">
        <f t="shared" si="169"/>
        <v>0</v>
      </c>
      <c r="L5272" s="61" t="e">
        <f>VLOOKUP(K5272,[1]Mapping!$J$3:$Q$351,8,FALSE)</f>
        <v>#N/A</v>
      </c>
      <c r="M5272" t="s">
        <v>83</v>
      </c>
    </row>
    <row r="5273" spans="9:13" hidden="1" x14ac:dyDescent="0.35">
      <c r="I5273" s="83" t="e">
        <f>VLOOKUP(E5273,[1]Mapping!$A$3:$B$14,2,FALSE)</f>
        <v>#N/A</v>
      </c>
      <c r="J5273" s="84">
        <f t="shared" si="168"/>
        <v>0</v>
      </c>
      <c r="K5273" s="84">
        <f t="shared" si="169"/>
        <v>0</v>
      </c>
      <c r="L5273" s="61" t="e">
        <f>VLOOKUP(K5273,[1]Mapping!$J$3:$Q$351,8,FALSE)</f>
        <v>#N/A</v>
      </c>
      <c r="M5273" t="s">
        <v>83</v>
      </c>
    </row>
    <row r="5274" spans="9:13" hidden="1" x14ac:dyDescent="0.35">
      <c r="I5274" s="83" t="e">
        <f>VLOOKUP(E5274,[1]Mapping!$A$3:$B$14,2,FALSE)</f>
        <v>#N/A</v>
      </c>
      <c r="J5274" s="84">
        <f t="shared" si="168"/>
        <v>0</v>
      </c>
      <c r="K5274" s="84">
        <f t="shared" si="169"/>
        <v>0</v>
      </c>
      <c r="L5274" s="61" t="e">
        <f>VLOOKUP(K5274,[1]Mapping!$J$3:$Q$351,8,FALSE)</f>
        <v>#N/A</v>
      </c>
      <c r="M5274" t="s">
        <v>83</v>
      </c>
    </row>
    <row r="5275" spans="9:13" hidden="1" x14ac:dyDescent="0.35">
      <c r="I5275" s="83" t="e">
        <f>VLOOKUP(E5275,[1]Mapping!$A$3:$B$14,2,FALSE)</f>
        <v>#N/A</v>
      </c>
      <c r="J5275" s="84">
        <f t="shared" si="168"/>
        <v>0</v>
      </c>
      <c r="K5275" s="84">
        <f t="shared" si="169"/>
        <v>0</v>
      </c>
      <c r="L5275" s="61" t="e">
        <f>VLOOKUP(K5275,[1]Mapping!$J$3:$Q$351,8,FALSE)</f>
        <v>#N/A</v>
      </c>
      <c r="M5275" t="s">
        <v>83</v>
      </c>
    </row>
    <row r="5276" spans="9:13" hidden="1" x14ac:dyDescent="0.35">
      <c r="I5276" s="83" t="e">
        <f>VLOOKUP(E5276,[1]Mapping!$A$3:$B$14,2,FALSE)</f>
        <v>#N/A</v>
      </c>
      <c r="J5276" s="84">
        <f t="shared" si="168"/>
        <v>0</v>
      </c>
      <c r="K5276" s="84">
        <f t="shared" si="169"/>
        <v>0</v>
      </c>
      <c r="L5276" s="61" t="e">
        <f>VLOOKUP(K5276,[1]Mapping!$J$3:$Q$351,8,FALSE)</f>
        <v>#N/A</v>
      </c>
      <c r="M5276" t="s">
        <v>83</v>
      </c>
    </row>
    <row r="5277" spans="9:13" hidden="1" x14ac:dyDescent="0.35">
      <c r="I5277" s="83" t="e">
        <f>VLOOKUP(E5277,[1]Mapping!$A$3:$B$14,2,FALSE)</f>
        <v>#N/A</v>
      </c>
      <c r="J5277" s="84">
        <f t="shared" si="168"/>
        <v>0</v>
      </c>
      <c r="K5277" s="84">
        <f t="shared" si="169"/>
        <v>0</v>
      </c>
      <c r="L5277" s="61" t="e">
        <f>VLOOKUP(K5277,[1]Mapping!$J$3:$Q$351,8,FALSE)</f>
        <v>#N/A</v>
      </c>
      <c r="M5277" t="s">
        <v>83</v>
      </c>
    </row>
    <row r="5278" spans="9:13" hidden="1" x14ac:dyDescent="0.35">
      <c r="I5278" s="83" t="e">
        <f>VLOOKUP(E5278,[1]Mapping!$A$3:$B$14,2,FALSE)</f>
        <v>#N/A</v>
      </c>
      <c r="J5278" s="84">
        <f t="shared" si="168"/>
        <v>0</v>
      </c>
      <c r="K5278" s="84">
        <f t="shared" si="169"/>
        <v>0</v>
      </c>
      <c r="L5278" s="61" t="e">
        <f>VLOOKUP(K5278,[1]Mapping!$J$3:$Q$351,8,FALSE)</f>
        <v>#N/A</v>
      </c>
      <c r="M5278" t="s">
        <v>83</v>
      </c>
    </row>
    <row r="5279" spans="9:13" hidden="1" x14ac:dyDescent="0.35">
      <c r="I5279" s="83" t="e">
        <f>VLOOKUP(E5279,[1]Mapping!$A$3:$B$14,2,FALSE)</f>
        <v>#N/A</v>
      </c>
      <c r="J5279" s="84">
        <f t="shared" si="168"/>
        <v>0</v>
      </c>
      <c r="K5279" s="84">
        <f t="shared" si="169"/>
        <v>0</v>
      </c>
      <c r="L5279" s="61" t="e">
        <f>VLOOKUP(K5279,[1]Mapping!$J$3:$Q$351,8,FALSE)</f>
        <v>#N/A</v>
      </c>
      <c r="M5279" t="s">
        <v>83</v>
      </c>
    </row>
    <row r="5280" spans="9:13" hidden="1" x14ac:dyDescent="0.35">
      <c r="I5280" s="83" t="e">
        <f>VLOOKUP(E5280,[1]Mapping!$A$3:$B$14,2,FALSE)</f>
        <v>#N/A</v>
      </c>
      <c r="J5280" s="84">
        <f t="shared" si="168"/>
        <v>0</v>
      </c>
      <c r="K5280" s="84">
        <f t="shared" si="169"/>
        <v>0</v>
      </c>
      <c r="L5280" s="61" t="e">
        <f>VLOOKUP(K5280,[1]Mapping!$J$3:$Q$351,8,FALSE)</f>
        <v>#N/A</v>
      </c>
      <c r="M5280" t="s">
        <v>83</v>
      </c>
    </row>
    <row r="5281" spans="9:13" hidden="1" x14ac:dyDescent="0.35">
      <c r="I5281" s="83" t="e">
        <f>VLOOKUP(E5281,[1]Mapping!$A$3:$B$14,2,FALSE)</f>
        <v>#N/A</v>
      </c>
      <c r="J5281" s="84">
        <f t="shared" si="168"/>
        <v>0</v>
      </c>
      <c r="K5281" s="84">
        <f t="shared" si="169"/>
        <v>0</v>
      </c>
      <c r="L5281" s="61" t="e">
        <f>VLOOKUP(K5281,[1]Mapping!$J$3:$Q$351,8,FALSE)</f>
        <v>#N/A</v>
      </c>
      <c r="M5281" t="s">
        <v>83</v>
      </c>
    </row>
    <row r="5282" spans="9:13" hidden="1" x14ac:dyDescent="0.35">
      <c r="I5282" s="83" t="e">
        <f>VLOOKUP(E5282,[1]Mapping!$A$3:$B$14,2,FALSE)</f>
        <v>#N/A</v>
      </c>
      <c r="J5282" s="84">
        <f t="shared" si="168"/>
        <v>0</v>
      </c>
      <c r="K5282" s="84">
        <f t="shared" si="169"/>
        <v>0</v>
      </c>
      <c r="L5282" s="61" t="e">
        <f>VLOOKUP(K5282,[1]Mapping!$J$3:$Q$351,8,FALSE)</f>
        <v>#N/A</v>
      </c>
      <c r="M5282" t="s">
        <v>83</v>
      </c>
    </row>
    <row r="5283" spans="9:13" hidden="1" x14ac:dyDescent="0.35">
      <c r="I5283" s="83" t="e">
        <f>VLOOKUP(E5283,[1]Mapping!$A$3:$B$14,2,FALSE)</f>
        <v>#N/A</v>
      </c>
      <c r="J5283" s="84">
        <f t="shared" si="168"/>
        <v>0</v>
      </c>
      <c r="K5283" s="84">
        <f t="shared" si="169"/>
        <v>0</v>
      </c>
      <c r="L5283" s="61" t="e">
        <f>VLOOKUP(K5283,[1]Mapping!$J$3:$Q$351,8,FALSE)</f>
        <v>#N/A</v>
      </c>
      <c r="M5283" t="s">
        <v>83</v>
      </c>
    </row>
    <row r="5284" spans="9:13" hidden="1" x14ac:dyDescent="0.35">
      <c r="I5284" s="83" t="e">
        <f>VLOOKUP(E5284,[1]Mapping!$A$3:$B$14,2,FALSE)</f>
        <v>#N/A</v>
      </c>
      <c r="J5284" s="84">
        <f t="shared" si="168"/>
        <v>0</v>
      </c>
      <c r="K5284" s="84">
        <f t="shared" si="169"/>
        <v>0</v>
      </c>
      <c r="L5284" s="61" t="e">
        <f>VLOOKUP(K5284,[1]Mapping!$J$3:$Q$351,8,FALSE)</f>
        <v>#N/A</v>
      </c>
      <c r="M5284" t="s">
        <v>83</v>
      </c>
    </row>
    <row r="5285" spans="9:13" hidden="1" x14ac:dyDescent="0.35">
      <c r="I5285" s="83" t="e">
        <f>VLOOKUP(E5285,[1]Mapping!$A$3:$B$14,2,FALSE)</f>
        <v>#N/A</v>
      </c>
      <c r="J5285" s="84">
        <f t="shared" si="168"/>
        <v>0</v>
      </c>
      <c r="K5285" s="84">
        <f t="shared" si="169"/>
        <v>0</v>
      </c>
      <c r="L5285" s="61" t="e">
        <f>VLOOKUP(K5285,[1]Mapping!$J$3:$Q$351,8,FALSE)</f>
        <v>#N/A</v>
      </c>
      <c r="M5285" t="s">
        <v>83</v>
      </c>
    </row>
    <row r="5286" spans="9:13" hidden="1" x14ac:dyDescent="0.35">
      <c r="I5286" s="83" t="e">
        <f>VLOOKUP(E5286,[1]Mapping!$A$3:$B$14,2,FALSE)</f>
        <v>#N/A</v>
      </c>
      <c r="J5286" s="84">
        <f t="shared" si="168"/>
        <v>0</v>
      </c>
      <c r="K5286" s="84">
        <f t="shared" si="169"/>
        <v>0</v>
      </c>
      <c r="L5286" s="61" t="e">
        <f>VLOOKUP(K5286,[1]Mapping!$J$3:$Q$351,8,FALSE)</f>
        <v>#N/A</v>
      </c>
      <c r="M5286" t="s">
        <v>83</v>
      </c>
    </row>
    <row r="5287" spans="9:13" hidden="1" x14ac:dyDescent="0.35">
      <c r="I5287" s="83" t="e">
        <f>VLOOKUP(E5287,[1]Mapping!$A$3:$B$14,2,FALSE)</f>
        <v>#N/A</v>
      </c>
      <c r="J5287" s="84">
        <f t="shared" si="168"/>
        <v>0</v>
      </c>
      <c r="K5287" s="84">
        <f t="shared" si="169"/>
        <v>0</v>
      </c>
      <c r="L5287" s="61" t="e">
        <f>VLOOKUP(K5287,[1]Mapping!$J$3:$Q$351,8,FALSE)</f>
        <v>#N/A</v>
      </c>
      <c r="M5287" t="s">
        <v>83</v>
      </c>
    </row>
    <row r="5288" spans="9:13" hidden="1" x14ac:dyDescent="0.35">
      <c r="I5288" s="83" t="e">
        <f>VLOOKUP(E5288,[1]Mapping!$A$3:$B$14,2,FALSE)</f>
        <v>#N/A</v>
      </c>
      <c r="J5288" s="84">
        <f t="shared" si="168"/>
        <v>0</v>
      </c>
      <c r="K5288" s="84">
        <f t="shared" si="169"/>
        <v>0</v>
      </c>
      <c r="L5288" s="61" t="e">
        <f>VLOOKUP(K5288,[1]Mapping!$J$3:$Q$351,8,FALSE)</f>
        <v>#N/A</v>
      </c>
      <c r="M5288" t="s">
        <v>83</v>
      </c>
    </row>
    <row r="5289" spans="9:13" hidden="1" x14ac:dyDescent="0.35">
      <c r="I5289" s="83" t="e">
        <f>VLOOKUP(E5289,[1]Mapping!$A$3:$B$14,2,FALSE)</f>
        <v>#N/A</v>
      </c>
      <c r="J5289" s="84">
        <f t="shared" si="168"/>
        <v>0</v>
      </c>
      <c r="K5289" s="84">
        <f t="shared" si="169"/>
        <v>0</v>
      </c>
      <c r="L5289" s="61" t="e">
        <f>VLOOKUP(K5289,[1]Mapping!$J$3:$Q$351,8,FALSE)</f>
        <v>#N/A</v>
      </c>
      <c r="M5289" t="s">
        <v>83</v>
      </c>
    </row>
    <row r="5290" spans="9:13" hidden="1" x14ac:dyDescent="0.35">
      <c r="I5290" s="83" t="e">
        <f>VLOOKUP(E5290,[1]Mapping!$A$3:$B$14,2,FALSE)</f>
        <v>#N/A</v>
      </c>
      <c r="J5290" s="84">
        <f t="shared" si="168"/>
        <v>0</v>
      </c>
      <c r="K5290" s="84">
        <f t="shared" si="169"/>
        <v>0</v>
      </c>
      <c r="L5290" s="61" t="e">
        <f>VLOOKUP(K5290,[1]Mapping!$J$3:$Q$351,8,FALSE)</f>
        <v>#N/A</v>
      </c>
      <c r="M5290" t="s">
        <v>83</v>
      </c>
    </row>
    <row r="5291" spans="9:13" hidden="1" x14ac:dyDescent="0.35">
      <c r="I5291" s="83" t="e">
        <f>VLOOKUP(E5291,[1]Mapping!$A$3:$B$14,2,FALSE)</f>
        <v>#N/A</v>
      </c>
      <c r="J5291" s="84">
        <f t="shared" si="168"/>
        <v>0</v>
      </c>
      <c r="K5291" s="84">
        <f t="shared" si="169"/>
        <v>0</v>
      </c>
      <c r="L5291" s="61" t="e">
        <f>VLOOKUP(K5291,[1]Mapping!$J$3:$Q$351,8,FALSE)</f>
        <v>#N/A</v>
      </c>
      <c r="M5291" t="s">
        <v>83</v>
      </c>
    </row>
    <row r="5292" spans="9:13" hidden="1" x14ac:dyDescent="0.35">
      <c r="I5292" s="83" t="e">
        <f>VLOOKUP(E5292,[1]Mapping!$A$3:$B$14,2,FALSE)</f>
        <v>#N/A</v>
      </c>
      <c r="J5292" s="84">
        <f t="shared" si="168"/>
        <v>0</v>
      </c>
      <c r="K5292" s="84">
        <f t="shared" si="169"/>
        <v>0</v>
      </c>
      <c r="L5292" s="61" t="e">
        <f>VLOOKUP(K5292,[1]Mapping!$J$3:$Q$351,8,FALSE)</f>
        <v>#N/A</v>
      </c>
      <c r="M5292" t="s">
        <v>83</v>
      </c>
    </row>
    <row r="5293" spans="9:13" hidden="1" x14ac:dyDescent="0.35">
      <c r="I5293" s="83" t="e">
        <f>VLOOKUP(E5293,[1]Mapping!$A$3:$B$14,2,FALSE)</f>
        <v>#N/A</v>
      </c>
      <c r="J5293" s="84">
        <f t="shared" si="168"/>
        <v>0</v>
      </c>
      <c r="K5293" s="84">
        <f t="shared" si="169"/>
        <v>0</v>
      </c>
      <c r="L5293" s="61" t="e">
        <f>VLOOKUP(K5293,[1]Mapping!$J$3:$Q$351,8,FALSE)</f>
        <v>#N/A</v>
      </c>
      <c r="M5293" t="s">
        <v>83</v>
      </c>
    </row>
    <row r="5294" spans="9:13" hidden="1" x14ac:dyDescent="0.35">
      <c r="I5294" s="83" t="e">
        <f>VLOOKUP(E5294,[1]Mapping!$A$3:$B$14,2,FALSE)</f>
        <v>#N/A</v>
      </c>
      <c r="J5294" s="84">
        <f t="shared" si="168"/>
        <v>0</v>
      </c>
      <c r="K5294" s="84">
        <f t="shared" si="169"/>
        <v>0</v>
      </c>
      <c r="L5294" s="61" t="e">
        <f>VLOOKUP(K5294,[1]Mapping!$J$3:$Q$351,8,FALSE)</f>
        <v>#N/A</v>
      </c>
      <c r="M5294" t="s">
        <v>83</v>
      </c>
    </row>
    <row r="5295" spans="9:13" hidden="1" x14ac:dyDescent="0.35">
      <c r="I5295" s="83" t="e">
        <f>VLOOKUP(E5295,[1]Mapping!$A$3:$B$14,2,FALSE)</f>
        <v>#N/A</v>
      </c>
      <c r="J5295" s="84">
        <f t="shared" si="168"/>
        <v>0</v>
      </c>
      <c r="K5295" s="84">
        <f t="shared" si="169"/>
        <v>0</v>
      </c>
      <c r="L5295" s="61" t="e">
        <f>VLOOKUP(K5295,[1]Mapping!$J$3:$Q$351,8,FALSE)</f>
        <v>#N/A</v>
      </c>
      <c r="M5295" t="s">
        <v>83</v>
      </c>
    </row>
    <row r="5296" spans="9:13" hidden="1" x14ac:dyDescent="0.35">
      <c r="I5296" s="83" t="e">
        <f>VLOOKUP(E5296,[1]Mapping!$A$3:$B$14,2,FALSE)</f>
        <v>#N/A</v>
      </c>
      <c r="J5296" s="84">
        <f t="shared" si="168"/>
        <v>0</v>
      </c>
      <c r="K5296" s="84">
        <f t="shared" si="169"/>
        <v>0</v>
      </c>
      <c r="L5296" s="61" t="e">
        <f>VLOOKUP(K5296,[1]Mapping!$J$3:$Q$351,8,FALSE)</f>
        <v>#N/A</v>
      </c>
      <c r="M5296" t="s">
        <v>83</v>
      </c>
    </row>
    <row r="5297" spans="9:13" hidden="1" x14ac:dyDescent="0.35">
      <c r="I5297" s="83" t="e">
        <f>VLOOKUP(E5297,[1]Mapping!$A$3:$B$14,2,FALSE)</f>
        <v>#N/A</v>
      </c>
      <c r="J5297" s="84">
        <f t="shared" si="168"/>
        <v>0</v>
      </c>
      <c r="K5297" s="84">
        <f t="shared" si="169"/>
        <v>0</v>
      </c>
      <c r="L5297" s="61" t="e">
        <f>VLOOKUP(K5297,[1]Mapping!$J$3:$Q$351,8,FALSE)</f>
        <v>#N/A</v>
      </c>
      <c r="M5297" t="s">
        <v>83</v>
      </c>
    </row>
    <row r="5298" spans="9:13" hidden="1" x14ac:dyDescent="0.35">
      <c r="I5298" s="83" t="e">
        <f>VLOOKUP(E5298,[1]Mapping!$A$3:$B$14,2,FALSE)</f>
        <v>#N/A</v>
      </c>
      <c r="J5298" s="84">
        <f t="shared" si="168"/>
        <v>0</v>
      </c>
      <c r="K5298" s="84">
        <f t="shared" si="169"/>
        <v>0</v>
      </c>
      <c r="L5298" s="61" t="e">
        <f>VLOOKUP(K5298,[1]Mapping!$J$3:$Q$351,8,FALSE)</f>
        <v>#N/A</v>
      </c>
      <c r="M5298" t="s">
        <v>83</v>
      </c>
    </row>
    <row r="5299" spans="9:13" hidden="1" x14ac:dyDescent="0.35">
      <c r="I5299" s="83" t="e">
        <f>VLOOKUP(E5299,[1]Mapping!$A$3:$B$14,2,FALSE)</f>
        <v>#N/A</v>
      </c>
      <c r="J5299" s="84">
        <f t="shared" si="168"/>
        <v>0</v>
      </c>
      <c r="K5299" s="84">
        <f t="shared" si="169"/>
        <v>0</v>
      </c>
      <c r="L5299" s="61" t="e">
        <f>VLOOKUP(K5299,[1]Mapping!$J$3:$Q$351,8,FALSE)</f>
        <v>#N/A</v>
      </c>
      <c r="M5299" t="s">
        <v>83</v>
      </c>
    </row>
    <row r="5300" spans="9:13" hidden="1" x14ac:dyDescent="0.35">
      <c r="I5300" s="83" t="e">
        <f>VLOOKUP(E5300,[1]Mapping!$A$3:$B$14,2,FALSE)</f>
        <v>#N/A</v>
      </c>
      <c r="J5300" s="84">
        <f t="shared" si="168"/>
        <v>0</v>
      </c>
      <c r="K5300" s="84">
        <f t="shared" si="169"/>
        <v>0</v>
      </c>
      <c r="L5300" s="61" t="e">
        <f>VLOOKUP(K5300,[1]Mapping!$J$3:$Q$351,8,FALSE)</f>
        <v>#N/A</v>
      </c>
      <c r="M5300" t="s">
        <v>83</v>
      </c>
    </row>
    <row r="5301" spans="9:13" hidden="1" x14ac:dyDescent="0.35">
      <c r="I5301" s="83" t="e">
        <f>VLOOKUP(E5301,[1]Mapping!$A$3:$B$14,2,FALSE)</f>
        <v>#N/A</v>
      </c>
      <c r="J5301" s="84">
        <f t="shared" si="168"/>
        <v>0</v>
      </c>
      <c r="K5301" s="84">
        <f t="shared" si="169"/>
        <v>0</v>
      </c>
      <c r="L5301" s="61" t="e">
        <f>VLOOKUP(K5301,[1]Mapping!$J$3:$Q$351,8,FALSE)</f>
        <v>#N/A</v>
      </c>
      <c r="M5301" t="s">
        <v>83</v>
      </c>
    </row>
    <row r="5302" spans="9:13" hidden="1" x14ac:dyDescent="0.35">
      <c r="I5302" s="83" t="e">
        <f>VLOOKUP(E5302,[1]Mapping!$A$3:$B$14,2,FALSE)</f>
        <v>#N/A</v>
      </c>
      <c r="J5302" s="84">
        <f t="shared" si="168"/>
        <v>0</v>
      </c>
      <c r="K5302" s="84">
        <f t="shared" si="169"/>
        <v>0</v>
      </c>
      <c r="L5302" s="61" t="e">
        <f>VLOOKUP(K5302,[1]Mapping!$J$3:$Q$351,8,FALSE)</f>
        <v>#N/A</v>
      </c>
      <c r="M5302" t="s">
        <v>83</v>
      </c>
    </row>
    <row r="5303" spans="9:13" hidden="1" x14ac:dyDescent="0.35">
      <c r="I5303" s="83" t="e">
        <f>VLOOKUP(E5303,[1]Mapping!$A$3:$B$14,2,FALSE)</f>
        <v>#N/A</v>
      </c>
      <c r="J5303" s="84">
        <f t="shared" si="168"/>
        <v>0</v>
      </c>
      <c r="K5303" s="84">
        <f t="shared" si="169"/>
        <v>0</v>
      </c>
      <c r="L5303" s="61" t="e">
        <f>VLOOKUP(K5303,[1]Mapping!$J$3:$Q$351,8,FALSE)</f>
        <v>#N/A</v>
      </c>
      <c r="M5303" t="s">
        <v>83</v>
      </c>
    </row>
    <row r="5304" spans="9:13" hidden="1" x14ac:dyDescent="0.35">
      <c r="I5304" s="83" t="e">
        <f>VLOOKUP(E5304,[1]Mapping!$A$3:$B$14,2,FALSE)</f>
        <v>#N/A</v>
      </c>
      <c r="J5304" s="84">
        <f t="shared" si="168"/>
        <v>0</v>
      </c>
      <c r="K5304" s="84">
        <f t="shared" si="169"/>
        <v>0</v>
      </c>
      <c r="L5304" s="61" t="e">
        <f>VLOOKUP(K5304,[1]Mapping!$J$3:$Q$351,8,FALSE)</f>
        <v>#N/A</v>
      </c>
      <c r="M5304" t="s">
        <v>83</v>
      </c>
    </row>
    <row r="5305" spans="9:13" hidden="1" x14ac:dyDescent="0.35">
      <c r="I5305" s="83" t="e">
        <f>VLOOKUP(E5305,[1]Mapping!$A$3:$B$14,2,FALSE)</f>
        <v>#N/A</v>
      </c>
      <c r="J5305" s="84">
        <f t="shared" si="168"/>
        <v>0</v>
      </c>
      <c r="K5305" s="84">
        <f t="shared" si="169"/>
        <v>0</v>
      </c>
      <c r="L5305" s="61" t="e">
        <f>VLOOKUP(K5305,[1]Mapping!$J$3:$Q$351,8,FALSE)</f>
        <v>#N/A</v>
      </c>
      <c r="M5305" t="s">
        <v>83</v>
      </c>
    </row>
    <row r="5306" spans="9:13" hidden="1" x14ac:dyDescent="0.35">
      <c r="I5306" s="83" t="e">
        <f>VLOOKUP(E5306,[1]Mapping!$A$3:$B$14,2,FALSE)</f>
        <v>#N/A</v>
      </c>
      <c r="J5306" s="84">
        <f t="shared" si="168"/>
        <v>0</v>
      </c>
      <c r="K5306" s="84">
        <f t="shared" si="169"/>
        <v>0</v>
      </c>
      <c r="L5306" s="61" t="e">
        <f>VLOOKUP(K5306,[1]Mapping!$J$3:$Q$351,8,FALSE)</f>
        <v>#N/A</v>
      </c>
      <c r="M5306" t="s">
        <v>83</v>
      </c>
    </row>
    <row r="5307" spans="9:13" hidden="1" x14ac:dyDescent="0.35">
      <c r="I5307" s="83" t="e">
        <f>VLOOKUP(E5307,[1]Mapping!$A$3:$B$14,2,FALSE)</f>
        <v>#N/A</v>
      </c>
      <c r="J5307" s="84">
        <f t="shared" si="168"/>
        <v>0</v>
      </c>
      <c r="K5307" s="84">
        <f t="shared" si="169"/>
        <v>0</v>
      </c>
      <c r="L5307" s="61" t="e">
        <f>VLOOKUP(K5307,[1]Mapping!$J$3:$Q$351,8,FALSE)</f>
        <v>#N/A</v>
      </c>
      <c r="M5307" t="s">
        <v>83</v>
      </c>
    </row>
    <row r="5308" spans="9:13" hidden="1" x14ac:dyDescent="0.35">
      <c r="I5308" s="83" t="e">
        <f>VLOOKUP(E5308,[1]Mapping!$A$3:$B$14,2,FALSE)</f>
        <v>#N/A</v>
      </c>
      <c r="J5308" s="84">
        <f t="shared" si="168"/>
        <v>0</v>
      </c>
      <c r="K5308" s="84">
        <f t="shared" si="169"/>
        <v>0</v>
      </c>
      <c r="L5308" s="61" t="e">
        <f>VLOOKUP(K5308,[1]Mapping!$J$3:$Q$351,8,FALSE)</f>
        <v>#N/A</v>
      </c>
      <c r="M5308" t="s">
        <v>83</v>
      </c>
    </row>
    <row r="5309" spans="9:13" hidden="1" x14ac:dyDescent="0.35">
      <c r="I5309" s="83" t="e">
        <f>VLOOKUP(E5309,[1]Mapping!$A$3:$B$14,2,FALSE)</f>
        <v>#N/A</v>
      </c>
      <c r="J5309" s="84">
        <f t="shared" si="168"/>
        <v>0</v>
      </c>
      <c r="K5309" s="84">
        <f t="shared" si="169"/>
        <v>0</v>
      </c>
      <c r="L5309" s="61" t="e">
        <f>VLOOKUP(K5309,[1]Mapping!$J$3:$Q$351,8,FALSE)</f>
        <v>#N/A</v>
      </c>
      <c r="M5309" t="s">
        <v>83</v>
      </c>
    </row>
    <row r="5310" spans="9:13" hidden="1" x14ac:dyDescent="0.35">
      <c r="I5310" s="83" t="e">
        <f>VLOOKUP(E5310,[1]Mapping!$A$3:$B$14,2,FALSE)</f>
        <v>#N/A</v>
      </c>
      <c r="J5310" s="84">
        <f t="shared" si="168"/>
        <v>0</v>
      </c>
      <c r="K5310" s="84">
        <f t="shared" si="169"/>
        <v>0</v>
      </c>
      <c r="L5310" s="61" t="e">
        <f>VLOOKUP(K5310,[1]Mapping!$J$3:$Q$351,8,FALSE)</f>
        <v>#N/A</v>
      </c>
      <c r="M5310" t="s">
        <v>83</v>
      </c>
    </row>
    <row r="5311" spans="9:13" hidden="1" x14ac:dyDescent="0.35">
      <c r="I5311" s="83" t="e">
        <f>VLOOKUP(E5311,[1]Mapping!$A$3:$B$14,2,FALSE)</f>
        <v>#N/A</v>
      </c>
      <c r="J5311" s="84">
        <f t="shared" si="168"/>
        <v>0</v>
      </c>
      <c r="K5311" s="84">
        <f t="shared" si="169"/>
        <v>0</v>
      </c>
      <c r="L5311" s="61" t="e">
        <f>VLOOKUP(K5311,[1]Mapping!$J$3:$Q$351,8,FALSE)</f>
        <v>#N/A</v>
      </c>
      <c r="M5311" t="s">
        <v>83</v>
      </c>
    </row>
    <row r="5312" spans="9:13" hidden="1" x14ac:dyDescent="0.35">
      <c r="I5312" s="83" t="e">
        <f>VLOOKUP(E5312,[1]Mapping!$A$3:$B$14,2,FALSE)</f>
        <v>#N/A</v>
      </c>
      <c r="J5312" s="84">
        <f t="shared" si="168"/>
        <v>0</v>
      </c>
      <c r="K5312" s="84">
        <f t="shared" si="169"/>
        <v>0</v>
      </c>
      <c r="L5312" s="61" t="e">
        <f>VLOOKUP(K5312,[1]Mapping!$J$3:$Q$351,8,FALSE)</f>
        <v>#N/A</v>
      </c>
      <c r="M5312" t="s">
        <v>83</v>
      </c>
    </row>
    <row r="5313" spans="9:13" hidden="1" x14ac:dyDescent="0.35">
      <c r="I5313" s="83" t="e">
        <f>VLOOKUP(E5313,[1]Mapping!$A$3:$B$14,2,FALSE)</f>
        <v>#N/A</v>
      </c>
      <c r="J5313" s="84">
        <f t="shared" si="168"/>
        <v>0</v>
      </c>
      <c r="K5313" s="84">
        <f t="shared" si="169"/>
        <v>0</v>
      </c>
      <c r="L5313" s="61" t="e">
        <f>VLOOKUP(K5313,[1]Mapping!$J$3:$Q$351,8,FALSE)</f>
        <v>#N/A</v>
      </c>
      <c r="M5313" t="s">
        <v>83</v>
      </c>
    </row>
    <row r="5314" spans="9:13" hidden="1" x14ac:dyDescent="0.35">
      <c r="I5314" s="83" t="e">
        <f>VLOOKUP(E5314,[1]Mapping!$A$3:$B$14,2,FALSE)</f>
        <v>#N/A</v>
      </c>
      <c r="J5314" s="84">
        <f t="shared" si="168"/>
        <v>0</v>
      </c>
      <c r="K5314" s="84">
        <f t="shared" si="169"/>
        <v>0</v>
      </c>
      <c r="L5314" s="61" t="e">
        <f>VLOOKUP(K5314,[1]Mapping!$J$3:$Q$351,8,FALSE)</f>
        <v>#N/A</v>
      </c>
      <c r="M5314" t="s">
        <v>83</v>
      </c>
    </row>
    <row r="5315" spans="9:13" hidden="1" x14ac:dyDescent="0.35">
      <c r="I5315" s="83" t="e">
        <f>VLOOKUP(E5315,[1]Mapping!$A$3:$B$14,2,FALSE)</f>
        <v>#N/A</v>
      </c>
      <c r="J5315" s="84">
        <f t="shared" si="168"/>
        <v>0</v>
      </c>
      <c r="K5315" s="84">
        <f t="shared" si="169"/>
        <v>0</v>
      </c>
      <c r="L5315" s="61" t="e">
        <f>VLOOKUP(K5315,[1]Mapping!$J$3:$Q$351,8,FALSE)</f>
        <v>#N/A</v>
      </c>
      <c r="M5315" t="s">
        <v>83</v>
      </c>
    </row>
    <row r="5316" spans="9:13" hidden="1" x14ac:dyDescent="0.35">
      <c r="I5316" s="83" t="e">
        <f>VLOOKUP(E5316,[1]Mapping!$A$3:$B$14,2,FALSE)</f>
        <v>#N/A</v>
      </c>
      <c r="J5316" s="84">
        <f t="shared" si="168"/>
        <v>0</v>
      </c>
      <c r="K5316" s="84">
        <f t="shared" si="169"/>
        <v>0</v>
      </c>
      <c r="L5316" s="61" t="e">
        <f>VLOOKUP(K5316,[1]Mapping!$J$3:$Q$351,8,FALSE)</f>
        <v>#N/A</v>
      </c>
      <c r="M5316" t="s">
        <v>83</v>
      </c>
    </row>
    <row r="5317" spans="9:13" hidden="1" x14ac:dyDescent="0.35">
      <c r="I5317" s="83" t="e">
        <f>VLOOKUP(E5317,[1]Mapping!$A$3:$B$14,2,FALSE)</f>
        <v>#N/A</v>
      </c>
      <c r="J5317" s="84">
        <f t="shared" si="168"/>
        <v>0</v>
      </c>
      <c r="K5317" s="84">
        <f t="shared" si="169"/>
        <v>0</v>
      </c>
      <c r="L5317" s="61" t="e">
        <f>VLOOKUP(K5317,[1]Mapping!$J$3:$Q$351,8,FALSE)</f>
        <v>#N/A</v>
      </c>
      <c r="M5317" t="s">
        <v>83</v>
      </c>
    </row>
    <row r="5318" spans="9:13" hidden="1" x14ac:dyDescent="0.35">
      <c r="I5318" s="83" t="e">
        <f>VLOOKUP(E5318,[1]Mapping!$A$3:$B$14,2,FALSE)</f>
        <v>#N/A</v>
      </c>
      <c r="J5318" s="84">
        <f t="shared" si="168"/>
        <v>0</v>
      </c>
      <c r="K5318" s="84">
        <f t="shared" si="169"/>
        <v>0</v>
      </c>
      <c r="L5318" s="61" t="e">
        <f>VLOOKUP(K5318,[1]Mapping!$J$3:$Q$351,8,FALSE)</f>
        <v>#N/A</v>
      </c>
      <c r="M5318" t="s">
        <v>83</v>
      </c>
    </row>
    <row r="5319" spans="9:13" hidden="1" x14ac:dyDescent="0.35">
      <c r="I5319" s="83" t="e">
        <f>VLOOKUP(E5319,[1]Mapping!$A$3:$B$14,2,FALSE)</f>
        <v>#N/A</v>
      </c>
      <c r="J5319" s="84">
        <f t="shared" si="168"/>
        <v>0</v>
      </c>
      <c r="K5319" s="84">
        <f t="shared" si="169"/>
        <v>0</v>
      </c>
      <c r="L5319" s="61" t="e">
        <f>VLOOKUP(K5319,[1]Mapping!$J$3:$Q$351,8,FALSE)</f>
        <v>#N/A</v>
      </c>
      <c r="M5319" t="s">
        <v>83</v>
      </c>
    </row>
    <row r="5320" spans="9:13" hidden="1" x14ac:dyDescent="0.35">
      <c r="I5320" s="83" t="e">
        <f>VLOOKUP(E5320,[1]Mapping!$A$3:$B$14,2,FALSE)</f>
        <v>#N/A</v>
      </c>
      <c r="J5320" s="84">
        <f t="shared" si="168"/>
        <v>0</v>
      </c>
      <c r="K5320" s="84">
        <f t="shared" si="169"/>
        <v>0</v>
      </c>
      <c r="L5320" s="61" t="e">
        <f>VLOOKUP(K5320,[1]Mapping!$J$3:$Q$351,8,FALSE)</f>
        <v>#N/A</v>
      </c>
      <c r="M5320" t="s">
        <v>83</v>
      </c>
    </row>
    <row r="5321" spans="9:13" hidden="1" x14ac:dyDescent="0.35">
      <c r="I5321" s="83" t="e">
        <f>VLOOKUP(E5321,[1]Mapping!$A$3:$B$14,2,FALSE)</f>
        <v>#N/A</v>
      </c>
      <c r="J5321" s="84">
        <f t="shared" si="168"/>
        <v>0</v>
      </c>
      <c r="K5321" s="84">
        <f t="shared" si="169"/>
        <v>0</v>
      </c>
      <c r="L5321" s="61" t="e">
        <f>VLOOKUP(K5321,[1]Mapping!$J$3:$Q$351,8,FALSE)</f>
        <v>#N/A</v>
      </c>
      <c r="M5321" t="s">
        <v>83</v>
      </c>
    </row>
    <row r="5322" spans="9:13" hidden="1" x14ac:dyDescent="0.35">
      <c r="I5322" s="83" t="e">
        <f>VLOOKUP(E5322,[1]Mapping!$A$3:$B$14,2,FALSE)</f>
        <v>#N/A</v>
      </c>
      <c r="J5322" s="84">
        <f t="shared" si="168"/>
        <v>0</v>
      </c>
      <c r="K5322" s="84">
        <f t="shared" si="169"/>
        <v>0</v>
      </c>
      <c r="L5322" s="61" t="e">
        <f>VLOOKUP(K5322,[1]Mapping!$J$3:$Q$351,8,FALSE)</f>
        <v>#N/A</v>
      </c>
      <c r="M5322" t="s">
        <v>83</v>
      </c>
    </row>
    <row r="5323" spans="9:13" hidden="1" x14ac:dyDescent="0.35">
      <c r="I5323" s="83" t="e">
        <f>VLOOKUP(E5323,[1]Mapping!$A$3:$B$14,2,FALSE)</f>
        <v>#N/A</v>
      </c>
      <c r="J5323" s="84">
        <f t="shared" si="168"/>
        <v>0</v>
      </c>
      <c r="K5323" s="84">
        <f t="shared" si="169"/>
        <v>0</v>
      </c>
      <c r="L5323" s="61" t="e">
        <f>VLOOKUP(K5323,[1]Mapping!$J$3:$Q$351,8,FALSE)</f>
        <v>#N/A</v>
      </c>
      <c r="M5323" t="s">
        <v>83</v>
      </c>
    </row>
    <row r="5324" spans="9:13" hidden="1" x14ac:dyDescent="0.35">
      <c r="I5324" s="83" t="e">
        <f>VLOOKUP(E5324,[1]Mapping!$A$3:$B$14,2,FALSE)</f>
        <v>#N/A</v>
      </c>
      <c r="J5324" s="84">
        <f t="shared" si="168"/>
        <v>0</v>
      </c>
      <c r="K5324" s="84">
        <f t="shared" si="169"/>
        <v>0</v>
      </c>
      <c r="L5324" s="61" t="e">
        <f>VLOOKUP(K5324,[1]Mapping!$J$3:$Q$351,8,FALSE)</f>
        <v>#N/A</v>
      </c>
      <c r="M5324" t="s">
        <v>83</v>
      </c>
    </row>
    <row r="5325" spans="9:13" hidden="1" x14ac:dyDescent="0.35">
      <c r="I5325" s="83" t="e">
        <f>VLOOKUP(E5325,[1]Mapping!$A$3:$B$14,2,FALSE)</f>
        <v>#N/A</v>
      </c>
      <c r="J5325" s="84">
        <f t="shared" si="168"/>
        <v>0</v>
      </c>
      <c r="K5325" s="84">
        <f t="shared" si="169"/>
        <v>0</v>
      </c>
      <c r="L5325" s="61" t="e">
        <f>VLOOKUP(K5325,[1]Mapping!$J$3:$Q$351,8,FALSE)</f>
        <v>#N/A</v>
      </c>
      <c r="M5325" t="s">
        <v>83</v>
      </c>
    </row>
    <row r="5326" spans="9:13" hidden="1" x14ac:dyDescent="0.35">
      <c r="I5326" s="83" t="e">
        <f>VLOOKUP(E5326,[1]Mapping!$A$3:$B$14,2,FALSE)</f>
        <v>#N/A</v>
      </c>
      <c r="J5326" s="84">
        <f t="shared" si="168"/>
        <v>0</v>
      </c>
      <c r="K5326" s="84">
        <f t="shared" si="169"/>
        <v>0</v>
      </c>
      <c r="L5326" s="61" t="e">
        <f>VLOOKUP(K5326,[1]Mapping!$J$3:$Q$351,8,FALSE)</f>
        <v>#N/A</v>
      </c>
      <c r="M5326" t="s">
        <v>83</v>
      </c>
    </row>
    <row r="5327" spans="9:13" hidden="1" x14ac:dyDescent="0.35">
      <c r="I5327" s="83" t="e">
        <f>VLOOKUP(E5327,[1]Mapping!$A$3:$B$14,2,FALSE)</f>
        <v>#N/A</v>
      </c>
      <c r="J5327" s="84">
        <f t="shared" si="168"/>
        <v>0</v>
      </c>
      <c r="K5327" s="84">
        <f t="shared" si="169"/>
        <v>0</v>
      </c>
      <c r="L5327" s="61" t="e">
        <f>VLOOKUP(K5327,[1]Mapping!$J$3:$Q$351,8,FALSE)</f>
        <v>#N/A</v>
      </c>
      <c r="M5327" t="s">
        <v>83</v>
      </c>
    </row>
    <row r="5328" spans="9:13" hidden="1" x14ac:dyDescent="0.35">
      <c r="I5328" s="83" t="e">
        <f>VLOOKUP(E5328,[1]Mapping!$A$3:$B$14,2,FALSE)</f>
        <v>#N/A</v>
      </c>
      <c r="J5328" s="84">
        <f t="shared" ref="J5328:J5391" si="170">VALUE(A5328)</f>
        <v>0</v>
      </c>
      <c r="K5328" s="84">
        <f t="shared" ref="K5328:K5391" si="171">VALUE(C5328)</f>
        <v>0</v>
      </c>
      <c r="L5328" s="61" t="e">
        <f>VLOOKUP(K5328,[1]Mapping!$J$3:$Q$351,8,FALSE)</f>
        <v>#N/A</v>
      </c>
      <c r="M5328" t="s">
        <v>83</v>
      </c>
    </row>
    <row r="5329" spans="9:13" hidden="1" x14ac:dyDescent="0.35">
      <c r="I5329" s="83" t="e">
        <f>VLOOKUP(E5329,[1]Mapping!$A$3:$B$14,2,FALSE)</f>
        <v>#N/A</v>
      </c>
      <c r="J5329" s="84">
        <f t="shared" si="170"/>
        <v>0</v>
      </c>
      <c r="K5329" s="84">
        <f t="shared" si="171"/>
        <v>0</v>
      </c>
      <c r="L5329" s="61" t="e">
        <f>VLOOKUP(K5329,[1]Mapping!$J$3:$Q$351,8,FALSE)</f>
        <v>#N/A</v>
      </c>
      <c r="M5329" t="s">
        <v>83</v>
      </c>
    </row>
    <row r="5330" spans="9:13" hidden="1" x14ac:dyDescent="0.35">
      <c r="I5330" s="83" t="e">
        <f>VLOOKUP(E5330,[1]Mapping!$A$3:$B$14,2,FALSE)</f>
        <v>#N/A</v>
      </c>
      <c r="J5330" s="84">
        <f t="shared" si="170"/>
        <v>0</v>
      </c>
      <c r="K5330" s="84">
        <f t="shared" si="171"/>
        <v>0</v>
      </c>
      <c r="L5330" s="61" t="e">
        <f>VLOOKUP(K5330,[1]Mapping!$J$3:$Q$351,8,FALSE)</f>
        <v>#N/A</v>
      </c>
      <c r="M5330" t="s">
        <v>83</v>
      </c>
    </row>
    <row r="5331" spans="9:13" hidden="1" x14ac:dyDescent="0.35">
      <c r="I5331" s="83" t="e">
        <f>VLOOKUP(E5331,[1]Mapping!$A$3:$B$14,2,FALSE)</f>
        <v>#N/A</v>
      </c>
      <c r="J5331" s="84">
        <f t="shared" si="170"/>
        <v>0</v>
      </c>
      <c r="K5331" s="84">
        <f t="shared" si="171"/>
        <v>0</v>
      </c>
      <c r="L5331" s="61" t="e">
        <f>VLOOKUP(K5331,[1]Mapping!$J$3:$Q$351,8,FALSE)</f>
        <v>#N/A</v>
      </c>
      <c r="M5331" t="s">
        <v>83</v>
      </c>
    </row>
    <row r="5332" spans="9:13" hidden="1" x14ac:dyDescent="0.35">
      <c r="I5332" s="83" t="e">
        <f>VLOOKUP(E5332,[1]Mapping!$A$3:$B$14,2,FALSE)</f>
        <v>#N/A</v>
      </c>
      <c r="J5332" s="84">
        <f t="shared" si="170"/>
        <v>0</v>
      </c>
      <c r="K5332" s="84">
        <f t="shared" si="171"/>
        <v>0</v>
      </c>
      <c r="L5332" s="61" t="e">
        <f>VLOOKUP(K5332,[1]Mapping!$J$3:$Q$351,8,FALSE)</f>
        <v>#N/A</v>
      </c>
      <c r="M5332" t="s">
        <v>83</v>
      </c>
    </row>
    <row r="5333" spans="9:13" hidden="1" x14ac:dyDescent="0.35">
      <c r="I5333" s="83" t="e">
        <f>VLOOKUP(E5333,[1]Mapping!$A$3:$B$14,2,FALSE)</f>
        <v>#N/A</v>
      </c>
      <c r="J5333" s="84">
        <f t="shared" si="170"/>
        <v>0</v>
      </c>
      <c r="K5333" s="84">
        <f t="shared" si="171"/>
        <v>0</v>
      </c>
      <c r="L5333" s="61" t="e">
        <f>VLOOKUP(K5333,[1]Mapping!$J$3:$Q$351,8,FALSE)</f>
        <v>#N/A</v>
      </c>
      <c r="M5333" t="s">
        <v>83</v>
      </c>
    </row>
    <row r="5334" spans="9:13" hidden="1" x14ac:dyDescent="0.35">
      <c r="I5334" s="83" t="e">
        <f>VLOOKUP(E5334,[1]Mapping!$A$3:$B$14,2,FALSE)</f>
        <v>#N/A</v>
      </c>
      <c r="J5334" s="84">
        <f t="shared" si="170"/>
        <v>0</v>
      </c>
      <c r="K5334" s="84">
        <f t="shared" si="171"/>
        <v>0</v>
      </c>
      <c r="L5334" s="61" t="e">
        <f>VLOOKUP(K5334,[1]Mapping!$J$3:$Q$351,8,FALSE)</f>
        <v>#N/A</v>
      </c>
      <c r="M5334" t="s">
        <v>83</v>
      </c>
    </row>
    <row r="5335" spans="9:13" hidden="1" x14ac:dyDescent="0.35">
      <c r="I5335" s="83" t="e">
        <f>VLOOKUP(E5335,[1]Mapping!$A$3:$B$14,2,FALSE)</f>
        <v>#N/A</v>
      </c>
      <c r="J5335" s="84">
        <f t="shared" si="170"/>
        <v>0</v>
      </c>
      <c r="K5335" s="84">
        <f t="shared" si="171"/>
        <v>0</v>
      </c>
      <c r="L5335" s="61" t="e">
        <f>VLOOKUP(K5335,[1]Mapping!$J$3:$Q$351,8,FALSE)</f>
        <v>#N/A</v>
      </c>
      <c r="M5335" t="s">
        <v>83</v>
      </c>
    </row>
    <row r="5336" spans="9:13" hidden="1" x14ac:dyDescent="0.35">
      <c r="I5336" s="83" t="e">
        <f>VLOOKUP(E5336,[1]Mapping!$A$3:$B$14,2,FALSE)</f>
        <v>#N/A</v>
      </c>
      <c r="J5336" s="84">
        <f t="shared" si="170"/>
        <v>0</v>
      </c>
      <c r="K5336" s="84">
        <f t="shared" si="171"/>
        <v>0</v>
      </c>
      <c r="L5336" s="61" t="e">
        <f>VLOOKUP(K5336,[1]Mapping!$J$3:$Q$351,8,FALSE)</f>
        <v>#N/A</v>
      </c>
      <c r="M5336" t="s">
        <v>83</v>
      </c>
    </row>
    <row r="5337" spans="9:13" hidden="1" x14ac:dyDescent="0.35">
      <c r="I5337" s="83" t="e">
        <f>VLOOKUP(E5337,[1]Mapping!$A$3:$B$14,2,FALSE)</f>
        <v>#N/A</v>
      </c>
      <c r="J5337" s="84">
        <f t="shared" si="170"/>
        <v>0</v>
      </c>
      <c r="K5337" s="84">
        <f t="shared" si="171"/>
        <v>0</v>
      </c>
      <c r="L5337" s="61" t="e">
        <f>VLOOKUP(K5337,[1]Mapping!$J$3:$Q$351,8,FALSE)</f>
        <v>#N/A</v>
      </c>
      <c r="M5337" t="s">
        <v>83</v>
      </c>
    </row>
    <row r="5338" spans="9:13" hidden="1" x14ac:dyDescent="0.35">
      <c r="I5338" s="83" t="e">
        <f>VLOOKUP(E5338,[1]Mapping!$A$3:$B$14,2,FALSE)</f>
        <v>#N/A</v>
      </c>
      <c r="J5338" s="84">
        <f t="shared" si="170"/>
        <v>0</v>
      </c>
      <c r="K5338" s="84">
        <f t="shared" si="171"/>
        <v>0</v>
      </c>
      <c r="L5338" s="61" t="e">
        <f>VLOOKUP(K5338,[1]Mapping!$J$3:$Q$351,8,FALSE)</f>
        <v>#N/A</v>
      </c>
      <c r="M5338" t="s">
        <v>83</v>
      </c>
    </row>
    <row r="5339" spans="9:13" hidden="1" x14ac:dyDescent="0.35">
      <c r="I5339" s="83" t="e">
        <f>VLOOKUP(E5339,[1]Mapping!$A$3:$B$14,2,FALSE)</f>
        <v>#N/A</v>
      </c>
      <c r="J5339" s="84">
        <f t="shared" si="170"/>
        <v>0</v>
      </c>
      <c r="K5339" s="84">
        <f t="shared" si="171"/>
        <v>0</v>
      </c>
      <c r="L5339" s="61" t="e">
        <f>VLOOKUP(K5339,[1]Mapping!$J$3:$Q$351,8,FALSE)</f>
        <v>#N/A</v>
      </c>
      <c r="M5339" t="s">
        <v>83</v>
      </c>
    </row>
    <row r="5340" spans="9:13" hidden="1" x14ac:dyDescent="0.35">
      <c r="I5340" s="83" t="e">
        <f>VLOOKUP(E5340,[1]Mapping!$A$3:$B$14,2,FALSE)</f>
        <v>#N/A</v>
      </c>
      <c r="J5340" s="84">
        <f t="shared" si="170"/>
        <v>0</v>
      </c>
      <c r="K5340" s="84">
        <f t="shared" si="171"/>
        <v>0</v>
      </c>
      <c r="L5340" s="61" t="e">
        <f>VLOOKUP(K5340,[1]Mapping!$J$3:$Q$351,8,FALSE)</f>
        <v>#N/A</v>
      </c>
      <c r="M5340" t="s">
        <v>83</v>
      </c>
    </row>
    <row r="5341" spans="9:13" hidden="1" x14ac:dyDescent="0.35">
      <c r="I5341" s="83" t="e">
        <f>VLOOKUP(E5341,[1]Mapping!$A$3:$B$14,2,FALSE)</f>
        <v>#N/A</v>
      </c>
      <c r="J5341" s="84">
        <f t="shared" si="170"/>
        <v>0</v>
      </c>
      <c r="K5341" s="84">
        <f t="shared" si="171"/>
        <v>0</v>
      </c>
      <c r="L5341" s="61" t="e">
        <f>VLOOKUP(K5341,[1]Mapping!$J$3:$Q$351,8,FALSE)</f>
        <v>#N/A</v>
      </c>
      <c r="M5341" t="s">
        <v>83</v>
      </c>
    </row>
    <row r="5342" spans="9:13" hidden="1" x14ac:dyDescent="0.35">
      <c r="I5342" s="83" t="e">
        <f>VLOOKUP(E5342,[1]Mapping!$A$3:$B$14,2,FALSE)</f>
        <v>#N/A</v>
      </c>
      <c r="J5342" s="84">
        <f t="shared" si="170"/>
        <v>0</v>
      </c>
      <c r="K5342" s="84">
        <f t="shared" si="171"/>
        <v>0</v>
      </c>
      <c r="L5342" s="61" t="e">
        <f>VLOOKUP(K5342,[1]Mapping!$J$3:$Q$351,8,FALSE)</f>
        <v>#N/A</v>
      </c>
      <c r="M5342" t="s">
        <v>83</v>
      </c>
    </row>
    <row r="5343" spans="9:13" hidden="1" x14ac:dyDescent="0.35">
      <c r="I5343" s="83" t="e">
        <f>VLOOKUP(E5343,[1]Mapping!$A$3:$B$14,2,FALSE)</f>
        <v>#N/A</v>
      </c>
      <c r="J5343" s="84">
        <f t="shared" si="170"/>
        <v>0</v>
      </c>
      <c r="K5343" s="84">
        <f t="shared" si="171"/>
        <v>0</v>
      </c>
      <c r="L5343" s="61" t="e">
        <f>VLOOKUP(K5343,[1]Mapping!$J$3:$Q$351,8,FALSE)</f>
        <v>#N/A</v>
      </c>
      <c r="M5343" t="s">
        <v>83</v>
      </c>
    </row>
    <row r="5344" spans="9:13" hidden="1" x14ac:dyDescent="0.35">
      <c r="I5344" s="83" t="e">
        <f>VLOOKUP(E5344,[1]Mapping!$A$3:$B$14,2,FALSE)</f>
        <v>#N/A</v>
      </c>
      <c r="J5344" s="84">
        <f t="shared" si="170"/>
        <v>0</v>
      </c>
      <c r="K5344" s="84">
        <f t="shared" si="171"/>
        <v>0</v>
      </c>
      <c r="L5344" s="61" t="e">
        <f>VLOOKUP(K5344,[1]Mapping!$J$3:$Q$351,8,FALSE)</f>
        <v>#N/A</v>
      </c>
      <c r="M5344" t="s">
        <v>83</v>
      </c>
    </row>
    <row r="5345" spans="9:13" hidden="1" x14ac:dyDescent="0.35">
      <c r="I5345" s="83" t="e">
        <f>VLOOKUP(E5345,[1]Mapping!$A$3:$B$14,2,FALSE)</f>
        <v>#N/A</v>
      </c>
      <c r="J5345" s="84">
        <f t="shared" si="170"/>
        <v>0</v>
      </c>
      <c r="K5345" s="84">
        <f t="shared" si="171"/>
        <v>0</v>
      </c>
      <c r="L5345" s="61" t="e">
        <f>VLOOKUP(K5345,[1]Mapping!$J$3:$Q$351,8,FALSE)</f>
        <v>#N/A</v>
      </c>
      <c r="M5345" t="s">
        <v>83</v>
      </c>
    </row>
    <row r="5346" spans="9:13" hidden="1" x14ac:dyDescent="0.35">
      <c r="I5346" s="83" t="e">
        <f>VLOOKUP(E5346,[1]Mapping!$A$3:$B$14,2,FALSE)</f>
        <v>#N/A</v>
      </c>
      <c r="J5346" s="84">
        <f t="shared" si="170"/>
        <v>0</v>
      </c>
      <c r="K5346" s="84">
        <f t="shared" si="171"/>
        <v>0</v>
      </c>
      <c r="L5346" s="61" t="e">
        <f>VLOOKUP(K5346,[1]Mapping!$J$3:$Q$351,8,FALSE)</f>
        <v>#N/A</v>
      </c>
      <c r="M5346" t="s">
        <v>83</v>
      </c>
    </row>
    <row r="5347" spans="9:13" hidden="1" x14ac:dyDescent="0.35">
      <c r="I5347" s="83" t="e">
        <f>VLOOKUP(E5347,[1]Mapping!$A$3:$B$14,2,FALSE)</f>
        <v>#N/A</v>
      </c>
      <c r="J5347" s="84">
        <f t="shared" si="170"/>
        <v>0</v>
      </c>
      <c r="K5347" s="84">
        <f t="shared" si="171"/>
        <v>0</v>
      </c>
      <c r="L5347" s="61" t="e">
        <f>VLOOKUP(K5347,[1]Mapping!$J$3:$Q$351,8,FALSE)</f>
        <v>#N/A</v>
      </c>
      <c r="M5347" t="s">
        <v>83</v>
      </c>
    </row>
    <row r="5348" spans="9:13" hidden="1" x14ac:dyDescent="0.35">
      <c r="I5348" s="83" t="e">
        <f>VLOOKUP(E5348,[1]Mapping!$A$3:$B$14,2,FALSE)</f>
        <v>#N/A</v>
      </c>
      <c r="J5348" s="84">
        <f t="shared" si="170"/>
        <v>0</v>
      </c>
      <c r="K5348" s="84">
        <f t="shared" si="171"/>
        <v>0</v>
      </c>
      <c r="L5348" s="61" t="e">
        <f>VLOOKUP(K5348,[1]Mapping!$J$3:$Q$351,8,FALSE)</f>
        <v>#N/A</v>
      </c>
      <c r="M5348" t="s">
        <v>83</v>
      </c>
    </row>
    <row r="5349" spans="9:13" hidden="1" x14ac:dyDescent="0.35">
      <c r="I5349" s="83" t="e">
        <f>VLOOKUP(E5349,[1]Mapping!$A$3:$B$14,2,FALSE)</f>
        <v>#N/A</v>
      </c>
      <c r="J5349" s="84">
        <f t="shared" si="170"/>
        <v>0</v>
      </c>
      <c r="K5349" s="84">
        <f t="shared" si="171"/>
        <v>0</v>
      </c>
      <c r="L5349" s="61" t="e">
        <f>VLOOKUP(K5349,[1]Mapping!$J$3:$Q$351,8,FALSE)</f>
        <v>#N/A</v>
      </c>
      <c r="M5349" t="s">
        <v>83</v>
      </c>
    </row>
    <row r="5350" spans="9:13" hidden="1" x14ac:dyDescent="0.35">
      <c r="I5350" s="83" t="e">
        <f>VLOOKUP(E5350,[1]Mapping!$A$3:$B$14,2,FALSE)</f>
        <v>#N/A</v>
      </c>
      <c r="J5350" s="84">
        <f t="shared" si="170"/>
        <v>0</v>
      </c>
      <c r="K5350" s="84">
        <f t="shared" si="171"/>
        <v>0</v>
      </c>
      <c r="L5350" s="61" t="e">
        <f>VLOOKUP(K5350,[1]Mapping!$J$3:$Q$351,8,FALSE)</f>
        <v>#N/A</v>
      </c>
      <c r="M5350" t="s">
        <v>83</v>
      </c>
    </row>
    <row r="5351" spans="9:13" hidden="1" x14ac:dyDescent="0.35">
      <c r="I5351" s="83" t="e">
        <f>VLOOKUP(E5351,[1]Mapping!$A$3:$B$14,2,FALSE)</f>
        <v>#N/A</v>
      </c>
      <c r="J5351" s="84">
        <f t="shared" si="170"/>
        <v>0</v>
      </c>
      <c r="K5351" s="84">
        <f t="shared" si="171"/>
        <v>0</v>
      </c>
      <c r="L5351" s="61" t="e">
        <f>VLOOKUP(K5351,[1]Mapping!$J$3:$Q$351,8,FALSE)</f>
        <v>#N/A</v>
      </c>
      <c r="M5351" t="s">
        <v>83</v>
      </c>
    </row>
    <row r="5352" spans="9:13" hidden="1" x14ac:dyDescent="0.35">
      <c r="I5352" s="83" t="e">
        <f>VLOOKUP(E5352,[1]Mapping!$A$3:$B$14,2,FALSE)</f>
        <v>#N/A</v>
      </c>
      <c r="J5352" s="84">
        <f t="shared" si="170"/>
        <v>0</v>
      </c>
      <c r="K5352" s="84">
        <f t="shared" si="171"/>
        <v>0</v>
      </c>
      <c r="L5352" s="61" t="e">
        <f>VLOOKUP(K5352,[1]Mapping!$J$3:$Q$351,8,FALSE)</f>
        <v>#N/A</v>
      </c>
      <c r="M5352" t="s">
        <v>83</v>
      </c>
    </row>
    <row r="5353" spans="9:13" hidden="1" x14ac:dyDescent="0.35">
      <c r="I5353" s="83" t="e">
        <f>VLOOKUP(E5353,[1]Mapping!$A$3:$B$14,2,FALSE)</f>
        <v>#N/A</v>
      </c>
      <c r="J5353" s="84">
        <f t="shared" si="170"/>
        <v>0</v>
      </c>
      <c r="K5353" s="84">
        <f t="shared" si="171"/>
        <v>0</v>
      </c>
      <c r="L5353" s="61" t="e">
        <f>VLOOKUP(K5353,[1]Mapping!$J$3:$Q$351,8,FALSE)</f>
        <v>#N/A</v>
      </c>
      <c r="M5353" t="s">
        <v>83</v>
      </c>
    </row>
    <row r="5354" spans="9:13" hidden="1" x14ac:dyDescent="0.35">
      <c r="I5354" s="83" t="e">
        <f>VLOOKUP(E5354,[1]Mapping!$A$3:$B$14,2,FALSE)</f>
        <v>#N/A</v>
      </c>
      <c r="J5354" s="84">
        <f t="shared" si="170"/>
        <v>0</v>
      </c>
      <c r="K5354" s="84">
        <f t="shared" si="171"/>
        <v>0</v>
      </c>
      <c r="L5354" s="61" t="e">
        <f>VLOOKUP(K5354,[1]Mapping!$J$3:$Q$351,8,FALSE)</f>
        <v>#N/A</v>
      </c>
      <c r="M5354" t="s">
        <v>83</v>
      </c>
    </row>
    <row r="5355" spans="9:13" hidden="1" x14ac:dyDescent="0.35">
      <c r="I5355" s="83" t="e">
        <f>VLOOKUP(E5355,[1]Mapping!$A$3:$B$14,2,FALSE)</f>
        <v>#N/A</v>
      </c>
      <c r="J5355" s="84">
        <f t="shared" si="170"/>
        <v>0</v>
      </c>
      <c r="K5355" s="84">
        <f t="shared" si="171"/>
        <v>0</v>
      </c>
      <c r="L5355" s="61" t="e">
        <f>VLOOKUP(K5355,[1]Mapping!$J$3:$Q$351,8,FALSE)</f>
        <v>#N/A</v>
      </c>
      <c r="M5355" t="s">
        <v>83</v>
      </c>
    </row>
    <row r="5356" spans="9:13" hidden="1" x14ac:dyDescent="0.35">
      <c r="I5356" s="83" t="e">
        <f>VLOOKUP(E5356,[1]Mapping!$A$3:$B$14,2,FALSE)</f>
        <v>#N/A</v>
      </c>
      <c r="J5356" s="84">
        <f t="shared" si="170"/>
        <v>0</v>
      </c>
      <c r="K5356" s="84">
        <f t="shared" si="171"/>
        <v>0</v>
      </c>
      <c r="L5356" s="61" t="e">
        <f>VLOOKUP(K5356,[1]Mapping!$J$3:$Q$351,8,FALSE)</f>
        <v>#N/A</v>
      </c>
      <c r="M5356" t="s">
        <v>83</v>
      </c>
    </row>
    <row r="5357" spans="9:13" hidden="1" x14ac:dyDescent="0.35">
      <c r="I5357" s="83" t="e">
        <f>VLOOKUP(E5357,[1]Mapping!$A$3:$B$14,2,FALSE)</f>
        <v>#N/A</v>
      </c>
      <c r="J5357" s="84">
        <f t="shared" si="170"/>
        <v>0</v>
      </c>
      <c r="K5357" s="84">
        <f t="shared" si="171"/>
        <v>0</v>
      </c>
      <c r="L5357" s="61" t="e">
        <f>VLOOKUP(K5357,[1]Mapping!$J$3:$Q$351,8,FALSE)</f>
        <v>#N/A</v>
      </c>
      <c r="M5357" t="s">
        <v>83</v>
      </c>
    </row>
    <row r="5358" spans="9:13" hidden="1" x14ac:dyDescent="0.35">
      <c r="I5358" s="83" t="e">
        <f>VLOOKUP(E5358,[1]Mapping!$A$3:$B$14,2,FALSE)</f>
        <v>#N/A</v>
      </c>
      <c r="J5358" s="84">
        <f t="shared" si="170"/>
        <v>0</v>
      </c>
      <c r="K5358" s="84">
        <f t="shared" si="171"/>
        <v>0</v>
      </c>
      <c r="L5358" s="61" t="e">
        <f>VLOOKUP(K5358,[1]Mapping!$J$3:$Q$351,8,FALSE)</f>
        <v>#N/A</v>
      </c>
      <c r="M5358" t="s">
        <v>83</v>
      </c>
    </row>
    <row r="5359" spans="9:13" hidden="1" x14ac:dyDescent="0.35">
      <c r="I5359" s="83" t="e">
        <f>VLOOKUP(E5359,[1]Mapping!$A$3:$B$14,2,FALSE)</f>
        <v>#N/A</v>
      </c>
      <c r="J5359" s="84">
        <f t="shared" si="170"/>
        <v>0</v>
      </c>
      <c r="K5359" s="84">
        <f t="shared" si="171"/>
        <v>0</v>
      </c>
      <c r="L5359" s="61" t="e">
        <f>VLOOKUP(K5359,[1]Mapping!$J$3:$Q$351,8,FALSE)</f>
        <v>#N/A</v>
      </c>
      <c r="M5359" t="s">
        <v>83</v>
      </c>
    </row>
    <row r="5360" spans="9:13" hidden="1" x14ac:dyDescent="0.35">
      <c r="I5360" s="83" t="e">
        <f>VLOOKUP(E5360,[1]Mapping!$A$3:$B$14,2,FALSE)</f>
        <v>#N/A</v>
      </c>
      <c r="J5360" s="84">
        <f t="shared" si="170"/>
        <v>0</v>
      </c>
      <c r="K5360" s="84">
        <f t="shared" si="171"/>
        <v>0</v>
      </c>
      <c r="L5360" s="61" t="e">
        <f>VLOOKUP(K5360,[1]Mapping!$J$3:$Q$351,8,FALSE)</f>
        <v>#N/A</v>
      </c>
      <c r="M5360" t="s">
        <v>83</v>
      </c>
    </row>
    <row r="5361" spans="9:13" hidden="1" x14ac:dyDescent="0.35">
      <c r="I5361" s="83" t="e">
        <f>VLOOKUP(E5361,[1]Mapping!$A$3:$B$14,2,FALSE)</f>
        <v>#N/A</v>
      </c>
      <c r="J5361" s="84">
        <f t="shared" si="170"/>
        <v>0</v>
      </c>
      <c r="K5361" s="84">
        <f t="shared" si="171"/>
        <v>0</v>
      </c>
      <c r="L5361" s="61" t="e">
        <f>VLOOKUP(K5361,[1]Mapping!$J$3:$Q$351,8,FALSE)</f>
        <v>#N/A</v>
      </c>
      <c r="M5361" t="s">
        <v>83</v>
      </c>
    </row>
    <row r="5362" spans="9:13" hidden="1" x14ac:dyDescent="0.35">
      <c r="I5362" s="83" t="e">
        <f>VLOOKUP(E5362,[1]Mapping!$A$3:$B$14,2,FALSE)</f>
        <v>#N/A</v>
      </c>
      <c r="J5362" s="84">
        <f t="shared" si="170"/>
        <v>0</v>
      </c>
      <c r="K5362" s="84">
        <f t="shared" si="171"/>
        <v>0</v>
      </c>
      <c r="L5362" s="61" t="e">
        <f>VLOOKUP(K5362,[1]Mapping!$J$3:$Q$351,8,FALSE)</f>
        <v>#N/A</v>
      </c>
      <c r="M5362" t="s">
        <v>83</v>
      </c>
    </row>
    <row r="5363" spans="9:13" hidden="1" x14ac:dyDescent="0.35">
      <c r="I5363" s="83" t="e">
        <f>VLOOKUP(E5363,[1]Mapping!$A$3:$B$14,2,FALSE)</f>
        <v>#N/A</v>
      </c>
      <c r="J5363" s="84">
        <f t="shared" si="170"/>
        <v>0</v>
      </c>
      <c r="K5363" s="84">
        <f t="shared" si="171"/>
        <v>0</v>
      </c>
      <c r="L5363" s="61" t="e">
        <f>VLOOKUP(K5363,[1]Mapping!$J$3:$Q$351,8,FALSE)</f>
        <v>#N/A</v>
      </c>
      <c r="M5363" t="s">
        <v>83</v>
      </c>
    </row>
    <row r="5364" spans="9:13" hidden="1" x14ac:dyDescent="0.35">
      <c r="I5364" s="83" t="e">
        <f>VLOOKUP(E5364,[1]Mapping!$A$3:$B$14,2,FALSE)</f>
        <v>#N/A</v>
      </c>
      <c r="J5364" s="84">
        <f t="shared" si="170"/>
        <v>0</v>
      </c>
      <c r="K5364" s="84">
        <f t="shared" si="171"/>
        <v>0</v>
      </c>
      <c r="L5364" s="61" t="e">
        <f>VLOOKUP(K5364,[1]Mapping!$J$3:$Q$351,8,FALSE)</f>
        <v>#N/A</v>
      </c>
      <c r="M5364" t="s">
        <v>83</v>
      </c>
    </row>
    <row r="5365" spans="9:13" hidden="1" x14ac:dyDescent="0.35">
      <c r="I5365" s="83" t="e">
        <f>VLOOKUP(E5365,[1]Mapping!$A$3:$B$14,2,FALSE)</f>
        <v>#N/A</v>
      </c>
      <c r="J5365" s="84">
        <f t="shared" si="170"/>
        <v>0</v>
      </c>
      <c r="K5365" s="84">
        <f t="shared" si="171"/>
        <v>0</v>
      </c>
      <c r="L5365" s="61" t="e">
        <f>VLOOKUP(K5365,[1]Mapping!$J$3:$Q$351,8,FALSE)</f>
        <v>#N/A</v>
      </c>
      <c r="M5365" t="s">
        <v>83</v>
      </c>
    </row>
    <row r="5366" spans="9:13" hidden="1" x14ac:dyDescent="0.35">
      <c r="I5366" s="83" t="e">
        <f>VLOOKUP(E5366,[1]Mapping!$A$3:$B$14,2,FALSE)</f>
        <v>#N/A</v>
      </c>
      <c r="J5366" s="84">
        <f t="shared" si="170"/>
        <v>0</v>
      </c>
      <c r="K5366" s="84">
        <f t="shared" si="171"/>
        <v>0</v>
      </c>
      <c r="L5366" s="61" t="e">
        <f>VLOOKUP(K5366,[1]Mapping!$J$3:$Q$351,8,FALSE)</f>
        <v>#N/A</v>
      </c>
      <c r="M5366" t="s">
        <v>83</v>
      </c>
    </row>
    <row r="5367" spans="9:13" hidden="1" x14ac:dyDescent="0.35">
      <c r="I5367" s="83" t="e">
        <f>VLOOKUP(E5367,[1]Mapping!$A$3:$B$14,2,FALSE)</f>
        <v>#N/A</v>
      </c>
      <c r="J5367" s="84">
        <f t="shared" si="170"/>
        <v>0</v>
      </c>
      <c r="K5367" s="84">
        <f t="shared" si="171"/>
        <v>0</v>
      </c>
      <c r="L5367" s="61" t="e">
        <f>VLOOKUP(K5367,[1]Mapping!$J$3:$Q$351,8,FALSE)</f>
        <v>#N/A</v>
      </c>
      <c r="M5367" t="s">
        <v>83</v>
      </c>
    </row>
    <row r="5368" spans="9:13" hidden="1" x14ac:dyDescent="0.35">
      <c r="I5368" s="83" t="e">
        <f>VLOOKUP(E5368,[1]Mapping!$A$3:$B$14,2,FALSE)</f>
        <v>#N/A</v>
      </c>
      <c r="J5368" s="84">
        <f t="shared" si="170"/>
        <v>0</v>
      </c>
      <c r="K5368" s="84">
        <f t="shared" si="171"/>
        <v>0</v>
      </c>
      <c r="L5368" s="61" t="e">
        <f>VLOOKUP(K5368,[1]Mapping!$J$3:$Q$351,8,FALSE)</f>
        <v>#N/A</v>
      </c>
      <c r="M5368" t="s">
        <v>83</v>
      </c>
    </row>
    <row r="5369" spans="9:13" hidden="1" x14ac:dyDescent="0.35">
      <c r="I5369" s="83" t="e">
        <f>VLOOKUP(E5369,[1]Mapping!$A$3:$B$14,2,FALSE)</f>
        <v>#N/A</v>
      </c>
      <c r="J5369" s="84">
        <f t="shared" si="170"/>
        <v>0</v>
      </c>
      <c r="K5369" s="84">
        <f t="shared" si="171"/>
        <v>0</v>
      </c>
      <c r="L5369" s="61" t="e">
        <f>VLOOKUP(K5369,[1]Mapping!$J$3:$Q$351,8,FALSE)</f>
        <v>#N/A</v>
      </c>
      <c r="M5369" t="s">
        <v>83</v>
      </c>
    </row>
    <row r="5370" spans="9:13" hidden="1" x14ac:dyDescent="0.35">
      <c r="I5370" s="83" t="e">
        <f>VLOOKUP(E5370,[1]Mapping!$A$3:$B$14,2,FALSE)</f>
        <v>#N/A</v>
      </c>
      <c r="J5370" s="84">
        <f t="shared" si="170"/>
        <v>0</v>
      </c>
      <c r="K5370" s="84">
        <f t="shared" si="171"/>
        <v>0</v>
      </c>
      <c r="L5370" s="61" t="e">
        <f>VLOOKUP(K5370,[1]Mapping!$J$3:$Q$351,8,FALSE)</f>
        <v>#N/A</v>
      </c>
      <c r="M5370" t="s">
        <v>83</v>
      </c>
    </row>
    <row r="5371" spans="9:13" hidden="1" x14ac:dyDescent="0.35">
      <c r="I5371" s="83" t="e">
        <f>VLOOKUP(E5371,[1]Mapping!$A$3:$B$14,2,FALSE)</f>
        <v>#N/A</v>
      </c>
      <c r="J5371" s="84">
        <f t="shared" si="170"/>
        <v>0</v>
      </c>
      <c r="K5371" s="84">
        <f t="shared" si="171"/>
        <v>0</v>
      </c>
      <c r="L5371" s="61" t="e">
        <f>VLOOKUP(K5371,[1]Mapping!$J$3:$Q$351,8,FALSE)</f>
        <v>#N/A</v>
      </c>
      <c r="M5371" t="s">
        <v>83</v>
      </c>
    </row>
    <row r="5372" spans="9:13" hidden="1" x14ac:dyDescent="0.35">
      <c r="I5372" s="83" t="e">
        <f>VLOOKUP(E5372,[1]Mapping!$A$3:$B$14,2,FALSE)</f>
        <v>#N/A</v>
      </c>
      <c r="J5372" s="84">
        <f t="shared" si="170"/>
        <v>0</v>
      </c>
      <c r="K5372" s="84">
        <f t="shared" si="171"/>
        <v>0</v>
      </c>
      <c r="L5372" s="61" t="e">
        <f>VLOOKUP(K5372,[1]Mapping!$J$3:$Q$351,8,FALSE)</f>
        <v>#N/A</v>
      </c>
      <c r="M5372" t="s">
        <v>83</v>
      </c>
    </row>
    <row r="5373" spans="9:13" hidden="1" x14ac:dyDescent="0.35">
      <c r="I5373" s="83" t="e">
        <f>VLOOKUP(E5373,[1]Mapping!$A$3:$B$14,2,FALSE)</f>
        <v>#N/A</v>
      </c>
      <c r="J5373" s="84">
        <f t="shared" si="170"/>
        <v>0</v>
      </c>
      <c r="K5373" s="84">
        <f t="shared" si="171"/>
        <v>0</v>
      </c>
      <c r="L5373" s="61" t="e">
        <f>VLOOKUP(K5373,[1]Mapping!$J$3:$Q$351,8,FALSE)</f>
        <v>#N/A</v>
      </c>
      <c r="M5373" t="s">
        <v>83</v>
      </c>
    </row>
    <row r="5374" spans="9:13" hidden="1" x14ac:dyDescent="0.35">
      <c r="I5374" s="83" t="e">
        <f>VLOOKUP(E5374,[1]Mapping!$A$3:$B$14,2,FALSE)</f>
        <v>#N/A</v>
      </c>
      <c r="J5374" s="84">
        <f t="shared" si="170"/>
        <v>0</v>
      </c>
      <c r="K5374" s="84">
        <f t="shared" si="171"/>
        <v>0</v>
      </c>
      <c r="L5374" s="61" t="e">
        <f>VLOOKUP(K5374,[1]Mapping!$J$3:$Q$351,8,FALSE)</f>
        <v>#N/A</v>
      </c>
      <c r="M5374" t="s">
        <v>83</v>
      </c>
    </row>
    <row r="5375" spans="9:13" hidden="1" x14ac:dyDescent="0.35">
      <c r="I5375" s="83" t="e">
        <f>VLOOKUP(E5375,[1]Mapping!$A$3:$B$14,2,FALSE)</f>
        <v>#N/A</v>
      </c>
      <c r="J5375" s="84">
        <f t="shared" si="170"/>
        <v>0</v>
      </c>
      <c r="K5375" s="84">
        <f t="shared" si="171"/>
        <v>0</v>
      </c>
      <c r="L5375" s="61" t="e">
        <f>VLOOKUP(K5375,[1]Mapping!$J$3:$Q$351,8,FALSE)</f>
        <v>#N/A</v>
      </c>
      <c r="M5375" t="s">
        <v>83</v>
      </c>
    </row>
    <row r="5376" spans="9:13" hidden="1" x14ac:dyDescent="0.35">
      <c r="I5376" s="83" t="e">
        <f>VLOOKUP(E5376,[1]Mapping!$A$3:$B$14,2,FALSE)</f>
        <v>#N/A</v>
      </c>
      <c r="J5376" s="84">
        <f t="shared" si="170"/>
        <v>0</v>
      </c>
      <c r="K5376" s="84">
        <f t="shared" si="171"/>
        <v>0</v>
      </c>
      <c r="L5376" s="61" t="e">
        <f>VLOOKUP(K5376,[1]Mapping!$J$3:$Q$351,8,FALSE)</f>
        <v>#N/A</v>
      </c>
      <c r="M5376" t="s">
        <v>83</v>
      </c>
    </row>
    <row r="5377" spans="9:13" hidden="1" x14ac:dyDescent="0.35">
      <c r="I5377" s="83" t="e">
        <f>VLOOKUP(E5377,[1]Mapping!$A$3:$B$14,2,FALSE)</f>
        <v>#N/A</v>
      </c>
      <c r="J5377" s="84">
        <f t="shared" si="170"/>
        <v>0</v>
      </c>
      <c r="K5377" s="84">
        <f t="shared" si="171"/>
        <v>0</v>
      </c>
      <c r="L5377" s="61" t="e">
        <f>VLOOKUP(K5377,[1]Mapping!$J$3:$Q$351,8,FALSE)</f>
        <v>#N/A</v>
      </c>
      <c r="M5377" t="s">
        <v>83</v>
      </c>
    </row>
    <row r="5378" spans="9:13" hidden="1" x14ac:dyDescent="0.35">
      <c r="I5378" s="83" t="e">
        <f>VLOOKUP(E5378,[1]Mapping!$A$3:$B$14,2,FALSE)</f>
        <v>#N/A</v>
      </c>
      <c r="J5378" s="84">
        <f t="shared" si="170"/>
        <v>0</v>
      </c>
      <c r="K5378" s="84">
        <f t="shared" si="171"/>
        <v>0</v>
      </c>
      <c r="L5378" s="61" t="e">
        <f>VLOOKUP(K5378,[1]Mapping!$J$3:$Q$351,8,FALSE)</f>
        <v>#N/A</v>
      </c>
      <c r="M5378" t="s">
        <v>83</v>
      </c>
    </row>
    <row r="5379" spans="9:13" hidden="1" x14ac:dyDescent="0.35">
      <c r="I5379" s="83" t="e">
        <f>VLOOKUP(E5379,[1]Mapping!$A$3:$B$14,2,FALSE)</f>
        <v>#N/A</v>
      </c>
      <c r="J5379" s="84">
        <f t="shared" si="170"/>
        <v>0</v>
      </c>
      <c r="K5379" s="84">
        <f t="shared" si="171"/>
        <v>0</v>
      </c>
      <c r="L5379" s="61" t="e">
        <f>VLOOKUP(K5379,[1]Mapping!$J$3:$Q$351,8,FALSE)</f>
        <v>#N/A</v>
      </c>
      <c r="M5379" t="s">
        <v>83</v>
      </c>
    </row>
    <row r="5380" spans="9:13" hidden="1" x14ac:dyDescent="0.35">
      <c r="I5380" s="83" t="e">
        <f>VLOOKUP(E5380,[1]Mapping!$A$3:$B$14,2,FALSE)</f>
        <v>#N/A</v>
      </c>
      <c r="J5380" s="84">
        <f t="shared" si="170"/>
        <v>0</v>
      </c>
      <c r="K5380" s="84">
        <f t="shared" si="171"/>
        <v>0</v>
      </c>
      <c r="L5380" s="61" t="e">
        <f>VLOOKUP(K5380,[1]Mapping!$J$3:$Q$351,8,FALSE)</f>
        <v>#N/A</v>
      </c>
      <c r="M5380" t="s">
        <v>83</v>
      </c>
    </row>
    <row r="5381" spans="9:13" hidden="1" x14ac:dyDescent="0.35">
      <c r="I5381" s="83" t="e">
        <f>VLOOKUP(E5381,[1]Mapping!$A$3:$B$14,2,FALSE)</f>
        <v>#N/A</v>
      </c>
      <c r="J5381" s="84">
        <f t="shared" si="170"/>
        <v>0</v>
      </c>
      <c r="K5381" s="84">
        <f t="shared" si="171"/>
        <v>0</v>
      </c>
      <c r="L5381" s="61" t="e">
        <f>VLOOKUP(K5381,[1]Mapping!$J$3:$Q$351,8,FALSE)</f>
        <v>#N/A</v>
      </c>
      <c r="M5381" t="s">
        <v>83</v>
      </c>
    </row>
    <row r="5382" spans="9:13" hidden="1" x14ac:dyDescent="0.35">
      <c r="I5382" s="83" t="e">
        <f>VLOOKUP(E5382,[1]Mapping!$A$3:$B$14,2,FALSE)</f>
        <v>#N/A</v>
      </c>
      <c r="J5382" s="84">
        <f t="shared" si="170"/>
        <v>0</v>
      </c>
      <c r="K5382" s="84">
        <f t="shared" si="171"/>
        <v>0</v>
      </c>
      <c r="L5382" s="61" t="e">
        <f>VLOOKUP(K5382,[1]Mapping!$J$3:$Q$351,8,FALSE)</f>
        <v>#N/A</v>
      </c>
      <c r="M5382" t="s">
        <v>83</v>
      </c>
    </row>
    <row r="5383" spans="9:13" hidden="1" x14ac:dyDescent="0.35">
      <c r="I5383" s="83" t="e">
        <f>VLOOKUP(E5383,[1]Mapping!$A$3:$B$14,2,FALSE)</f>
        <v>#N/A</v>
      </c>
      <c r="J5383" s="84">
        <f t="shared" si="170"/>
        <v>0</v>
      </c>
      <c r="K5383" s="84">
        <f t="shared" si="171"/>
        <v>0</v>
      </c>
      <c r="L5383" s="61" t="e">
        <f>VLOOKUP(K5383,[1]Mapping!$J$3:$Q$351,8,FALSE)</f>
        <v>#N/A</v>
      </c>
      <c r="M5383" t="s">
        <v>83</v>
      </c>
    </row>
    <row r="5384" spans="9:13" hidden="1" x14ac:dyDescent="0.35">
      <c r="I5384" s="83" t="e">
        <f>VLOOKUP(E5384,[1]Mapping!$A$3:$B$14,2,FALSE)</f>
        <v>#N/A</v>
      </c>
      <c r="J5384" s="84">
        <f t="shared" si="170"/>
        <v>0</v>
      </c>
      <c r="K5384" s="84">
        <f t="shared" si="171"/>
        <v>0</v>
      </c>
      <c r="L5384" s="61" t="e">
        <f>VLOOKUP(K5384,[1]Mapping!$J$3:$Q$351,8,FALSE)</f>
        <v>#N/A</v>
      </c>
      <c r="M5384" t="s">
        <v>83</v>
      </c>
    </row>
    <row r="5385" spans="9:13" hidden="1" x14ac:dyDescent="0.35">
      <c r="I5385" s="83" t="e">
        <f>VLOOKUP(E5385,[1]Mapping!$A$3:$B$14,2,FALSE)</f>
        <v>#N/A</v>
      </c>
      <c r="J5385" s="84">
        <f t="shared" si="170"/>
        <v>0</v>
      </c>
      <c r="K5385" s="84">
        <f t="shared" si="171"/>
        <v>0</v>
      </c>
      <c r="L5385" s="61" t="e">
        <f>VLOOKUP(K5385,[1]Mapping!$J$3:$Q$351,8,FALSE)</f>
        <v>#N/A</v>
      </c>
      <c r="M5385" t="s">
        <v>83</v>
      </c>
    </row>
    <row r="5386" spans="9:13" hidden="1" x14ac:dyDescent="0.35">
      <c r="I5386" s="83" t="e">
        <f>VLOOKUP(E5386,[1]Mapping!$A$3:$B$14,2,FALSE)</f>
        <v>#N/A</v>
      </c>
      <c r="J5386" s="84">
        <f t="shared" si="170"/>
        <v>0</v>
      </c>
      <c r="K5386" s="84">
        <f t="shared" si="171"/>
        <v>0</v>
      </c>
      <c r="L5386" s="61" t="e">
        <f>VLOOKUP(K5386,[1]Mapping!$J$3:$Q$351,8,FALSE)</f>
        <v>#N/A</v>
      </c>
      <c r="M5386" t="s">
        <v>83</v>
      </c>
    </row>
    <row r="5387" spans="9:13" hidden="1" x14ac:dyDescent="0.35">
      <c r="I5387" s="83" t="e">
        <f>VLOOKUP(E5387,[1]Mapping!$A$3:$B$14,2,FALSE)</f>
        <v>#N/A</v>
      </c>
      <c r="J5387" s="84">
        <f t="shared" si="170"/>
        <v>0</v>
      </c>
      <c r="K5387" s="84">
        <f t="shared" si="171"/>
        <v>0</v>
      </c>
      <c r="L5387" s="61" t="e">
        <f>VLOOKUP(K5387,[1]Mapping!$J$3:$Q$351,8,FALSE)</f>
        <v>#N/A</v>
      </c>
      <c r="M5387" t="s">
        <v>83</v>
      </c>
    </row>
    <row r="5388" spans="9:13" hidden="1" x14ac:dyDescent="0.35">
      <c r="I5388" s="83" t="e">
        <f>VLOOKUP(E5388,[1]Mapping!$A$3:$B$14,2,FALSE)</f>
        <v>#N/A</v>
      </c>
      <c r="J5388" s="84">
        <f t="shared" si="170"/>
        <v>0</v>
      </c>
      <c r="K5388" s="84">
        <f t="shared" si="171"/>
        <v>0</v>
      </c>
      <c r="L5388" s="61" t="e">
        <f>VLOOKUP(K5388,[1]Mapping!$J$3:$Q$351,8,FALSE)</f>
        <v>#N/A</v>
      </c>
      <c r="M5388" t="s">
        <v>83</v>
      </c>
    </row>
    <row r="5389" spans="9:13" hidden="1" x14ac:dyDescent="0.35">
      <c r="I5389" s="83" t="e">
        <f>VLOOKUP(E5389,[1]Mapping!$A$3:$B$14,2,FALSE)</f>
        <v>#N/A</v>
      </c>
      <c r="J5389" s="84">
        <f t="shared" si="170"/>
        <v>0</v>
      </c>
      <c r="K5389" s="84">
        <f t="shared" si="171"/>
        <v>0</v>
      </c>
      <c r="L5389" s="61" t="e">
        <f>VLOOKUP(K5389,[1]Mapping!$J$3:$Q$351,8,FALSE)</f>
        <v>#N/A</v>
      </c>
      <c r="M5389" t="s">
        <v>83</v>
      </c>
    </row>
    <row r="5390" spans="9:13" hidden="1" x14ac:dyDescent="0.35">
      <c r="I5390" s="83" t="e">
        <f>VLOOKUP(E5390,[1]Mapping!$A$3:$B$14,2,FALSE)</f>
        <v>#N/A</v>
      </c>
      <c r="J5390" s="84">
        <f t="shared" si="170"/>
        <v>0</v>
      </c>
      <c r="K5390" s="84">
        <f t="shared" si="171"/>
        <v>0</v>
      </c>
      <c r="L5390" s="61" t="e">
        <f>VLOOKUP(K5390,[1]Mapping!$J$3:$Q$351,8,FALSE)</f>
        <v>#N/A</v>
      </c>
      <c r="M5390" t="s">
        <v>83</v>
      </c>
    </row>
    <row r="5391" spans="9:13" hidden="1" x14ac:dyDescent="0.35">
      <c r="I5391" s="83" t="e">
        <f>VLOOKUP(E5391,[1]Mapping!$A$3:$B$14,2,FALSE)</f>
        <v>#N/A</v>
      </c>
      <c r="J5391" s="84">
        <f t="shared" si="170"/>
        <v>0</v>
      </c>
      <c r="K5391" s="84">
        <f t="shared" si="171"/>
        <v>0</v>
      </c>
      <c r="L5391" s="61" t="e">
        <f>VLOOKUP(K5391,[1]Mapping!$J$3:$Q$351,8,FALSE)</f>
        <v>#N/A</v>
      </c>
      <c r="M5391" t="s">
        <v>83</v>
      </c>
    </row>
    <row r="5392" spans="9:13" hidden="1" x14ac:dyDescent="0.35">
      <c r="I5392" s="83" t="e">
        <f>VLOOKUP(E5392,[1]Mapping!$A$3:$B$14,2,FALSE)</f>
        <v>#N/A</v>
      </c>
      <c r="J5392" s="84">
        <f t="shared" ref="J5392:J5455" si="172">VALUE(A5392)</f>
        <v>0</v>
      </c>
      <c r="K5392" s="84">
        <f t="shared" ref="K5392:K5455" si="173">VALUE(C5392)</f>
        <v>0</v>
      </c>
      <c r="L5392" s="61" t="e">
        <f>VLOOKUP(K5392,[1]Mapping!$J$3:$Q$351,8,FALSE)</f>
        <v>#N/A</v>
      </c>
      <c r="M5392" t="s">
        <v>83</v>
      </c>
    </row>
    <row r="5393" spans="9:13" hidden="1" x14ac:dyDescent="0.35">
      <c r="I5393" s="83" t="e">
        <f>VLOOKUP(E5393,[1]Mapping!$A$3:$B$14,2,FALSE)</f>
        <v>#N/A</v>
      </c>
      <c r="J5393" s="84">
        <f t="shared" si="172"/>
        <v>0</v>
      </c>
      <c r="K5393" s="84">
        <f t="shared" si="173"/>
        <v>0</v>
      </c>
      <c r="L5393" s="61" t="e">
        <f>VLOOKUP(K5393,[1]Mapping!$J$3:$Q$351,8,FALSE)</f>
        <v>#N/A</v>
      </c>
      <c r="M5393" t="s">
        <v>83</v>
      </c>
    </row>
    <row r="5394" spans="9:13" hidden="1" x14ac:dyDescent="0.35">
      <c r="I5394" s="83" t="e">
        <f>VLOOKUP(E5394,[1]Mapping!$A$3:$B$14,2,FALSE)</f>
        <v>#N/A</v>
      </c>
      <c r="J5394" s="84">
        <f t="shared" si="172"/>
        <v>0</v>
      </c>
      <c r="K5394" s="84">
        <f t="shared" si="173"/>
        <v>0</v>
      </c>
      <c r="L5394" s="61" t="e">
        <f>VLOOKUP(K5394,[1]Mapping!$J$3:$Q$351,8,FALSE)</f>
        <v>#N/A</v>
      </c>
      <c r="M5394" t="s">
        <v>83</v>
      </c>
    </row>
    <row r="5395" spans="9:13" hidden="1" x14ac:dyDescent="0.35">
      <c r="I5395" s="83" t="e">
        <f>VLOOKUP(E5395,[1]Mapping!$A$3:$B$14,2,FALSE)</f>
        <v>#N/A</v>
      </c>
      <c r="J5395" s="84">
        <f t="shared" si="172"/>
        <v>0</v>
      </c>
      <c r="K5395" s="84">
        <f t="shared" si="173"/>
        <v>0</v>
      </c>
      <c r="L5395" s="61" t="e">
        <f>VLOOKUP(K5395,[1]Mapping!$J$3:$Q$351,8,FALSE)</f>
        <v>#N/A</v>
      </c>
      <c r="M5395" t="s">
        <v>83</v>
      </c>
    </row>
    <row r="5396" spans="9:13" hidden="1" x14ac:dyDescent="0.35">
      <c r="I5396" s="83" t="e">
        <f>VLOOKUP(E5396,[1]Mapping!$A$3:$B$14,2,FALSE)</f>
        <v>#N/A</v>
      </c>
      <c r="J5396" s="84">
        <f t="shared" si="172"/>
        <v>0</v>
      </c>
      <c r="K5396" s="84">
        <f t="shared" si="173"/>
        <v>0</v>
      </c>
      <c r="L5396" s="61" t="e">
        <f>VLOOKUP(K5396,[1]Mapping!$J$3:$Q$351,8,FALSE)</f>
        <v>#N/A</v>
      </c>
      <c r="M5396" t="s">
        <v>83</v>
      </c>
    </row>
    <row r="5397" spans="9:13" hidden="1" x14ac:dyDescent="0.35">
      <c r="I5397" s="83" t="e">
        <f>VLOOKUP(E5397,[1]Mapping!$A$3:$B$14,2,FALSE)</f>
        <v>#N/A</v>
      </c>
      <c r="J5397" s="84">
        <f t="shared" si="172"/>
        <v>0</v>
      </c>
      <c r="K5397" s="84">
        <f t="shared" si="173"/>
        <v>0</v>
      </c>
      <c r="L5397" s="61" t="e">
        <f>VLOOKUP(K5397,[1]Mapping!$J$3:$Q$351,8,FALSE)</f>
        <v>#N/A</v>
      </c>
      <c r="M5397" t="s">
        <v>83</v>
      </c>
    </row>
    <row r="5398" spans="9:13" hidden="1" x14ac:dyDescent="0.35">
      <c r="I5398" s="83" t="e">
        <f>VLOOKUP(E5398,[1]Mapping!$A$3:$B$14,2,FALSE)</f>
        <v>#N/A</v>
      </c>
      <c r="J5398" s="84">
        <f t="shared" si="172"/>
        <v>0</v>
      </c>
      <c r="K5398" s="84">
        <f t="shared" si="173"/>
        <v>0</v>
      </c>
      <c r="L5398" s="61" t="e">
        <f>VLOOKUP(K5398,[1]Mapping!$J$3:$Q$351,8,FALSE)</f>
        <v>#N/A</v>
      </c>
      <c r="M5398" t="s">
        <v>83</v>
      </c>
    </row>
    <row r="5399" spans="9:13" hidden="1" x14ac:dyDescent="0.35">
      <c r="I5399" s="83" t="e">
        <f>VLOOKUP(E5399,[1]Mapping!$A$3:$B$14,2,FALSE)</f>
        <v>#N/A</v>
      </c>
      <c r="J5399" s="84">
        <f t="shared" si="172"/>
        <v>0</v>
      </c>
      <c r="K5399" s="84">
        <f t="shared" si="173"/>
        <v>0</v>
      </c>
      <c r="L5399" s="61" t="e">
        <f>VLOOKUP(K5399,[1]Mapping!$J$3:$Q$351,8,FALSE)</f>
        <v>#N/A</v>
      </c>
      <c r="M5399" t="s">
        <v>83</v>
      </c>
    </row>
    <row r="5400" spans="9:13" hidden="1" x14ac:dyDescent="0.35">
      <c r="I5400" s="83" t="e">
        <f>VLOOKUP(E5400,[1]Mapping!$A$3:$B$14,2,FALSE)</f>
        <v>#N/A</v>
      </c>
      <c r="J5400" s="84">
        <f t="shared" si="172"/>
        <v>0</v>
      </c>
      <c r="K5400" s="84">
        <f t="shared" si="173"/>
        <v>0</v>
      </c>
      <c r="L5400" s="61" t="e">
        <f>VLOOKUP(K5400,[1]Mapping!$J$3:$Q$351,8,FALSE)</f>
        <v>#N/A</v>
      </c>
      <c r="M5400" t="s">
        <v>83</v>
      </c>
    </row>
    <row r="5401" spans="9:13" hidden="1" x14ac:dyDescent="0.35">
      <c r="I5401" s="83" t="e">
        <f>VLOOKUP(E5401,[1]Mapping!$A$3:$B$14,2,FALSE)</f>
        <v>#N/A</v>
      </c>
      <c r="J5401" s="84">
        <f t="shared" si="172"/>
        <v>0</v>
      </c>
      <c r="K5401" s="84">
        <f t="shared" si="173"/>
        <v>0</v>
      </c>
      <c r="L5401" s="61" t="e">
        <f>VLOOKUP(K5401,[1]Mapping!$J$3:$Q$351,8,FALSE)</f>
        <v>#N/A</v>
      </c>
      <c r="M5401" t="s">
        <v>83</v>
      </c>
    </row>
    <row r="5402" spans="9:13" hidden="1" x14ac:dyDescent="0.35">
      <c r="I5402" s="83" t="e">
        <f>VLOOKUP(E5402,[1]Mapping!$A$3:$B$14,2,FALSE)</f>
        <v>#N/A</v>
      </c>
      <c r="J5402" s="84">
        <f t="shared" si="172"/>
        <v>0</v>
      </c>
      <c r="K5402" s="84">
        <f t="shared" si="173"/>
        <v>0</v>
      </c>
      <c r="L5402" s="61" t="e">
        <f>VLOOKUP(K5402,[1]Mapping!$J$3:$Q$351,8,FALSE)</f>
        <v>#N/A</v>
      </c>
      <c r="M5402" t="s">
        <v>83</v>
      </c>
    </row>
    <row r="5403" spans="9:13" hidden="1" x14ac:dyDescent="0.35">
      <c r="I5403" s="83" t="e">
        <f>VLOOKUP(E5403,[1]Mapping!$A$3:$B$14,2,FALSE)</f>
        <v>#N/A</v>
      </c>
      <c r="J5403" s="84">
        <f t="shared" si="172"/>
        <v>0</v>
      </c>
      <c r="K5403" s="84">
        <f t="shared" si="173"/>
        <v>0</v>
      </c>
      <c r="L5403" s="61" t="e">
        <f>VLOOKUP(K5403,[1]Mapping!$J$3:$Q$351,8,FALSE)</f>
        <v>#N/A</v>
      </c>
      <c r="M5403" t="s">
        <v>83</v>
      </c>
    </row>
    <row r="5404" spans="9:13" hidden="1" x14ac:dyDescent="0.35">
      <c r="I5404" s="83" t="e">
        <f>VLOOKUP(E5404,[1]Mapping!$A$3:$B$14,2,FALSE)</f>
        <v>#N/A</v>
      </c>
      <c r="J5404" s="84">
        <f t="shared" si="172"/>
        <v>0</v>
      </c>
      <c r="K5404" s="84">
        <f t="shared" si="173"/>
        <v>0</v>
      </c>
      <c r="L5404" s="61" t="e">
        <f>VLOOKUP(K5404,[1]Mapping!$J$3:$Q$351,8,FALSE)</f>
        <v>#N/A</v>
      </c>
      <c r="M5404" t="s">
        <v>83</v>
      </c>
    </row>
    <row r="5405" spans="9:13" hidden="1" x14ac:dyDescent="0.35">
      <c r="I5405" s="83" t="e">
        <f>VLOOKUP(E5405,[1]Mapping!$A$3:$B$14,2,FALSE)</f>
        <v>#N/A</v>
      </c>
      <c r="J5405" s="84">
        <f t="shared" si="172"/>
        <v>0</v>
      </c>
      <c r="K5405" s="84">
        <f t="shared" si="173"/>
        <v>0</v>
      </c>
      <c r="L5405" s="61" t="e">
        <f>VLOOKUP(K5405,[1]Mapping!$J$3:$Q$351,8,FALSE)</f>
        <v>#N/A</v>
      </c>
      <c r="M5405" t="s">
        <v>83</v>
      </c>
    </row>
    <row r="5406" spans="9:13" hidden="1" x14ac:dyDescent="0.35">
      <c r="I5406" s="83" t="e">
        <f>VLOOKUP(E5406,[1]Mapping!$A$3:$B$14,2,FALSE)</f>
        <v>#N/A</v>
      </c>
      <c r="J5406" s="84">
        <f t="shared" si="172"/>
        <v>0</v>
      </c>
      <c r="K5406" s="84">
        <f t="shared" si="173"/>
        <v>0</v>
      </c>
      <c r="L5406" s="61" t="e">
        <f>VLOOKUP(K5406,[1]Mapping!$J$3:$Q$351,8,FALSE)</f>
        <v>#N/A</v>
      </c>
      <c r="M5406" t="s">
        <v>83</v>
      </c>
    </row>
    <row r="5407" spans="9:13" hidden="1" x14ac:dyDescent="0.35">
      <c r="I5407" s="83" t="e">
        <f>VLOOKUP(E5407,[1]Mapping!$A$3:$B$14,2,FALSE)</f>
        <v>#N/A</v>
      </c>
      <c r="J5407" s="84">
        <f t="shared" si="172"/>
        <v>0</v>
      </c>
      <c r="K5407" s="84">
        <f t="shared" si="173"/>
        <v>0</v>
      </c>
      <c r="L5407" s="61" t="e">
        <f>VLOOKUP(K5407,[1]Mapping!$J$3:$Q$351,8,FALSE)</f>
        <v>#N/A</v>
      </c>
      <c r="M5407" t="s">
        <v>83</v>
      </c>
    </row>
    <row r="5408" spans="9:13" hidden="1" x14ac:dyDescent="0.35">
      <c r="I5408" s="83" t="e">
        <f>VLOOKUP(E5408,[1]Mapping!$A$3:$B$14,2,FALSE)</f>
        <v>#N/A</v>
      </c>
      <c r="J5408" s="84">
        <f t="shared" si="172"/>
        <v>0</v>
      </c>
      <c r="K5408" s="84">
        <f t="shared" si="173"/>
        <v>0</v>
      </c>
      <c r="L5408" s="61" t="e">
        <f>VLOOKUP(K5408,[1]Mapping!$J$3:$Q$351,8,FALSE)</f>
        <v>#N/A</v>
      </c>
      <c r="M5408" t="s">
        <v>83</v>
      </c>
    </row>
    <row r="5409" spans="9:13" hidden="1" x14ac:dyDescent="0.35">
      <c r="I5409" s="83" t="e">
        <f>VLOOKUP(E5409,[1]Mapping!$A$3:$B$14,2,FALSE)</f>
        <v>#N/A</v>
      </c>
      <c r="J5409" s="84">
        <f t="shared" si="172"/>
        <v>0</v>
      </c>
      <c r="K5409" s="84">
        <f t="shared" si="173"/>
        <v>0</v>
      </c>
      <c r="L5409" s="61" t="e">
        <f>VLOOKUP(K5409,[1]Mapping!$J$3:$Q$351,8,FALSE)</f>
        <v>#N/A</v>
      </c>
      <c r="M5409" t="s">
        <v>83</v>
      </c>
    </row>
    <row r="5410" spans="9:13" hidden="1" x14ac:dyDescent="0.35">
      <c r="I5410" s="83" t="e">
        <f>VLOOKUP(E5410,[1]Mapping!$A$3:$B$14,2,FALSE)</f>
        <v>#N/A</v>
      </c>
      <c r="J5410" s="84">
        <f t="shared" si="172"/>
        <v>0</v>
      </c>
      <c r="K5410" s="84">
        <f t="shared" si="173"/>
        <v>0</v>
      </c>
      <c r="L5410" s="61" t="e">
        <f>VLOOKUP(K5410,[1]Mapping!$J$3:$Q$351,8,FALSE)</f>
        <v>#N/A</v>
      </c>
      <c r="M5410" t="s">
        <v>83</v>
      </c>
    </row>
    <row r="5411" spans="9:13" hidden="1" x14ac:dyDescent="0.35">
      <c r="I5411" s="83" t="e">
        <f>VLOOKUP(E5411,[1]Mapping!$A$3:$B$14,2,FALSE)</f>
        <v>#N/A</v>
      </c>
      <c r="J5411" s="84">
        <f t="shared" si="172"/>
        <v>0</v>
      </c>
      <c r="K5411" s="84">
        <f t="shared" si="173"/>
        <v>0</v>
      </c>
      <c r="L5411" s="61" t="e">
        <f>VLOOKUP(K5411,[1]Mapping!$J$3:$Q$351,8,FALSE)</f>
        <v>#N/A</v>
      </c>
      <c r="M5411" t="s">
        <v>83</v>
      </c>
    </row>
    <row r="5412" spans="9:13" hidden="1" x14ac:dyDescent="0.35">
      <c r="I5412" s="83" t="e">
        <f>VLOOKUP(E5412,[1]Mapping!$A$3:$B$14,2,FALSE)</f>
        <v>#N/A</v>
      </c>
      <c r="J5412" s="84">
        <f t="shared" si="172"/>
        <v>0</v>
      </c>
      <c r="K5412" s="84">
        <f t="shared" si="173"/>
        <v>0</v>
      </c>
      <c r="L5412" s="61" t="e">
        <f>VLOOKUP(K5412,[1]Mapping!$J$3:$Q$351,8,FALSE)</f>
        <v>#N/A</v>
      </c>
      <c r="M5412" t="s">
        <v>83</v>
      </c>
    </row>
    <row r="5413" spans="9:13" hidden="1" x14ac:dyDescent="0.35">
      <c r="I5413" s="83" t="e">
        <f>VLOOKUP(E5413,[1]Mapping!$A$3:$B$14,2,FALSE)</f>
        <v>#N/A</v>
      </c>
      <c r="J5413" s="84">
        <f t="shared" si="172"/>
        <v>0</v>
      </c>
      <c r="K5413" s="84">
        <f t="shared" si="173"/>
        <v>0</v>
      </c>
      <c r="L5413" s="61" t="e">
        <f>VLOOKUP(K5413,[1]Mapping!$J$3:$Q$351,8,FALSE)</f>
        <v>#N/A</v>
      </c>
      <c r="M5413" t="s">
        <v>83</v>
      </c>
    </row>
    <row r="5414" spans="9:13" hidden="1" x14ac:dyDescent="0.35">
      <c r="I5414" s="83" t="e">
        <f>VLOOKUP(E5414,[1]Mapping!$A$3:$B$14,2,FALSE)</f>
        <v>#N/A</v>
      </c>
      <c r="J5414" s="84">
        <f t="shared" si="172"/>
        <v>0</v>
      </c>
      <c r="K5414" s="84">
        <f t="shared" si="173"/>
        <v>0</v>
      </c>
      <c r="L5414" s="61" t="e">
        <f>VLOOKUP(K5414,[1]Mapping!$J$3:$Q$351,8,FALSE)</f>
        <v>#N/A</v>
      </c>
      <c r="M5414" t="s">
        <v>83</v>
      </c>
    </row>
    <row r="5415" spans="9:13" hidden="1" x14ac:dyDescent="0.35">
      <c r="I5415" s="83" t="e">
        <f>VLOOKUP(E5415,[1]Mapping!$A$3:$B$14,2,FALSE)</f>
        <v>#N/A</v>
      </c>
      <c r="J5415" s="84">
        <f t="shared" si="172"/>
        <v>0</v>
      </c>
      <c r="K5415" s="84">
        <f t="shared" si="173"/>
        <v>0</v>
      </c>
      <c r="L5415" s="61" t="e">
        <f>VLOOKUP(K5415,[1]Mapping!$J$3:$Q$351,8,FALSE)</f>
        <v>#N/A</v>
      </c>
      <c r="M5415" t="s">
        <v>83</v>
      </c>
    </row>
    <row r="5416" spans="9:13" hidden="1" x14ac:dyDescent="0.35">
      <c r="I5416" s="83" t="e">
        <f>VLOOKUP(E5416,[1]Mapping!$A$3:$B$14,2,FALSE)</f>
        <v>#N/A</v>
      </c>
      <c r="J5416" s="84">
        <f t="shared" si="172"/>
        <v>0</v>
      </c>
      <c r="K5416" s="84">
        <f t="shared" si="173"/>
        <v>0</v>
      </c>
      <c r="L5416" s="61" t="e">
        <f>VLOOKUP(K5416,[1]Mapping!$J$3:$Q$351,8,FALSE)</f>
        <v>#N/A</v>
      </c>
      <c r="M5416" t="s">
        <v>83</v>
      </c>
    </row>
    <row r="5417" spans="9:13" hidden="1" x14ac:dyDescent="0.35">
      <c r="I5417" s="83" t="e">
        <f>VLOOKUP(E5417,[1]Mapping!$A$3:$B$14,2,FALSE)</f>
        <v>#N/A</v>
      </c>
      <c r="J5417" s="84">
        <f t="shared" si="172"/>
        <v>0</v>
      </c>
      <c r="K5417" s="84">
        <f t="shared" si="173"/>
        <v>0</v>
      </c>
      <c r="L5417" s="61" t="e">
        <f>VLOOKUP(K5417,[1]Mapping!$J$3:$Q$351,8,FALSE)</f>
        <v>#N/A</v>
      </c>
      <c r="M5417" t="s">
        <v>83</v>
      </c>
    </row>
    <row r="5418" spans="9:13" hidden="1" x14ac:dyDescent="0.35">
      <c r="I5418" s="83" t="e">
        <f>VLOOKUP(E5418,[1]Mapping!$A$3:$B$14,2,FALSE)</f>
        <v>#N/A</v>
      </c>
      <c r="J5418" s="84">
        <f t="shared" si="172"/>
        <v>0</v>
      </c>
      <c r="K5418" s="84">
        <f t="shared" si="173"/>
        <v>0</v>
      </c>
      <c r="L5418" s="61" t="e">
        <f>VLOOKUP(K5418,[1]Mapping!$J$3:$Q$351,8,FALSE)</f>
        <v>#N/A</v>
      </c>
      <c r="M5418" t="s">
        <v>83</v>
      </c>
    </row>
    <row r="5419" spans="9:13" hidden="1" x14ac:dyDescent="0.35">
      <c r="I5419" s="83" t="e">
        <f>VLOOKUP(E5419,[1]Mapping!$A$3:$B$14,2,FALSE)</f>
        <v>#N/A</v>
      </c>
      <c r="J5419" s="84">
        <f t="shared" si="172"/>
        <v>0</v>
      </c>
      <c r="K5419" s="84">
        <f t="shared" si="173"/>
        <v>0</v>
      </c>
      <c r="L5419" s="61" t="e">
        <f>VLOOKUP(K5419,[1]Mapping!$J$3:$Q$351,8,FALSE)</f>
        <v>#N/A</v>
      </c>
      <c r="M5419" t="s">
        <v>83</v>
      </c>
    </row>
    <row r="5420" spans="9:13" hidden="1" x14ac:dyDescent="0.35">
      <c r="I5420" s="83" t="e">
        <f>VLOOKUP(E5420,[1]Mapping!$A$3:$B$14,2,FALSE)</f>
        <v>#N/A</v>
      </c>
      <c r="J5420" s="84">
        <f t="shared" si="172"/>
        <v>0</v>
      </c>
      <c r="K5420" s="84">
        <f t="shared" si="173"/>
        <v>0</v>
      </c>
      <c r="L5420" s="61" t="e">
        <f>VLOOKUP(K5420,[1]Mapping!$J$3:$Q$351,8,FALSE)</f>
        <v>#N/A</v>
      </c>
      <c r="M5420" t="s">
        <v>83</v>
      </c>
    </row>
    <row r="5421" spans="9:13" hidden="1" x14ac:dyDescent="0.35">
      <c r="I5421" s="83" t="e">
        <f>VLOOKUP(E5421,[1]Mapping!$A$3:$B$14,2,FALSE)</f>
        <v>#N/A</v>
      </c>
      <c r="J5421" s="84">
        <f t="shared" si="172"/>
        <v>0</v>
      </c>
      <c r="K5421" s="84">
        <f t="shared" si="173"/>
        <v>0</v>
      </c>
      <c r="L5421" s="61" t="e">
        <f>VLOOKUP(K5421,[1]Mapping!$J$3:$Q$351,8,FALSE)</f>
        <v>#N/A</v>
      </c>
      <c r="M5421" t="s">
        <v>83</v>
      </c>
    </row>
    <row r="5422" spans="9:13" hidden="1" x14ac:dyDescent="0.35">
      <c r="I5422" s="83" t="e">
        <f>VLOOKUP(E5422,[1]Mapping!$A$3:$B$14,2,FALSE)</f>
        <v>#N/A</v>
      </c>
      <c r="J5422" s="84">
        <f t="shared" si="172"/>
        <v>0</v>
      </c>
      <c r="K5422" s="84">
        <f t="shared" si="173"/>
        <v>0</v>
      </c>
      <c r="L5422" s="61" t="e">
        <f>VLOOKUP(K5422,[1]Mapping!$J$3:$Q$351,8,FALSE)</f>
        <v>#N/A</v>
      </c>
      <c r="M5422" t="s">
        <v>83</v>
      </c>
    </row>
    <row r="5423" spans="9:13" hidden="1" x14ac:dyDescent="0.35">
      <c r="I5423" s="83" t="e">
        <f>VLOOKUP(E5423,[1]Mapping!$A$3:$B$14,2,FALSE)</f>
        <v>#N/A</v>
      </c>
      <c r="J5423" s="84">
        <f t="shared" si="172"/>
        <v>0</v>
      </c>
      <c r="K5423" s="84">
        <f t="shared" si="173"/>
        <v>0</v>
      </c>
      <c r="L5423" s="61" t="e">
        <f>VLOOKUP(K5423,[1]Mapping!$J$3:$Q$351,8,FALSE)</f>
        <v>#N/A</v>
      </c>
      <c r="M5423" t="s">
        <v>83</v>
      </c>
    </row>
    <row r="5424" spans="9:13" hidden="1" x14ac:dyDescent="0.35">
      <c r="I5424" s="83" t="e">
        <f>VLOOKUP(E5424,[1]Mapping!$A$3:$B$14,2,FALSE)</f>
        <v>#N/A</v>
      </c>
      <c r="J5424" s="84">
        <f t="shared" si="172"/>
        <v>0</v>
      </c>
      <c r="K5424" s="84">
        <f t="shared" si="173"/>
        <v>0</v>
      </c>
      <c r="L5424" s="61" t="e">
        <f>VLOOKUP(K5424,[1]Mapping!$J$3:$Q$351,8,FALSE)</f>
        <v>#N/A</v>
      </c>
      <c r="M5424" t="s">
        <v>83</v>
      </c>
    </row>
    <row r="5425" spans="9:13" hidden="1" x14ac:dyDescent="0.35">
      <c r="I5425" s="83" t="e">
        <f>VLOOKUP(E5425,[1]Mapping!$A$3:$B$14,2,FALSE)</f>
        <v>#N/A</v>
      </c>
      <c r="J5425" s="84">
        <f t="shared" si="172"/>
        <v>0</v>
      </c>
      <c r="K5425" s="84">
        <f t="shared" si="173"/>
        <v>0</v>
      </c>
      <c r="L5425" s="61" t="e">
        <f>VLOOKUP(K5425,[1]Mapping!$J$3:$Q$351,8,FALSE)</f>
        <v>#N/A</v>
      </c>
      <c r="M5425" t="s">
        <v>83</v>
      </c>
    </row>
    <row r="5426" spans="9:13" hidden="1" x14ac:dyDescent="0.35">
      <c r="I5426" s="83" t="e">
        <f>VLOOKUP(E5426,[1]Mapping!$A$3:$B$14,2,FALSE)</f>
        <v>#N/A</v>
      </c>
      <c r="J5426" s="84">
        <f t="shared" si="172"/>
        <v>0</v>
      </c>
      <c r="K5426" s="84">
        <f t="shared" si="173"/>
        <v>0</v>
      </c>
      <c r="L5426" s="61" t="e">
        <f>VLOOKUP(K5426,[1]Mapping!$J$3:$Q$351,8,FALSE)</f>
        <v>#N/A</v>
      </c>
      <c r="M5426" t="s">
        <v>83</v>
      </c>
    </row>
    <row r="5427" spans="9:13" hidden="1" x14ac:dyDescent="0.35">
      <c r="I5427" s="83" t="e">
        <f>VLOOKUP(E5427,[1]Mapping!$A$3:$B$14,2,FALSE)</f>
        <v>#N/A</v>
      </c>
      <c r="J5427" s="84">
        <f t="shared" si="172"/>
        <v>0</v>
      </c>
      <c r="K5427" s="84">
        <f t="shared" si="173"/>
        <v>0</v>
      </c>
      <c r="L5427" s="61" t="e">
        <f>VLOOKUP(K5427,[1]Mapping!$J$3:$Q$351,8,FALSE)</f>
        <v>#N/A</v>
      </c>
      <c r="M5427" t="s">
        <v>83</v>
      </c>
    </row>
    <row r="5428" spans="9:13" hidden="1" x14ac:dyDescent="0.35">
      <c r="I5428" s="83" t="e">
        <f>VLOOKUP(E5428,[1]Mapping!$A$3:$B$14,2,FALSE)</f>
        <v>#N/A</v>
      </c>
      <c r="J5428" s="84">
        <f t="shared" si="172"/>
        <v>0</v>
      </c>
      <c r="K5428" s="84">
        <f t="shared" si="173"/>
        <v>0</v>
      </c>
      <c r="L5428" s="61" t="e">
        <f>VLOOKUP(K5428,[1]Mapping!$J$3:$Q$351,8,FALSE)</f>
        <v>#N/A</v>
      </c>
      <c r="M5428" t="s">
        <v>83</v>
      </c>
    </row>
    <row r="5429" spans="9:13" hidden="1" x14ac:dyDescent="0.35">
      <c r="I5429" s="83" t="e">
        <f>VLOOKUP(E5429,[1]Mapping!$A$3:$B$14,2,FALSE)</f>
        <v>#N/A</v>
      </c>
      <c r="J5429" s="84">
        <f t="shared" si="172"/>
        <v>0</v>
      </c>
      <c r="K5429" s="84">
        <f t="shared" si="173"/>
        <v>0</v>
      </c>
      <c r="L5429" s="61" t="e">
        <f>VLOOKUP(K5429,[1]Mapping!$J$3:$Q$351,8,FALSE)</f>
        <v>#N/A</v>
      </c>
      <c r="M5429" t="s">
        <v>83</v>
      </c>
    </row>
    <row r="5430" spans="9:13" hidden="1" x14ac:dyDescent="0.35">
      <c r="I5430" s="83" t="e">
        <f>VLOOKUP(E5430,[1]Mapping!$A$3:$B$14,2,FALSE)</f>
        <v>#N/A</v>
      </c>
      <c r="J5430" s="84">
        <f t="shared" si="172"/>
        <v>0</v>
      </c>
      <c r="K5430" s="84">
        <f t="shared" si="173"/>
        <v>0</v>
      </c>
      <c r="L5430" s="61" t="e">
        <f>VLOOKUP(K5430,[1]Mapping!$J$3:$Q$351,8,FALSE)</f>
        <v>#N/A</v>
      </c>
      <c r="M5430" t="s">
        <v>83</v>
      </c>
    </row>
    <row r="5431" spans="9:13" hidden="1" x14ac:dyDescent="0.35">
      <c r="I5431" s="83" t="e">
        <f>VLOOKUP(E5431,[1]Mapping!$A$3:$B$14,2,FALSE)</f>
        <v>#N/A</v>
      </c>
      <c r="J5431" s="84">
        <f t="shared" si="172"/>
        <v>0</v>
      </c>
      <c r="K5431" s="84">
        <f t="shared" si="173"/>
        <v>0</v>
      </c>
      <c r="L5431" s="61" t="e">
        <f>VLOOKUP(K5431,[1]Mapping!$J$3:$Q$351,8,FALSE)</f>
        <v>#N/A</v>
      </c>
      <c r="M5431" t="s">
        <v>83</v>
      </c>
    </row>
    <row r="5432" spans="9:13" hidden="1" x14ac:dyDescent="0.35">
      <c r="I5432" s="83" t="e">
        <f>VLOOKUP(E5432,[1]Mapping!$A$3:$B$14,2,FALSE)</f>
        <v>#N/A</v>
      </c>
      <c r="J5432" s="84">
        <f t="shared" si="172"/>
        <v>0</v>
      </c>
      <c r="K5432" s="84">
        <f t="shared" si="173"/>
        <v>0</v>
      </c>
      <c r="L5432" s="61" t="e">
        <f>VLOOKUP(K5432,[1]Mapping!$J$3:$Q$351,8,FALSE)</f>
        <v>#N/A</v>
      </c>
      <c r="M5432" t="s">
        <v>83</v>
      </c>
    </row>
    <row r="5433" spans="9:13" hidden="1" x14ac:dyDescent="0.35">
      <c r="I5433" s="83" t="e">
        <f>VLOOKUP(E5433,[1]Mapping!$A$3:$B$14,2,FALSE)</f>
        <v>#N/A</v>
      </c>
      <c r="J5433" s="84">
        <f t="shared" si="172"/>
        <v>0</v>
      </c>
      <c r="K5433" s="84">
        <f t="shared" si="173"/>
        <v>0</v>
      </c>
      <c r="L5433" s="61" t="e">
        <f>VLOOKUP(K5433,[1]Mapping!$J$3:$Q$351,8,FALSE)</f>
        <v>#N/A</v>
      </c>
      <c r="M5433" t="s">
        <v>83</v>
      </c>
    </row>
    <row r="5434" spans="9:13" hidden="1" x14ac:dyDescent="0.35">
      <c r="I5434" s="83" t="e">
        <f>VLOOKUP(E5434,[1]Mapping!$A$3:$B$14,2,FALSE)</f>
        <v>#N/A</v>
      </c>
      <c r="J5434" s="84">
        <f t="shared" si="172"/>
        <v>0</v>
      </c>
      <c r="K5434" s="84">
        <f t="shared" si="173"/>
        <v>0</v>
      </c>
      <c r="L5434" s="61" t="e">
        <f>VLOOKUP(K5434,[1]Mapping!$J$3:$Q$351,8,FALSE)</f>
        <v>#N/A</v>
      </c>
      <c r="M5434" t="s">
        <v>83</v>
      </c>
    </row>
    <row r="5435" spans="9:13" hidden="1" x14ac:dyDescent="0.35">
      <c r="I5435" s="83" t="e">
        <f>VLOOKUP(E5435,[1]Mapping!$A$3:$B$14,2,FALSE)</f>
        <v>#N/A</v>
      </c>
      <c r="J5435" s="84">
        <f t="shared" si="172"/>
        <v>0</v>
      </c>
      <c r="K5435" s="84">
        <f t="shared" si="173"/>
        <v>0</v>
      </c>
      <c r="L5435" s="61" t="e">
        <f>VLOOKUP(K5435,[1]Mapping!$J$3:$Q$351,8,FALSE)</f>
        <v>#N/A</v>
      </c>
      <c r="M5435" t="s">
        <v>83</v>
      </c>
    </row>
    <row r="5436" spans="9:13" hidden="1" x14ac:dyDescent="0.35">
      <c r="I5436" s="83" t="e">
        <f>VLOOKUP(E5436,[1]Mapping!$A$3:$B$14,2,FALSE)</f>
        <v>#N/A</v>
      </c>
      <c r="J5436" s="84">
        <f t="shared" si="172"/>
        <v>0</v>
      </c>
      <c r="K5436" s="84">
        <f t="shared" si="173"/>
        <v>0</v>
      </c>
      <c r="L5436" s="61" t="e">
        <f>VLOOKUP(K5436,[1]Mapping!$J$3:$Q$351,8,FALSE)</f>
        <v>#N/A</v>
      </c>
      <c r="M5436" t="s">
        <v>83</v>
      </c>
    </row>
    <row r="5437" spans="9:13" hidden="1" x14ac:dyDescent="0.35">
      <c r="I5437" s="83" t="e">
        <f>VLOOKUP(E5437,[1]Mapping!$A$3:$B$14,2,FALSE)</f>
        <v>#N/A</v>
      </c>
      <c r="J5437" s="84">
        <f t="shared" si="172"/>
        <v>0</v>
      </c>
      <c r="K5437" s="84">
        <f t="shared" si="173"/>
        <v>0</v>
      </c>
      <c r="L5437" s="61" t="e">
        <f>VLOOKUP(K5437,[1]Mapping!$J$3:$Q$351,8,FALSE)</f>
        <v>#N/A</v>
      </c>
      <c r="M5437" t="s">
        <v>83</v>
      </c>
    </row>
    <row r="5438" spans="9:13" hidden="1" x14ac:dyDescent="0.35">
      <c r="I5438" s="83" t="e">
        <f>VLOOKUP(E5438,[1]Mapping!$A$3:$B$14,2,FALSE)</f>
        <v>#N/A</v>
      </c>
      <c r="J5438" s="84">
        <f t="shared" si="172"/>
        <v>0</v>
      </c>
      <c r="K5438" s="84">
        <f t="shared" si="173"/>
        <v>0</v>
      </c>
      <c r="L5438" s="61" t="e">
        <f>VLOOKUP(K5438,[1]Mapping!$J$3:$Q$351,8,FALSE)</f>
        <v>#N/A</v>
      </c>
      <c r="M5438" t="s">
        <v>83</v>
      </c>
    </row>
    <row r="5439" spans="9:13" hidden="1" x14ac:dyDescent="0.35">
      <c r="I5439" s="83" t="e">
        <f>VLOOKUP(E5439,[1]Mapping!$A$3:$B$14,2,FALSE)</f>
        <v>#N/A</v>
      </c>
      <c r="J5439" s="84">
        <f t="shared" si="172"/>
        <v>0</v>
      </c>
      <c r="K5439" s="84">
        <f t="shared" si="173"/>
        <v>0</v>
      </c>
      <c r="L5439" s="61" t="e">
        <f>VLOOKUP(K5439,[1]Mapping!$J$3:$Q$351,8,FALSE)</f>
        <v>#N/A</v>
      </c>
      <c r="M5439" t="s">
        <v>83</v>
      </c>
    </row>
    <row r="5440" spans="9:13" hidden="1" x14ac:dyDescent="0.35">
      <c r="I5440" s="83" t="e">
        <f>VLOOKUP(E5440,[1]Mapping!$A$3:$B$14,2,FALSE)</f>
        <v>#N/A</v>
      </c>
      <c r="J5440" s="84">
        <f t="shared" si="172"/>
        <v>0</v>
      </c>
      <c r="K5440" s="84">
        <f t="shared" si="173"/>
        <v>0</v>
      </c>
      <c r="L5440" s="61" t="e">
        <f>VLOOKUP(K5440,[1]Mapping!$J$3:$Q$351,8,FALSE)</f>
        <v>#N/A</v>
      </c>
      <c r="M5440" t="s">
        <v>83</v>
      </c>
    </row>
    <row r="5441" spans="9:13" hidden="1" x14ac:dyDescent="0.35">
      <c r="I5441" s="83" t="e">
        <f>VLOOKUP(E5441,[1]Mapping!$A$3:$B$14,2,FALSE)</f>
        <v>#N/A</v>
      </c>
      <c r="J5441" s="84">
        <f t="shared" si="172"/>
        <v>0</v>
      </c>
      <c r="K5441" s="84">
        <f t="shared" si="173"/>
        <v>0</v>
      </c>
      <c r="L5441" s="61" t="e">
        <f>VLOOKUP(K5441,[1]Mapping!$J$3:$Q$351,8,FALSE)</f>
        <v>#N/A</v>
      </c>
      <c r="M5441" t="s">
        <v>83</v>
      </c>
    </row>
    <row r="5442" spans="9:13" hidden="1" x14ac:dyDescent="0.35">
      <c r="I5442" s="83" t="e">
        <f>VLOOKUP(E5442,[1]Mapping!$A$3:$B$14,2,FALSE)</f>
        <v>#N/A</v>
      </c>
      <c r="J5442" s="84">
        <f t="shared" si="172"/>
        <v>0</v>
      </c>
      <c r="K5442" s="84">
        <f t="shared" si="173"/>
        <v>0</v>
      </c>
      <c r="L5442" s="61" t="e">
        <f>VLOOKUP(K5442,[1]Mapping!$J$3:$Q$351,8,FALSE)</f>
        <v>#N/A</v>
      </c>
      <c r="M5442" t="s">
        <v>83</v>
      </c>
    </row>
    <row r="5443" spans="9:13" hidden="1" x14ac:dyDescent="0.35">
      <c r="I5443" s="83" t="e">
        <f>VLOOKUP(E5443,[1]Mapping!$A$3:$B$14,2,FALSE)</f>
        <v>#N/A</v>
      </c>
      <c r="J5443" s="84">
        <f t="shared" si="172"/>
        <v>0</v>
      </c>
      <c r="K5443" s="84">
        <f t="shared" si="173"/>
        <v>0</v>
      </c>
      <c r="L5443" s="61" t="e">
        <f>VLOOKUP(K5443,[1]Mapping!$J$3:$Q$351,8,FALSE)</f>
        <v>#N/A</v>
      </c>
      <c r="M5443" t="s">
        <v>83</v>
      </c>
    </row>
    <row r="5444" spans="9:13" hidden="1" x14ac:dyDescent="0.35">
      <c r="I5444" s="83" t="e">
        <f>VLOOKUP(E5444,[1]Mapping!$A$3:$B$14,2,FALSE)</f>
        <v>#N/A</v>
      </c>
      <c r="J5444" s="84">
        <f t="shared" si="172"/>
        <v>0</v>
      </c>
      <c r="K5444" s="84">
        <f t="shared" si="173"/>
        <v>0</v>
      </c>
      <c r="L5444" s="61" t="e">
        <f>VLOOKUP(K5444,[1]Mapping!$J$3:$Q$351,8,FALSE)</f>
        <v>#N/A</v>
      </c>
      <c r="M5444" t="s">
        <v>83</v>
      </c>
    </row>
    <row r="5445" spans="9:13" hidden="1" x14ac:dyDescent="0.35">
      <c r="I5445" s="83" t="e">
        <f>VLOOKUP(E5445,[1]Mapping!$A$3:$B$14,2,FALSE)</f>
        <v>#N/A</v>
      </c>
      <c r="J5445" s="84">
        <f t="shared" si="172"/>
        <v>0</v>
      </c>
      <c r="K5445" s="84">
        <f t="shared" si="173"/>
        <v>0</v>
      </c>
      <c r="L5445" s="61" t="e">
        <f>VLOOKUP(K5445,[1]Mapping!$J$3:$Q$351,8,FALSE)</f>
        <v>#N/A</v>
      </c>
      <c r="M5445" t="s">
        <v>83</v>
      </c>
    </row>
    <row r="5446" spans="9:13" hidden="1" x14ac:dyDescent="0.35">
      <c r="I5446" s="83" t="e">
        <f>VLOOKUP(E5446,[1]Mapping!$A$3:$B$14,2,FALSE)</f>
        <v>#N/A</v>
      </c>
      <c r="J5446" s="84">
        <f t="shared" si="172"/>
        <v>0</v>
      </c>
      <c r="K5446" s="84">
        <f t="shared" si="173"/>
        <v>0</v>
      </c>
      <c r="L5446" s="61" t="e">
        <f>VLOOKUP(K5446,[1]Mapping!$J$3:$Q$351,8,FALSE)</f>
        <v>#N/A</v>
      </c>
      <c r="M5446" t="s">
        <v>83</v>
      </c>
    </row>
    <row r="5447" spans="9:13" hidden="1" x14ac:dyDescent="0.35">
      <c r="I5447" s="83" t="e">
        <f>VLOOKUP(E5447,[1]Mapping!$A$3:$B$14,2,FALSE)</f>
        <v>#N/A</v>
      </c>
      <c r="J5447" s="84">
        <f t="shared" si="172"/>
        <v>0</v>
      </c>
      <c r="K5447" s="84">
        <f t="shared" si="173"/>
        <v>0</v>
      </c>
      <c r="L5447" s="61" t="e">
        <f>VLOOKUP(K5447,[1]Mapping!$J$3:$Q$351,8,FALSE)</f>
        <v>#N/A</v>
      </c>
      <c r="M5447" t="s">
        <v>83</v>
      </c>
    </row>
    <row r="5448" spans="9:13" hidden="1" x14ac:dyDescent="0.35">
      <c r="I5448" s="83" t="e">
        <f>VLOOKUP(E5448,[1]Mapping!$A$3:$B$14,2,FALSE)</f>
        <v>#N/A</v>
      </c>
      <c r="J5448" s="84">
        <f t="shared" si="172"/>
        <v>0</v>
      </c>
      <c r="K5448" s="84">
        <f t="shared" si="173"/>
        <v>0</v>
      </c>
      <c r="L5448" s="61" t="e">
        <f>VLOOKUP(K5448,[1]Mapping!$J$3:$Q$351,8,FALSE)</f>
        <v>#N/A</v>
      </c>
      <c r="M5448" t="s">
        <v>83</v>
      </c>
    </row>
    <row r="5449" spans="9:13" hidden="1" x14ac:dyDescent="0.35">
      <c r="I5449" s="83" t="e">
        <f>VLOOKUP(E5449,[1]Mapping!$A$3:$B$14,2,FALSE)</f>
        <v>#N/A</v>
      </c>
      <c r="J5449" s="84">
        <f t="shared" si="172"/>
        <v>0</v>
      </c>
      <c r="K5449" s="84">
        <f t="shared" si="173"/>
        <v>0</v>
      </c>
      <c r="L5449" s="61" t="e">
        <f>VLOOKUP(K5449,[1]Mapping!$J$3:$Q$351,8,FALSE)</f>
        <v>#N/A</v>
      </c>
      <c r="M5449" t="s">
        <v>83</v>
      </c>
    </row>
    <row r="5450" spans="9:13" hidden="1" x14ac:dyDescent="0.35">
      <c r="I5450" s="83" t="e">
        <f>VLOOKUP(E5450,[1]Mapping!$A$3:$B$14,2,FALSE)</f>
        <v>#N/A</v>
      </c>
      <c r="J5450" s="84">
        <f t="shared" si="172"/>
        <v>0</v>
      </c>
      <c r="K5450" s="84">
        <f t="shared" si="173"/>
        <v>0</v>
      </c>
      <c r="L5450" s="61" t="e">
        <f>VLOOKUP(K5450,[1]Mapping!$J$3:$Q$351,8,FALSE)</f>
        <v>#N/A</v>
      </c>
      <c r="M5450" t="s">
        <v>83</v>
      </c>
    </row>
    <row r="5451" spans="9:13" hidden="1" x14ac:dyDescent="0.35">
      <c r="I5451" s="83" t="e">
        <f>VLOOKUP(E5451,[1]Mapping!$A$3:$B$14,2,FALSE)</f>
        <v>#N/A</v>
      </c>
      <c r="J5451" s="84">
        <f t="shared" si="172"/>
        <v>0</v>
      </c>
      <c r="K5451" s="84">
        <f t="shared" si="173"/>
        <v>0</v>
      </c>
      <c r="L5451" s="61" t="e">
        <f>VLOOKUP(K5451,[1]Mapping!$J$3:$Q$351,8,FALSE)</f>
        <v>#N/A</v>
      </c>
      <c r="M5451" t="s">
        <v>83</v>
      </c>
    </row>
    <row r="5452" spans="9:13" hidden="1" x14ac:dyDescent="0.35">
      <c r="I5452" s="83" t="e">
        <f>VLOOKUP(E5452,[1]Mapping!$A$3:$B$14,2,FALSE)</f>
        <v>#N/A</v>
      </c>
      <c r="J5452" s="84">
        <f t="shared" si="172"/>
        <v>0</v>
      </c>
      <c r="K5452" s="84">
        <f t="shared" si="173"/>
        <v>0</v>
      </c>
      <c r="L5452" s="61" t="e">
        <f>VLOOKUP(K5452,[1]Mapping!$J$3:$Q$351,8,FALSE)</f>
        <v>#N/A</v>
      </c>
      <c r="M5452" t="s">
        <v>83</v>
      </c>
    </row>
    <row r="5453" spans="9:13" hidden="1" x14ac:dyDescent="0.35">
      <c r="I5453" s="83" t="e">
        <f>VLOOKUP(E5453,[1]Mapping!$A$3:$B$14,2,FALSE)</f>
        <v>#N/A</v>
      </c>
      <c r="J5453" s="84">
        <f t="shared" si="172"/>
        <v>0</v>
      </c>
      <c r="K5453" s="84">
        <f t="shared" si="173"/>
        <v>0</v>
      </c>
      <c r="L5453" s="61" t="e">
        <f>VLOOKUP(K5453,[1]Mapping!$J$3:$Q$351,8,FALSE)</f>
        <v>#N/A</v>
      </c>
      <c r="M5453" t="s">
        <v>83</v>
      </c>
    </row>
    <row r="5454" spans="9:13" hidden="1" x14ac:dyDescent="0.35">
      <c r="I5454" s="83" t="e">
        <f>VLOOKUP(E5454,[1]Mapping!$A$3:$B$14,2,FALSE)</f>
        <v>#N/A</v>
      </c>
      <c r="J5454" s="84">
        <f t="shared" si="172"/>
        <v>0</v>
      </c>
      <c r="K5454" s="84">
        <f t="shared" si="173"/>
        <v>0</v>
      </c>
      <c r="L5454" s="61" t="e">
        <f>VLOOKUP(K5454,[1]Mapping!$J$3:$Q$351,8,FALSE)</f>
        <v>#N/A</v>
      </c>
      <c r="M5454" t="s">
        <v>83</v>
      </c>
    </row>
    <row r="5455" spans="9:13" hidden="1" x14ac:dyDescent="0.35">
      <c r="I5455" s="83" t="e">
        <f>VLOOKUP(E5455,[1]Mapping!$A$3:$B$14,2,FALSE)</f>
        <v>#N/A</v>
      </c>
      <c r="J5455" s="84">
        <f t="shared" si="172"/>
        <v>0</v>
      </c>
      <c r="K5455" s="84">
        <f t="shared" si="173"/>
        <v>0</v>
      </c>
      <c r="L5455" s="61" t="e">
        <f>VLOOKUP(K5455,[1]Mapping!$J$3:$Q$351,8,FALSE)</f>
        <v>#N/A</v>
      </c>
      <c r="M5455" t="s">
        <v>83</v>
      </c>
    </row>
    <row r="5456" spans="9:13" hidden="1" x14ac:dyDescent="0.35">
      <c r="I5456" s="83" t="e">
        <f>VLOOKUP(E5456,[1]Mapping!$A$3:$B$14,2,FALSE)</f>
        <v>#N/A</v>
      </c>
      <c r="J5456" s="84">
        <f t="shared" ref="J5456:J5519" si="174">VALUE(A5456)</f>
        <v>0</v>
      </c>
      <c r="K5456" s="84">
        <f t="shared" ref="K5456:K5519" si="175">VALUE(C5456)</f>
        <v>0</v>
      </c>
      <c r="L5456" s="61" t="e">
        <f>VLOOKUP(K5456,[1]Mapping!$J$3:$Q$351,8,FALSE)</f>
        <v>#N/A</v>
      </c>
      <c r="M5456" t="s">
        <v>83</v>
      </c>
    </row>
    <row r="5457" spans="9:13" hidden="1" x14ac:dyDescent="0.35">
      <c r="I5457" s="83" t="e">
        <f>VLOOKUP(E5457,[1]Mapping!$A$3:$B$14,2,FALSE)</f>
        <v>#N/A</v>
      </c>
      <c r="J5457" s="84">
        <f t="shared" si="174"/>
        <v>0</v>
      </c>
      <c r="K5457" s="84">
        <f t="shared" si="175"/>
        <v>0</v>
      </c>
      <c r="L5457" s="61" t="e">
        <f>VLOOKUP(K5457,[1]Mapping!$J$3:$Q$351,8,FALSE)</f>
        <v>#N/A</v>
      </c>
      <c r="M5457" t="s">
        <v>83</v>
      </c>
    </row>
    <row r="5458" spans="9:13" hidden="1" x14ac:dyDescent="0.35">
      <c r="I5458" s="83" t="e">
        <f>VLOOKUP(E5458,[1]Mapping!$A$3:$B$14,2,FALSE)</f>
        <v>#N/A</v>
      </c>
      <c r="J5458" s="84">
        <f t="shared" si="174"/>
        <v>0</v>
      </c>
      <c r="K5458" s="84">
        <f t="shared" si="175"/>
        <v>0</v>
      </c>
      <c r="L5458" s="61" t="e">
        <f>VLOOKUP(K5458,[1]Mapping!$J$3:$Q$351,8,FALSE)</f>
        <v>#N/A</v>
      </c>
      <c r="M5458" t="s">
        <v>83</v>
      </c>
    </row>
    <row r="5459" spans="9:13" hidden="1" x14ac:dyDescent="0.35">
      <c r="I5459" s="83" t="e">
        <f>VLOOKUP(E5459,[1]Mapping!$A$3:$B$14,2,FALSE)</f>
        <v>#N/A</v>
      </c>
      <c r="J5459" s="84">
        <f t="shared" si="174"/>
        <v>0</v>
      </c>
      <c r="K5459" s="84">
        <f t="shared" si="175"/>
        <v>0</v>
      </c>
      <c r="L5459" s="61" t="e">
        <f>VLOOKUP(K5459,[1]Mapping!$J$3:$Q$351,8,FALSE)</f>
        <v>#N/A</v>
      </c>
      <c r="M5459" t="s">
        <v>83</v>
      </c>
    </row>
    <row r="5460" spans="9:13" hidden="1" x14ac:dyDescent="0.35">
      <c r="I5460" s="83" t="e">
        <f>VLOOKUP(E5460,[1]Mapping!$A$3:$B$14,2,FALSE)</f>
        <v>#N/A</v>
      </c>
      <c r="J5460" s="84">
        <f t="shared" si="174"/>
        <v>0</v>
      </c>
      <c r="K5460" s="84">
        <f t="shared" si="175"/>
        <v>0</v>
      </c>
      <c r="L5460" s="61" t="e">
        <f>VLOOKUP(K5460,[1]Mapping!$J$3:$Q$351,8,FALSE)</f>
        <v>#N/A</v>
      </c>
      <c r="M5460" t="s">
        <v>83</v>
      </c>
    </row>
    <row r="5461" spans="9:13" hidden="1" x14ac:dyDescent="0.35">
      <c r="I5461" s="83" t="e">
        <f>VLOOKUP(E5461,[1]Mapping!$A$3:$B$14,2,FALSE)</f>
        <v>#N/A</v>
      </c>
      <c r="J5461" s="84">
        <f t="shared" si="174"/>
        <v>0</v>
      </c>
      <c r="K5461" s="84">
        <f t="shared" si="175"/>
        <v>0</v>
      </c>
      <c r="L5461" s="61" t="e">
        <f>VLOOKUP(K5461,[1]Mapping!$J$3:$Q$351,8,FALSE)</f>
        <v>#N/A</v>
      </c>
      <c r="M5461" t="s">
        <v>83</v>
      </c>
    </row>
    <row r="5462" spans="9:13" hidden="1" x14ac:dyDescent="0.35">
      <c r="I5462" s="83" t="e">
        <f>VLOOKUP(E5462,[1]Mapping!$A$3:$B$14,2,FALSE)</f>
        <v>#N/A</v>
      </c>
      <c r="J5462" s="84">
        <f t="shared" si="174"/>
        <v>0</v>
      </c>
      <c r="K5462" s="84">
        <f t="shared" si="175"/>
        <v>0</v>
      </c>
      <c r="L5462" s="61" t="e">
        <f>VLOOKUP(K5462,[1]Mapping!$J$3:$Q$351,8,FALSE)</f>
        <v>#N/A</v>
      </c>
      <c r="M5462" t="s">
        <v>83</v>
      </c>
    </row>
    <row r="5463" spans="9:13" hidden="1" x14ac:dyDescent="0.35">
      <c r="I5463" s="83" t="e">
        <f>VLOOKUP(E5463,[1]Mapping!$A$3:$B$14,2,FALSE)</f>
        <v>#N/A</v>
      </c>
      <c r="J5463" s="84">
        <f t="shared" si="174"/>
        <v>0</v>
      </c>
      <c r="K5463" s="84">
        <f t="shared" si="175"/>
        <v>0</v>
      </c>
      <c r="L5463" s="61" t="e">
        <f>VLOOKUP(K5463,[1]Mapping!$J$3:$Q$351,8,FALSE)</f>
        <v>#N/A</v>
      </c>
      <c r="M5463" t="s">
        <v>83</v>
      </c>
    </row>
    <row r="5464" spans="9:13" hidden="1" x14ac:dyDescent="0.35">
      <c r="I5464" s="83" t="e">
        <f>VLOOKUP(E5464,[1]Mapping!$A$3:$B$14,2,FALSE)</f>
        <v>#N/A</v>
      </c>
      <c r="J5464" s="84">
        <f t="shared" si="174"/>
        <v>0</v>
      </c>
      <c r="K5464" s="84">
        <f t="shared" si="175"/>
        <v>0</v>
      </c>
      <c r="L5464" s="61" t="e">
        <f>VLOOKUP(K5464,[1]Mapping!$J$3:$Q$351,8,FALSE)</f>
        <v>#N/A</v>
      </c>
      <c r="M5464" t="s">
        <v>83</v>
      </c>
    </row>
    <row r="5465" spans="9:13" hidden="1" x14ac:dyDescent="0.35">
      <c r="I5465" s="83" t="e">
        <f>VLOOKUP(E5465,[1]Mapping!$A$3:$B$14,2,FALSE)</f>
        <v>#N/A</v>
      </c>
      <c r="J5465" s="84">
        <f t="shared" si="174"/>
        <v>0</v>
      </c>
      <c r="K5465" s="84">
        <f t="shared" si="175"/>
        <v>0</v>
      </c>
      <c r="L5465" s="61" t="e">
        <f>VLOOKUP(K5465,[1]Mapping!$J$3:$Q$351,8,FALSE)</f>
        <v>#N/A</v>
      </c>
      <c r="M5465" t="s">
        <v>83</v>
      </c>
    </row>
    <row r="5466" spans="9:13" hidden="1" x14ac:dyDescent="0.35">
      <c r="I5466" s="83" t="e">
        <f>VLOOKUP(E5466,[1]Mapping!$A$3:$B$14,2,FALSE)</f>
        <v>#N/A</v>
      </c>
      <c r="J5466" s="84">
        <f t="shared" si="174"/>
        <v>0</v>
      </c>
      <c r="K5466" s="84">
        <f t="shared" si="175"/>
        <v>0</v>
      </c>
      <c r="L5466" s="61" t="e">
        <f>VLOOKUP(K5466,[1]Mapping!$J$3:$Q$351,8,FALSE)</f>
        <v>#N/A</v>
      </c>
      <c r="M5466" t="s">
        <v>83</v>
      </c>
    </row>
    <row r="5467" spans="9:13" hidden="1" x14ac:dyDescent="0.35">
      <c r="I5467" s="83" t="e">
        <f>VLOOKUP(E5467,[1]Mapping!$A$3:$B$14,2,FALSE)</f>
        <v>#N/A</v>
      </c>
      <c r="J5467" s="84">
        <f t="shared" si="174"/>
        <v>0</v>
      </c>
      <c r="K5467" s="84">
        <f t="shared" si="175"/>
        <v>0</v>
      </c>
      <c r="L5467" s="61" t="e">
        <f>VLOOKUP(K5467,[1]Mapping!$J$3:$Q$351,8,FALSE)</f>
        <v>#N/A</v>
      </c>
      <c r="M5467" t="s">
        <v>83</v>
      </c>
    </row>
    <row r="5468" spans="9:13" hidden="1" x14ac:dyDescent="0.35">
      <c r="I5468" s="83" t="e">
        <f>VLOOKUP(E5468,[1]Mapping!$A$3:$B$14,2,FALSE)</f>
        <v>#N/A</v>
      </c>
      <c r="J5468" s="84">
        <f t="shared" si="174"/>
        <v>0</v>
      </c>
      <c r="K5468" s="84">
        <f t="shared" si="175"/>
        <v>0</v>
      </c>
      <c r="L5468" s="61" t="e">
        <f>VLOOKUP(K5468,[1]Mapping!$J$3:$Q$351,8,FALSE)</f>
        <v>#N/A</v>
      </c>
      <c r="M5468" t="s">
        <v>83</v>
      </c>
    </row>
    <row r="5469" spans="9:13" hidden="1" x14ac:dyDescent="0.35">
      <c r="I5469" s="83" t="e">
        <f>VLOOKUP(E5469,[1]Mapping!$A$3:$B$14,2,FALSE)</f>
        <v>#N/A</v>
      </c>
      <c r="J5469" s="84">
        <f t="shared" si="174"/>
        <v>0</v>
      </c>
      <c r="K5469" s="84">
        <f t="shared" si="175"/>
        <v>0</v>
      </c>
      <c r="L5469" s="61" t="e">
        <f>VLOOKUP(K5469,[1]Mapping!$J$3:$Q$351,8,FALSE)</f>
        <v>#N/A</v>
      </c>
      <c r="M5469" t="s">
        <v>83</v>
      </c>
    </row>
    <row r="5470" spans="9:13" hidden="1" x14ac:dyDescent="0.35">
      <c r="I5470" s="83" t="e">
        <f>VLOOKUP(E5470,[1]Mapping!$A$3:$B$14,2,FALSE)</f>
        <v>#N/A</v>
      </c>
      <c r="J5470" s="84">
        <f t="shared" si="174"/>
        <v>0</v>
      </c>
      <c r="K5470" s="84">
        <f t="shared" si="175"/>
        <v>0</v>
      </c>
      <c r="L5470" s="61" t="e">
        <f>VLOOKUP(K5470,[1]Mapping!$J$3:$Q$351,8,FALSE)</f>
        <v>#N/A</v>
      </c>
      <c r="M5470" t="s">
        <v>83</v>
      </c>
    </row>
    <row r="5471" spans="9:13" hidden="1" x14ac:dyDescent="0.35">
      <c r="I5471" s="83" t="e">
        <f>VLOOKUP(E5471,[1]Mapping!$A$3:$B$14,2,FALSE)</f>
        <v>#N/A</v>
      </c>
      <c r="J5471" s="84">
        <f t="shared" si="174"/>
        <v>0</v>
      </c>
      <c r="K5471" s="84">
        <f t="shared" si="175"/>
        <v>0</v>
      </c>
      <c r="L5471" s="61" t="e">
        <f>VLOOKUP(K5471,[1]Mapping!$J$3:$Q$351,8,FALSE)</f>
        <v>#N/A</v>
      </c>
      <c r="M5471" t="s">
        <v>83</v>
      </c>
    </row>
    <row r="5472" spans="9:13" hidden="1" x14ac:dyDescent="0.35">
      <c r="I5472" s="83" t="e">
        <f>VLOOKUP(E5472,[1]Mapping!$A$3:$B$14,2,FALSE)</f>
        <v>#N/A</v>
      </c>
      <c r="J5472" s="84">
        <f t="shared" si="174"/>
        <v>0</v>
      </c>
      <c r="K5472" s="84">
        <f t="shared" si="175"/>
        <v>0</v>
      </c>
      <c r="L5472" s="61" t="e">
        <f>VLOOKUP(K5472,[1]Mapping!$J$3:$Q$351,8,FALSE)</f>
        <v>#N/A</v>
      </c>
      <c r="M5472" t="s">
        <v>83</v>
      </c>
    </row>
    <row r="5473" spans="9:13" hidden="1" x14ac:dyDescent="0.35">
      <c r="I5473" s="83" t="e">
        <f>VLOOKUP(E5473,[1]Mapping!$A$3:$B$14,2,FALSE)</f>
        <v>#N/A</v>
      </c>
      <c r="J5473" s="84">
        <f t="shared" si="174"/>
        <v>0</v>
      </c>
      <c r="K5473" s="84">
        <f t="shared" si="175"/>
        <v>0</v>
      </c>
      <c r="L5473" s="61" t="e">
        <f>VLOOKUP(K5473,[1]Mapping!$J$3:$Q$351,8,FALSE)</f>
        <v>#N/A</v>
      </c>
      <c r="M5473" t="s">
        <v>83</v>
      </c>
    </row>
    <row r="5474" spans="9:13" hidden="1" x14ac:dyDescent="0.35">
      <c r="I5474" s="83" t="e">
        <f>VLOOKUP(E5474,[1]Mapping!$A$3:$B$14,2,FALSE)</f>
        <v>#N/A</v>
      </c>
      <c r="J5474" s="84">
        <f t="shared" si="174"/>
        <v>0</v>
      </c>
      <c r="K5474" s="84">
        <f t="shared" si="175"/>
        <v>0</v>
      </c>
      <c r="L5474" s="61" t="e">
        <f>VLOOKUP(K5474,[1]Mapping!$J$3:$Q$351,8,FALSE)</f>
        <v>#N/A</v>
      </c>
      <c r="M5474" t="s">
        <v>83</v>
      </c>
    </row>
    <row r="5475" spans="9:13" hidden="1" x14ac:dyDescent="0.35">
      <c r="I5475" s="83" t="e">
        <f>VLOOKUP(E5475,[1]Mapping!$A$3:$B$14,2,FALSE)</f>
        <v>#N/A</v>
      </c>
      <c r="J5475" s="84">
        <f t="shared" si="174"/>
        <v>0</v>
      </c>
      <c r="K5475" s="84">
        <f t="shared" si="175"/>
        <v>0</v>
      </c>
      <c r="L5475" s="61" t="e">
        <f>VLOOKUP(K5475,[1]Mapping!$J$3:$Q$351,8,FALSE)</f>
        <v>#N/A</v>
      </c>
      <c r="M5475" t="s">
        <v>83</v>
      </c>
    </row>
    <row r="5476" spans="9:13" hidden="1" x14ac:dyDescent="0.35">
      <c r="I5476" s="83" t="e">
        <f>VLOOKUP(E5476,[1]Mapping!$A$3:$B$14,2,FALSE)</f>
        <v>#N/A</v>
      </c>
      <c r="J5476" s="84">
        <f t="shared" si="174"/>
        <v>0</v>
      </c>
      <c r="K5476" s="84">
        <f t="shared" si="175"/>
        <v>0</v>
      </c>
      <c r="L5476" s="61" t="e">
        <f>VLOOKUP(K5476,[1]Mapping!$J$3:$Q$351,8,FALSE)</f>
        <v>#N/A</v>
      </c>
      <c r="M5476" t="s">
        <v>83</v>
      </c>
    </row>
    <row r="5477" spans="9:13" hidden="1" x14ac:dyDescent="0.35">
      <c r="I5477" s="83" t="e">
        <f>VLOOKUP(E5477,[1]Mapping!$A$3:$B$14,2,FALSE)</f>
        <v>#N/A</v>
      </c>
      <c r="J5477" s="84">
        <f t="shared" si="174"/>
        <v>0</v>
      </c>
      <c r="K5477" s="84">
        <f t="shared" si="175"/>
        <v>0</v>
      </c>
      <c r="L5477" s="61" t="e">
        <f>VLOOKUP(K5477,[1]Mapping!$J$3:$Q$351,8,FALSE)</f>
        <v>#N/A</v>
      </c>
      <c r="M5477" t="s">
        <v>83</v>
      </c>
    </row>
    <row r="5478" spans="9:13" hidden="1" x14ac:dyDescent="0.35">
      <c r="I5478" s="83" t="e">
        <f>VLOOKUP(E5478,[1]Mapping!$A$3:$B$14,2,FALSE)</f>
        <v>#N/A</v>
      </c>
      <c r="J5478" s="84">
        <f t="shared" si="174"/>
        <v>0</v>
      </c>
      <c r="K5478" s="84">
        <f t="shared" si="175"/>
        <v>0</v>
      </c>
      <c r="L5478" s="61" t="e">
        <f>VLOOKUP(K5478,[1]Mapping!$J$3:$Q$351,8,FALSE)</f>
        <v>#N/A</v>
      </c>
      <c r="M5478" t="s">
        <v>83</v>
      </c>
    </row>
    <row r="5479" spans="9:13" hidden="1" x14ac:dyDescent="0.35">
      <c r="I5479" s="83" t="e">
        <f>VLOOKUP(E5479,[1]Mapping!$A$3:$B$14,2,FALSE)</f>
        <v>#N/A</v>
      </c>
      <c r="J5479" s="84">
        <f t="shared" si="174"/>
        <v>0</v>
      </c>
      <c r="K5479" s="84">
        <f t="shared" si="175"/>
        <v>0</v>
      </c>
      <c r="L5479" s="61" t="e">
        <f>VLOOKUP(K5479,[1]Mapping!$J$3:$Q$351,8,FALSE)</f>
        <v>#N/A</v>
      </c>
      <c r="M5479" t="s">
        <v>83</v>
      </c>
    </row>
    <row r="5480" spans="9:13" hidden="1" x14ac:dyDescent="0.35">
      <c r="I5480" s="83" t="e">
        <f>VLOOKUP(E5480,[1]Mapping!$A$3:$B$14,2,FALSE)</f>
        <v>#N/A</v>
      </c>
      <c r="J5480" s="84">
        <f t="shared" si="174"/>
        <v>0</v>
      </c>
      <c r="K5480" s="84">
        <f t="shared" si="175"/>
        <v>0</v>
      </c>
      <c r="L5480" s="61" t="e">
        <f>VLOOKUP(K5480,[1]Mapping!$J$3:$Q$351,8,FALSE)</f>
        <v>#N/A</v>
      </c>
      <c r="M5480" t="s">
        <v>83</v>
      </c>
    </row>
    <row r="5481" spans="9:13" hidden="1" x14ac:dyDescent="0.35">
      <c r="I5481" s="83" t="e">
        <f>VLOOKUP(E5481,[1]Mapping!$A$3:$B$14,2,FALSE)</f>
        <v>#N/A</v>
      </c>
      <c r="J5481" s="84">
        <f t="shared" si="174"/>
        <v>0</v>
      </c>
      <c r="K5481" s="84">
        <f t="shared" si="175"/>
        <v>0</v>
      </c>
      <c r="L5481" s="61" t="e">
        <f>VLOOKUP(K5481,[1]Mapping!$J$3:$Q$351,8,FALSE)</f>
        <v>#N/A</v>
      </c>
      <c r="M5481" t="s">
        <v>83</v>
      </c>
    </row>
    <row r="5482" spans="9:13" hidden="1" x14ac:dyDescent="0.35">
      <c r="I5482" s="83" t="e">
        <f>VLOOKUP(E5482,[1]Mapping!$A$3:$B$14,2,FALSE)</f>
        <v>#N/A</v>
      </c>
      <c r="J5482" s="84">
        <f t="shared" si="174"/>
        <v>0</v>
      </c>
      <c r="K5482" s="84">
        <f t="shared" si="175"/>
        <v>0</v>
      </c>
      <c r="L5482" s="61" t="e">
        <f>VLOOKUP(K5482,[1]Mapping!$J$3:$Q$351,8,FALSE)</f>
        <v>#N/A</v>
      </c>
      <c r="M5482" t="s">
        <v>83</v>
      </c>
    </row>
    <row r="5483" spans="9:13" hidden="1" x14ac:dyDescent="0.35">
      <c r="I5483" s="83" t="e">
        <f>VLOOKUP(E5483,[1]Mapping!$A$3:$B$14,2,FALSE)</f>
        <v>#N/A</v>
      </c>
      <c r="J5483" s="84">
        <f t="shared" si="174"/>
        <v>0</v>
      </c>
      <c r="K5483" s="84">
        <f t="shared" si="175"/>
        <v>0</v>
      </c>
      <c r="L5483" s="61" t="e">
        <f>VLOOKUP(K5483,[1]Mapping!$J$3:$Q$351,8,FALSE)</f>
        <v>#N/A</v>
      </c>
      <c r="M5483" t="s">
        <v>83</v>
      </c>
    </row>
    <row r="5484" spans="9:13" hidden="1" x14ac:dyDescent="0.35">
      <c r="I5484" s="83" t="e">
        <f>VLOOKUP(E5484,[1]Mapping!$A$3:$B$14,2,FALSE)</f>
        <v>#N/A</v>
      </c>
      <c r="J5484" s="84">
        <f t="shared" si="174"/>
        <v>0</v>
      </c>
      <c r="K5484" s="84">
        <f t="shared" si="175"/>
        <v>0</v>
      </c>
      <c r="L5484" s="61" t="e">
        <f>VLOOKUP(K5484,[1]Mapping!$J$3:$Q$351,8,FALSE)</f>
        <v>#N/A</v>
      </c>
      <c r="M5484" t="s">
        <v>83</v>
      </c>
    </row>
    <row r="5485" spans="9:13" hidden="1" x14ac:dyDescent="0.35">
      <c r="I5485" s="83" t="e">
        <f>VLOOKUP(E5485,[1]Mapping!$A$3:$B$14,2,FALSE)</f>
        <v>#N/A</v>
      </c>
      <c r="J5485" s="84">
        <f t="shared" si="174"/>
        <v>0</v>
      </c>
      <c r="K5485" s="84">
        <f t="shared" si="175"/>
        <v>0</v>
      </c>
      <c r="L5485" s="61" t="e">
        <f>VLOOKUP(K5485,[1]Mapping!$J$3:$Q$351,8,FALSE)</f>
        <v>#N/A</v>
      </c>
      <c r="M5485" t="s">
        <v>83</v>
      </c>
    </row>
    <row r="5486" spans="9:13" hidden="1" x14ac:dyDescent="0.35">
      <c r="I5486" s="83" t="e">
        <f>VLOOKUP(E5486,[1]Mapping!$A$3:$B$14,2,FALSE)</f>
        <v>#N/A</v>
      </c>
      <c r="J5486" s="84">
        <f t="shared" si="174"/>
        <v>0</v>
      </c>
      <c r="K5486" s="84">
        <f t="shared" si="175"/>
        <v>0</v>
      </c>
      <c r="L5486" s="61" t="e">
        <f>VLOOKUP(K5486,[1]Mapping!$J$3:$Q$351,8,FALSE)</f>
        <v>#N/A</v>
      </c>
      <c r="M5486" t="s">
        <v>83</v>
      </c>
    </row>
    <row r="5487" spans="9:13" hidden="1" x14ac:dyDescent="0.35">
      <c r="I5487" s="83" t="e">
        <f>VLOOKUP(E5487,[1]Mapping!$A$3:$B$14,2,FALSE)</f>
        <v>#N/A</v>
      </c>
      <c r="J5487" s="84">
        <f t="shared" si="174"/>
        <v>0</v>
      </c>
      <c r="K5487" s="84">
        <f t="shared" si="175"/>
        <v>0</v>
      </c>
      <c r="L5487" s="61" t="e">
        <f>VLOOKUP(K5487,[1]Mapping!$J$3:$Q$351,8,FALSE)</f>
        <v>#N/A</v>
      </c>
      <c r="M5487" t="s">
        <v>83</v>
      </c>
    </row>
    <row r="5488" spans="9:13" hidden="1" x14ac:dyDescent="0.35">
      <c r="I5488" s="83" t="e">
        <f>VLOOKUP(E5488,[1]Mapping!$A$3:$B$14,2,FALSE)</f>
        <v>#N/A</v>
      </c>
      <c r="J5488" s="84">
        <f t="shared" si="174"/>
        <v>0</v>
      </c>
      <c r="K5488" s="84">
        <f t="shared" si="175"/>
        <v>0</v>
      </c>
      <c r="L5488" s="61" t="e">
        <f>VLOOKUP(K5488,[1]Mapping!$J$3:$Q$351,8,FALSE)</f>
        <v>#N/A</v>
      </c>
      <c r="M5488" t="s">
        <v>83</v>
      </c>
    </row>
    <row r="5489" spans="9:13" hidden="1" x14ac:dyDescent="0.35">
      <c r="I5489" s="83" t="e">
        <f>VLOOKUP(E5489,[1]Mapping!$A$3:$B$14,2,FALSE)</f>
        <v>#N/A</v>
      </c>
      <c r="J5489" s="84">
        <f t="shared" si="174"/>
        <v>0</v>
      </c>
      <c r="K5489" s="84">
        <f t="shared" si="175"/>
        <v>0</v>
      </c>
      <c r="L5489" s="61" t="e">
        <f>VLOOKUP(K5489,[1]Mapping!$J$3:$Q$351,8,FALSE)</f>
        <v>#N/A</v>
      </c>
      <c r="M5489" t="s">
        <v>83</v>
      </c>
    </row>
    <row r="5490" spans="9:13" hidden="1" x14ac:dyDescent="0.35">
      <c r="I5490" s="83" t="e">
        <f>VLOOKUP(E5490,[1]Mapping!$A$3:$B$14,2,FALSE)</f>
        <v>#N/A</v>
      </c>
      <c r="J5490" s="84">
        <f t="shared" si="174"/>
        <v>0</v>
      </c>
      <c r="K5490" s="84">
        <f t="shared" si="175"/>
        <v>0</v>
      </c>
      <c r="L5490" s="61" t="e">
        <f>VLOOKUP(K5490,[1]Mapping!$J$3:$Q$351,8,FALSE)</f>
        <v>#N/A</v>
      </c>
      <c r="M5490" t="s">
        <v>83</v>
      </c>
    </row>
    <row r="5491" spans="9:13" hidden="1" x14ac:dyDescent="0.35">
      <c r="I5491" s="83" t="e">
        <f>VLOOKUP(E5491,[1]Mapping!$A$3:$B$14,2,FALSE)</f>
        <v>#N/A</v>
      </c>
      <c r="J5491" s="84">
        <f t="shared" si="174"/>
        <v>0</v>
      </c>
      <c r="K5491" s="84">
        <f t="shared" si="175"/>
        <v>0</v>
      </c>
      <c r="L5491" s="61" t="e">
        <f>VLOOKUP(K5491,[1]Mapping!$J$3:$Q$351,8,FALSE)</f>
        <v>#N/A</v>
      </c>
      <c r="M5491" t="s">
        <v>83</v>
      </c>
    </row>
    <row r="5492" spans="9:13" hidden="1" x14ac:dyDescent="0.35">
      <c r="I5492" s="83" t="e">
        <f>VLOOKUP(E5492,[1]Mapping!$A$3:$B$14,2,FALSE)</f>
        <v>#N/A</v>
      </c>
      <c r="J5492" s="84">
        <f t="shared" si="174"/>
        <v>0</v>
      </c>
      <c r="K5492" s="84">
        <f t="shared" si="175"/>
        <v>0</v>
      </c>
      <c r="L5492" s="61" t="e">
        <f>VLOOKUP(K5492,[1]Mapping!$J$3:$Q$351,8,FALSE)</f>
        <v>#N/A</v>
      </c>
      <c r="M5492" t="s">
        <v>83</v>
      </c>
    </row>
    <row r="5493" spans="9:13" hidden="1" x14ac:dyDescent="0.35">
      <c r="I5493" s="83" t="e">
        <f>VLOOKUP(E5493,[1]Mapping!$A$3:$B$14,2,FALSE)</f>
        <v>#N/A</v>
      </c>
      <c r="J5493" s="84">
        <f t="shared" si="174"/>
        <v>0</v>
      </c>
      <c r="K5493" s="84">
        <f t="shared" si="175"/>
        <v>0</v>
      </c>
      <c r="L5493" s="61" t="e">
        <f>VLOOKUP(K5493,[1]Mapping!$J$3:$Q$351,8,FALSE)</f>
        <v>#N/A</v>
      </c>
      <c r="M5493" t="s">
        <v>83</v>
      </c>
    </row>
    <row r="5494" spans="9:13" hidden="1" x14ac:dyDescent="0.35">
      <c r="I5494" s="83" t="e">
        <f>VLOOKUP(E5494,[1]Mapping!$A$3:$B$14,2,FALSE)</f>
        <v>#N/A</v>
      </c>
      <c r="J5494" s="84">
        <f t="shared" si="174"/>
        <v>0</v>
      </c>
      <c r="K5494" s="84">
        <f t="shared" si="175"/>
        <v>0</v>
      </c>
      <c r="L5494" s="61" t="e">
        <f>VLOOKUP(K5494,[1]Mapping!$J$3:$Q$351,8,FALSE)</f>
        <v>#N/A</v>
      </c>
      <c r="M5494" t="s">
        <v>83</v>
      </c>
    </row>
    <row r="5495" spans="9:13" hidden="1" x14ac:dyDescent="0.35">
      <c r="I5495" s="83" t="e">
        <f>VLOOKUP(E5495,[1]Mapping!$A$3:$B$14,2,FALSE)</f>
        <v>#N/A</v>
      </c>
      <c r="J5495" s="84">
        <f t="shared" si="174"/>
        <v>0</v>
      </c>
      <c r="K5495" s="84">
        <f t="shared" si="175"/>
        <v>0</v>
      </c>
      <c r="L5495" s="61" t="e">
        <f>VLOOKUP(K5495,[1]Mapping!$J$3:$Q$351,8,FALSE)</f>
        <v>#N/A</v>
      </c>
      <c r="M5495" t="s">
        <v>83</v>
      </c>
    </row>
    <row r="5496" spans="9:13" hidden="1" x14ac:dyDescent="0.35">
      <c r="I5496" s="83" t="e">
        <f>VLOOKUP(E5496,[1]Mapping!$A$3:$B$14,2,FALSE)</f>
        <v>#N/A</v>
      </c>
      <c r="J5496" s="84">
        <f t="shared" si="174"/>
        <v>0</v>
      </c>
      <c r="K5496" s="84">
        <f t="shared" si="175"/>
        <v>0</v>
      </c>
      <c r="L5496" s="61" t="e">
        <f>VLOOKUP(K5496,[1]Mapping!$J$3:$Q$351,8,FALSE)</f>
        <v>#N/A</v>
      </c>
      <c r="M5496" t="s">
        <v>83</v>
      </c>
    </row>
    <row r="5497" spans="9:13" hidden="1" x14ac:dyDescent="0.35">
      <c r="I5497" s="83" t="e">
        <f>VLOOKUP(E5497,[1]Mapping!$A$3:$B$14,2,FALSE)</f>
        <v>#N/A</v>
      </c>
      <c r="J5497" s="84">
        <f t="shared" si="174"/>
        <v>0</v>
      </c>
      <c r="K5497" s="84">
        <f t="shared" si="175"/>
        <v>0</v>
      </c>
      <c r="L5497" s="61" t="e">
        <f>VLOOKUP(K5497,[1]Mapping!$J$3:$Q$351,8,FALSE)</f>
        <v>#N/A</v>
      </c>
      <c r="M5497" t="s">
        <v>83</v>
      </c>
    </row>
    <row r="5498" spans="9:13" hidden="1" x14ac:dyDescent="0.35">
      <c r="I5498" s="83" t="e">
        <f>VLOOKUP(E5498,[1]Mapping!$A$3:$B$14,2,FALSE)</f>
        <v>#N/A</v>
      </c>
      <c r="J5498" s="84">
        <f t="shared" si="174"/>
        <v>0</v>
      </c>
      <c r="K5498" s="84">
        <f t="shared" si="175"/>
        <v>0</v>
      </c>
      <c r="L5498" s="61" t="e">
        <f>VLOOKUP(K5498,[1]Mapping!$J$3:$Q$351,8,FALSE)</f>
        <v>#N/A</v>
      </c>
      <c r="M5498" t="s">
        <v>83</v>
      </c>
    </row>
    <row r="5499" spans="9:13" hidden="1" x14ac:dyDescent="0.35">
      <c r="I5499" s="83" t="e">
        <f>VLOOKUP(E5499,[1]Mapping!$A$3:$B$14,2,FALSE)</f>
        <v>#N/A</v>
      </c>
      <c r="J5499" s="84">
        <f t="shared" si="174"/>
        <v>0</v>
      </c>
      <c r="K5499" s="84">
        <f t="shared" si="175"/>
        <v>0</v>
      </c>
      <c r="L5499" s="61" t="e">
        <f>VLOOKUP(K5499,[1]Mapping!$J$3:$Q$351,8,FALSE)</f>
        <v>#N/A</v>
      </c>
      <c r="M5499" t="s">
        <v>83</v>
      </c>
    </row>
    <row r="5500" spans="9:13" hidden="1" x14ac:dyDescent="0.35">
      <c r="I5500" s="83" t="e">
        <f>VLOOKUP(E5500,[1]Mapping!$A$3:$B$14,2,FALSE)</f>
        <v>#N/A</v>
      </c>
      <c r="J5500" s="84">
        <f t="shared" si="174"/>
        <v>0</v>
      </c>
      <c r="K5500" s="84">
        <f t="shared" si="175"/>
        <v>0</v>
      </c>
      <c r="L5500" s="61" t="e">
        <f>VLOOKUP(K5500,[1]Mapping!$J$3:$Q$351,8,FALSE)</f>
        <v>#N/A</v>
      </c>
      <c r="M5500" t="s">
        <v>83</v>
      </c>
    </row>
    <row r="5501" spans="9:13" hidden="1" x14ac:dyDescent="0.35">
      <c r="I5501" s="83" t="e">
        <f>VLOOKUP(E5501,[1]Mapping!$A$3:$B$14,2,FALSE)</f>
        <v>#N/A</v>
      </c>
      <c r="J5501" s="84">
        <f t="shared" si="174"/>
        <v>0</v>
      </c>
      <c r="K5501" s="84">
        <f t="shared" si="175"/>
        <v>0</v>
      </c>
      <c r="L5501" s="61" t="e">
        <f>VLOOKUP(K5501,[1]Mapping!$J$3:$Q$351,8,FALSE)</f>
        <v>#N/A</v>
      </c>
      <c r="M5501" t="s">
        <v>83</v>
      </c>
    </row>
    <row r="5502" spans="9:13" hidden="1" x14ac:dyDescent="0.35">
      <c r="I5502" s="83" t="e">
        <f>VLOOKUP(E5502,[1]Mapping!$A$3:$B$14,2,FALSE)</f>
        <v>#N/A</v>
      </c>
      <c r="J5502" s="84">
        <f t="shared" si="174"/>
        <v>0</v>
      </c>
      <c r="K5502" s="84">
        <f t="shared" si="175"/>
        <v>0</v>
      </c>
      <c r="L5502" s="61" t="e">
        <f>VLOOKUP(K5502,[1]Mapping!$J$3:$Q$351,8,FALSE)</f>
        <v>#N/A</v>
      </c>
      <c r="M5502" t="s">
        <v>83</v>
      </c>
    </row>
    <row r="5503" spans="9:13" hidden="1" x14ac:dyDescent="0.35">
      <c r="I5503" s="83" t="e">
        <f>VLOOKUP(E5503,[1]Mapping!$A$3:$B$14,2,FALSE)</f>
        <v>#N/A</v>
      </c>
      <c r="J5503" s="84">
        <f t="shared" si="174"/>
        <v>0</v>
      </c>
      <c r="K5503" s="84">
        <f t="shared" si="175"/>
        <v>0</v>
      </c>
      <c r="L5503" s="61" t="e">
        <f>VLOOKUP(K5503,[1]Mapping!$J$3:$Q$351,8,FALSE)</f>
        <v>#N/A</v>
      </c>
      <c r="M5503" t="s">
        <v>83</v>
      </c>
    </row>
    <row r="5504" spans="9:13" hidden="1" x14ac:dyDescent="0.35">
      <c r="I5504" s="83" t="e">
        <f>VLOOKUP(E5504,[1]Mapping!$A$3:$B$14,2,FALSE)</f>
        <v>#N/A</v>
      </c>
      <c r="J5504" s="84">
        <f t="shared" si="174"/>
        <v>0</v>
      </c>
      <c r="K5504" s="84">
        <f t="shared" si="175"/>
        <v>0</v>
      </c>
      <c r="L5504" s="61" t="e">
        <f>VLOOKUP(K5504,[1]Mapping!$J$3:$Q$351,8,FALSE)</f>
        <v>#N/A</v>
      </c>
      <c r="M5504" t="s">
        <v>83</v>
      </c>
    </row>
    <row r="5505" spans="9:13" hidden="1" x14ac:dyDescent="0.35">
      <c r="I5505" s="83" t="e">
        <f>VLOOKUP(E5505,[1]Mapping!$A$3:$B$14,2,FALSE)</f>
        <v>#N/A</v>
      </c>
      <c r="J5505" s="84">
        <f t="shared" si="174"/>
        <v>0</v>
      </c>
      <c r="K5505" s="84">
        <f t="shared" si="175"/>
        <v>0</v>
      </c>
      <c r="L5505" s="61" t="e">
        <f>VLOOKUP(K5505,[1]Mapping!$J$3:$Q$351,8,FALSE)</f>
        <v>#N/A</v>
      </c>
      <c r="M5505" t="s">
        <v>83</v>
      </c>
    </row>
    <row r="5506" spans="9:13" hidden="1" x14ac:dyDescent="0.35">
      <c r="I5506" s="83" t="e">
        <f>VLOOKUP(E5506,[1]Mapping!$A$3:$B$14,2,FALSE)</f>
        <v>#N/A</v>
      </c>
      <c r="J5506" s="84">
        <f t="shared" si="174"/>
        <v>0</v>
      </c>
      <c r="K5506" s="84">
        <f t="shared" si="175"/>
        <v>0</v>
      </c>
      <c r="L5506" s="61" t="e">
        <f>VLOOKUP(K5506,[1]Mapping!$J$3:$Q$351,8,FALSE)</f>
        <v>#N/A</v>
      </c>
      <c r="M5506" t="s">
        <v>83</v>
      </c>
    </row>
    <row r="5507" spans="9:13" hidden="1" x14ac:dyDescent="0.35">
      <c r="I5507" s="83" t="e">
        <f>VLOOKUP(E5507,[1]Mapping!$A$3:$B$14,2,FALSE)</f>
        <v>#N/A</v>
      </c>
      <c r="J5507" s="84">
        <f t="shared" si="174"/>
        <v>0</v>
      </c>
      <c r="K5507" s="84">
        <f t="shared" si="175"/>
        <v>0</v>
      </c>
      <c r="L5507" s="61" t="e">
        <f>VLOOKUP(K5507,[1]Mapping!$J$3:$Q$351,8,FALSE)</f>
        <v>#N/A</v>
      </c>
      <c r="M5507" t="s">
        <v>83</v>
      </c>
    </row>
    <row r="5508" spans="9:13" hidden="1" x14ac:dyDescent="0.35">
      <c r="I5508" s="83" t="e">
        <f>VLOOKUP(E5508,[1]Mapping!$A$3:$B$14,2,FALSE)</f>
        <v>#N/A</v>
      </c>
      <c r="J5508" s="84">
        <f t="shared" si="174"/>
        <v>0</v>
      </c>
      <c r="K5508" s="84">
        <f t="shared" si="175"/>
        <v>0</v>
      </c>
      <c r="L5508" s="61" t="e">
        <f>VLOOKUP(K5508,[1]Mapping!$J$3:$Q$351,8,FALSE)</f>
        <v>#N/A</v>
      </c>
      <c r="M5508" t="s">
        <v>83</v>
      </c>
    </row>
    <row r="5509" spans="9:13" hidden="1" x14ac:dyDescent="0.35">
      <c r="I5509" s="83" t="e">
        <f>VLOOKUP(E5509,[1]Mapping!$A$3:$B$14,2,FALSE)</f>
        <v>#N/A</v>
      </c>
      <c r="J5509" s="84">
        <f t="shared" si="174"/>
        <v>0</v>
      </c>
      <c r="K5509" s="84">
        <f t="shared" si="175"/>
        <v>0</v>
      </c>
      <c r="L5509" s="61" t="e">
        <f>VLOOKUP(K5509,[1]Mapping!$J$3:$Q$351,8,FALSE)</f>
        <v>#N/A</v>
      </c>
      <c r="M5509" t="s">
        <v>83</v>
      </c>
    </row>
    <row r="5510" spans="9:13" hidden="1" x14ac:dyDescent="0.35">
      <c r="I5510" s="83" t="e">
        <f>VLOOKUP(E5510,[1]Mapping!$A$3:$B$14,2,FALSE)</f>
        <v>#N/A</v>
      </c>
      <c r="J5510" s="84">
        <f t="shared" si="174"/>
        <v>0</v>
      </c>
      <c r="K5510" s="84">
        <f t="shared" si="175"/>
        <v>0</v>
      </c>
      <c r="L5510" s="61" t="e">
        <f>VLOOKUP(K5510,[1]Mapping!$J$3:$Q$351,8,FALSE)</f>
        <v>#N/A</v>
      </c>
      <c r="M5510" t="s">
        <v>83</v>
      </c>
    </row>
    <row r="5511" spans="9:13" hidden="1" x14ac:dyDescent="0.35">
      <c r="I5511" s="83" t="e">
        <f>VLOOKUP(E5511,[1]Mapping!$A$3:$B$14,2,FALSE)</f>
        <v>#N/A</v>
      </c>
      <c r="J5511" s="84">
        <f t="shared" si="174"/>
        <v>0</v>
      </c>
      <c r="K5511" s="84">
        <f t="shared" si="175"/>
        <v>0</v>
      </c>
      <c r="L5511" s="61" t="e">
        <f>VLOOKUP(K5511,[1]Mapping!$J$3:$Q$351,8,FALSE)</f>
        <v>#N/A</v>
      </c>
      <c r="M5511" t="s">
        <v>83</v>
      </c>
    </row>
    <row r="5512" spans="9:13" hidden="1" x14ac:dyDescent="0.35"/>
    <row r="5513" spans="9:13" hidden="1" x14ac:dyDescent="0.35"/>
    <row r="5514" spans="9:13" hidden="1" x14ac:dyDescent="0.35"/>
    <row r="5515" spans="9:13" hidden="1" x14ac:dyDescent="0.35"/>
    <row r="5516" spans="9:13" hidden="1" x14ac:dyDescent="0.35"/>
    <row r="5517" spans="9:13" hidden="1" x14ac:dyDescent="0.35"/>
    <row r="5518" spans="9:13" hidden="1" x14ac:dyDescent="0.35"/>
    <row r="5519" spans="9:13" hidden="1" x14ac:dyDescent="0.35"/>
    <row r="5520" spans="9:13" hidden="1" x14ac:dyDescent="0.35"/>
    <row r="5521" hidden="1" x14ac:dyDescent="0.35"/>
    <row r="5522" hidden="1" x14ac:dyDescent="0.35"/>
    <row r="5523" hidden="1" x14ac:dyDescent="0.35"/>
    <row r="5524" hidden="1" x14ac:dyDescent="0.35"/>
    <row r="5525" hidden="1" x14ac:dyDescent="0.35"/>
    <row r="5526" hidden="1" x14ac:dyDescent="0.35"/>
    <row r="5527" hidden="1" x14ac:dyDescent="0.35"/>
    <row r="5528" hidden="1" x14ac:dyDescent="0.35"/>
    <row r="5529" hidden="1" x14ac:dyDescent="0.35"/>
    <row r="5530" hidden="1" x14ac:dyDescent="0.35"/>
    <row r="5531" hidden="1" x14ac:dyDescent="0.35"/>
    <row r="5532" hidden="1" x14ac:dyDescent="0.35"/>
    <row r="5533" hidden="1" x14ac:dyDescent="0.35"/>
    <row r="5534" hidden="1" x14ac:dyDescent="0.35"/>
    <row r="5535" hidden="1" x14ac:dyDescent="0.35"/>
    <row r="5536" hidden="1" x14ac:dyDescent="0.35"/>
    <row r="5537" hidden="1" x14ac:dyDescent="0.35"/>
    <row r="5538" hidden="1" x14ac:dyDescent="0.35"/>
    <row r="5539" hidden="1" x14ac:dyDescent="0.35"/>
    <row r="5540" hidden="1" x14ac:dyDescent="0.35"/>
    <row r="5541" hidden="1" x14ac:dyDescent="0.35"/>
    <row r="5542" hidden="1" x14ac:dyDescent="0.35"/>
    <row r="5543" hidden="1" x14ac:dyDescent="0.35"/>
    <row r="5544" hidden="1" x14ac:dyDescent="0.35"/>
    <row r="5545" hidden="1" x14ac:dyDescent="0.35"/>
    <row r="5546" hidden="1" x14ac:dyDescent="0.35"/>
    <row r="5547" hidden="1" x14ac:dyDescent="0.35"/>
    <row r="5548" hidden="1" x14ac:dyDescent="0.35"/>
    <row r="5549" hidden="1" x14ac:dyDescent="0.35"/>
    <row r="5550" hidden="1" x14ac:dyDescent="0.35"/>
    <row r="5551" hidden="1" x14ac:dyDescent="0.35"/>
    <row r="5552" hidden="1" x14ac:dyDescent="0.35"/>
    <row r="5553" hidden="1" x14ac:dyDescent="0.35"/>
    <row r="5554" hidden="1" x14ac:dyDescent="0.35"/>
    <row r="5555" hidden="1" x14ac:dyDescent="0.35"/>
    <row r="5556" hidden="1" x14ac:dyDescent="0.35"/>
    <row r="5557" hidden="1" x14ac:dyDescent="0.35"/>
    <row r="5558" hidden="1" x14ac:dyDescent="0.35"/>
    <row r="5559" hidden="1" x14ac:dyDescent="0.35"/>
    <row r="5560" hidden="1" x14ac:dyDescent="0.35"/>
    <row r="5561" hidden="1" x14ac:dyDescent="0.35"/>
    <row r="5562" hidden="1" x14ac:dyDescent="0.35"/>
    <row r="5563" hidden="1" x14ac:dyDescent="0.35"/>
    <row r="5564" hidden="1" x14ac:dyDescent="0.35"/>
    <row r="5565" hidden="1" x14ac:dyDescent="0.35"/>
    <row r="5566" hidden="1" x14ac:dyDescent="0.35"/>
    <row r="5567" hidden="1" x14ac:dyDescent="0.35"/>
    <row r="5568" hidden="1" x14ac:dyDescent="0.35"/>
    <row r="5569" hidden="1" x14ac:dyDescent="0.35"/>
    <row r="5570" hidden="1" x14ac:dyDescent="0.35"/>
    <row r="5571" hidden="1" x14ac:dyDescent="0.35"/>
    <row r="5572" hidden="1" x14ac:dyDescent="0.35"/>
    <row r="5573" hidden="1" x14ac:dyDescent="0.35"/>
    <row r="5574" hidden="1" x14ac:dyDescent="0.35"/>
    <row r="5575" hidden="1" x14ac:dyDescent="0.35"/>
    <row r="5576" hidden="1" x14ac:dyDescent="0.35"/>
    <row r="5577" hidden="1" x14ac:dyDescent="0.35"/>
    <row r="5578" hidden="1" x14ac:dyDescent="0.35"/>
    <row r="5579" hidden="1" x14ac:dyDescent="0.35"/>
    <row r="5580" hidden="1" x14ac:dyDescent="0.35"/>
    <row r="5581" hidden="1" x14ac:dyDescent="0.35"/>
    <row r="5582" hidden="1" x14ac:dyDescent="0.35"/>
    <row r="5583" hidden="1" x14ac:dyDescent="0.35"/>
    <row r="5584" hidden="1" x14ac:dyDescent="0.35"/>
    <row r="5585" hidden="1" x14ac:dyDescent="0.35"/>
    <row r="5586" hidden="1" x14ac:dyDescent="0.35"/>
    <row r="5587" hidden="1" x14ac:dyDescent="0.35"/>
    <row r="5588" hidden="1" x14ac:dyDescent="0.35"/>
    <row r="5589" hidden="1" x14ac:dyDescent="0.35"/>
    <row r="5590" hidden="1" x14ac:dyDescent="0.35"/>
    <row r="5591" hidden="1" x14ac:dyDescent="0.35"/>
    <row r="5592" hidden="1" x14ac:dyDescent="0.35"/>
    <row r="5593" hidden="1" x14ac:dyDescent="0.35"/>
    <row r="5594" hidden="1" x14ac:dyDescent="0.35"/>
    <row r="5595" hidden="1" x14ac:dyDescent="0.35"/>
    <row r="5596" hidden="1" x14ac:dyDescent="0.35"/>
    <row r="5597" hidden="1" x14ac:dyDescent="0.35"/>
    <row r="5598" hidden="1" x14ac:dyDescent="0.35"/>
    <row r="5599" hidden="1" x14ac:dyDescent="0.35"/>
    <row r="5600" hidden="1" x14ac:dyDescent="0.35"/>
    <row r="5601" hidden="1" x14ac:dyDescent="0.35"/>
    <row r="5602" hidden="1" x14ac:dyDescent="0.35"/>
    <row r="5603" hidden="1" x14ac:dyDescent="0.35"/>
    <row r="5604" hidden="1" x14ac:dyDescent="0.35"/>
    <row r="5605" hidden="1" x14ac:dyDescent="0.35"/>
    <row r="5606" hidden="1" x14ac:dyDescent="0.35"/>
    <row r="5607" hidden="1" x14ac:dyDescent="0.35"/>
    <row r="5608" hidden="1" x14ac:dyDescent="0.35"/>
    <row r="5609" hidden="1" x14ac:dyDescent="0.35"/>
    <row r="5610" hidden="1" x14ac:dyDescent="0.35"/>
    <row r="5611" hidden="1" x14ac:dyDescent="0.35"/>
    <row r="5612" hidden="1" x14ac:dyDescent="0.35"/>
    <row r="5613" hidden="1" x14ac:dyDescent="0.35"/>
    <row r="5614" hidden="1" x14ac:dyDescent="0.35"/>
    <row r="5615" hidden="1" x14ac:dyDescent="0.35"/>
    <row r="5616" hidden="1" x14ac:dyDescent="0.35"/>
    <row r="5617" hidden="1" x14ac:dyDescent="0.35"/>
    <row r="5618" hidden="1" x14ac:dyDescent="0.35"/>
    <row r="5619" hidden="1" x14ac:dyDescent="0.35"/>
    <row r="5620" hidden="1" x14ac:dyDescent="0.35"/>
    <row r="5621" hidden="1" x14ac:dyDescent="0.35"/>
    <row r="5622" hidden="1" x14ac:dyDescent="0.35"/>
    <row r="5623" hidden="1" x14ac:dyDescent="0.35"/>
    <row r="5624" hidden="1" x14ac:dyDescent="0.35"/>
    <row r="5625" hidden="1" x14ac:dyDescent="0.35"/>
    <row r="5626" hidden="1" x14ac:dyDescent="0.35"/>
    <row r="5627" hidden="1" x14ac:dyDescent="0.35"/>
    <row r="5628" hidden="1" x14ac:dyDescent="0.35"/>
    <row r="5629" hidden="1" x14ac:dyDescent="0.35"/>
    <row r="5630" hidden="1" x14ac:dyDescent="0.35"/>
    <row r="5631" hidden="1" x14ac:dyDescent="0.35"/>
    <row r="5632" hidden="1" x14ac:dyDescent="0.35"/>
    <row r="5633" hidden="1" x14ac:dyDescent="0.35"/>
    <row r="5634" hidden="1" x14ac:dyDescent="0.35"/>
    <row r="5635" hidden="1" x14ac:dyDescent="0.35"/>
    <row r="5636" hidden="1" x14ac:dyDescent="0.35"/>
    <row r="5637" hidden="1" x14ac:dyDescent="0.35"/>
    <row r="5638" hidden="1" x14ac:dyDescent="0.35"/>
    <row r="5639" hidden="1" x14ac:dyDescent="0.35"/>
    <row r="5640" hidden="1" x14ac:dyDescent="0.35"/>
    <row r="5641" hidden="1" x14ac:dyDescent="0.35"/>
    <row r="5642" hidden="1" x14ac:dyDescent="0.35"/>
    <row r="5643" hidden="1" x14ac:dyDescent="0.35"/>
    <row r="5644" hidden="1" x14ac:dyDescent="0.35"/>
    <row r="5645" hidden="1" x14ac:dyDescent="0.35"/>
    <row r="5646" hidden="1" x14ac:dyDescent="0.35"/>
    <row r="5647" hidden="1" x14ac:dyDescent="0.35"/>
    <row r="5648" hidden="1" x14ac:dyDescent="0.35"/>
    <row r="5649" hidden="1" x14ac:dyDescent="0.35"/>
    <row r="5650" hidden="1" x14ac:dyDescent="0.35"/>
    <row r="5651" hidden="1" x14ac:dyDescent="0.35"/>
    <row r="5652" hidden="1" x14ac:dyDescent="0.35"/>
    <row r="5653" hidden="1" x14ac:dyDescent="0.35"/>
    <row r="5654" hidden="1" x14ac:dyDescent="0.35"/>
    <row r="5655" hidden="1" x14ac:dyDescent="0.35"/>
    <row r="5656" hidden="1" x14ac:dyDescent="0.35"/>
    <row r="5657" hidden="1" x14ac:dyDescent="0.35"/>
    <row r="5658" hidden="1" x14ac:dyDescent="0.35"/>
    <row r="5659" hidden="1" x14ac:dyDescent="0.35"/>
    <row r="5660" hidden="1" x14ac:dyDescent="0.35"/>
    <row r="5661" hidden="1" x14ac:dyDescent="0.35"/>
    <row r="5662" hidden="1" x14ac:dyDescent="0.35"/>
    <row r="5663" hidden="1" x14ac:dyDescent="0.35"/>
    <row r="5664" hidden="1" x14ac:dyDescent="0.35"/>
    <row r="5665" hidden="1" x14ac:dyDescent="0.35"/>
    <row r="5666" hidden="1" x14ac:dyDescent="0.35"/>
    <row r="5667" hidden="1" x14ac:dyDescent="0.35"/>
    <row r="5668" hidden="1" x14ac:dyDescent="0.35"/>
    <row r="5669" hidden="1" x14ac:dyDescent="0.35"/>
    <row r="5670" hidden="1" x14ac:dyDescent="0.35"/>
    <row r="5671" hidden="1" x14ac:dyDescent="0.35"/>
    <row r="5672" hidden="1" x14ac:dyDescent="0.35"/>
    <row r="5673" hidden="1" x14ac:dyDescent="0.35"/>
    <row r="5674" hidden="1" x14ac:dyDescent="0.35"/>
    <row r="5675" hidden="1" x14ac:dyDescent="0.35"/>
    <row r="5676" hidden="1" x14ac:dyDescent="0.35"/>
    <row r="5677" hidden="1" x14ac:dyDescent="0.35"/>
    <row r="5678" hidden="1" x14ac:dyDescent="0.35"/>
    <row r="5679" hidden="1" x14ac:dyDescent="0.35"/>
    <row r="5680" hidden="1" x14ac:dyDescent="0.35"/>
    <row r="5681" hidden="1" x14ac:dyDescent="0.35"/>
    <row r="5682" hidden="1" x14ac:dyDescent="0.35"/>
    <row r="5683" hidden="1" x14ac:dyDescent="0.35"/>
    <row r="5684" hidden="1" x14ac:dyDescent="0.35"/>
    <row r="5685" hidden="1" x14ac:dyDescent="0.35"/>
    <row r="5686" hidden="1" x14ac:dyDescent="0.35"/>
    <row r="5687" hidden="1" x14ac:dyDescent="0.35"/>
    <row r="5688" hidden="1" x14ac:dyDescent="0.35"/>
    <row r="5689" hidden="1" x14ac:dyDescent="0.35"/>
    <row r="5690" hidden="1" x14ac:dyDescent="0.35"/>
    <row r="5691" hidden="1" x14ac:dyDescent="0.35"/>
    <row r="5692" hidden="1" x14ac:dyDescent="0.35"/>
    <row r="5693" hidden="1" x14ac:dyDescent="0.35"/>
    <row r="5694" hidden="1" x14ac:dyDescent="0.35"/>
    <row r="5695" hidden="1" x14ac:dyDescent="0.35"/>
    <row r="5696" hidden="1" x14ac:dyDescent="0.35"/>
    <row r="5697" hidden="1" x14ac:dyDescent="0.35"/>
    <row r="5698" hidden="1" x14ac:dyDescent="0.35"/>
    <row r="5699" hidden="1" x14ac:dyDescent="0.35"/>
    <row r="5700" hidden="1" x14ac:dyDescent="0.35"/>
    <row r="5701" hidden="1" x14ac:dyDescent="0.35"/>
    <row r="5702" hidden="1" x14ac:dyDescent="0.35"/>
    <row r="5703" hidden="1" x14ac:dyDescent="0.35"/>
    <row r="5704" hidden="1" x14ac:dyDescent="0.35"/>
    <row r="5705" hidden="1" x14ac:dyDescent="0.35"/>
    <row r="5706" hidden="1" x14ac:dyDescent="0.35"/>
    <row r="5707" hidden="1" x14ac:dyDescent="0.35"/>
    <row r="5708" hidden="1" x14ac:dyDescent="0.35"/>
    <row r="5709" hidden="1" x14ac:dyDescent="0.35"/>
    <row r="5710" hidden="1" x14ac:dyDescent="0.35"/>
    <row r="5711" hidden="1" x14ac:dyDescent="0.35"/>
    <row r="5712" hidden="1" x14ac:dyDescent="0.35"/>
    <row r="5713" hidden="1" x14ac:dyDescent="0.35"/>
    <row r="5714" hidden="1" x14ac:dyDescent="0.35"/>
    <row r="5715" hidden="1" x14ac:dyDescent="0.35"/>
    <row r="5716" hidden="1" x14ac:dyDescent="0.35"/>
    <row r="5717" hidden="1" x14ac:dyDescent="0.35"/>
    <row r="5718" hidden="1" x14ac:dyDescent="0.35"/>
    <row r="5719" hidden="1" x14ac:dyDescent="0.35"/>
    <row r="5720" hidden="1" x14ac:dyDescent="0.35"/>
    <row r="5721" hidden="1" x14ac:dyDescent="0.35"/>
    <row r="5722" hidden="1" x14ac:dyDescent="0.35"/>
    <row r="5723" hidden="1" x14ac:dyDescent="0.35"/>
    <row r="5724" hidden="1" x14ac:dyDescent="0.35"/>
    <row r="5725" hidden="1" x14ac:dyDescent="0.35"/>
    <row r="5726" hidden="1" x14ac:dyDescent="0.35"/>
    <row r="5727" hidden="1" x14ac:dyDescent="0.35"/>
    <row r="5728" hidden="1" x14ac:dyDescent="0.35"/>
    <row r="5729" hidden="1" x14ac:dyDescent="0.35"/>
    <row r="5730" hidden="1" x14ac:dyDescent="0.35"/>
    <row r="5731" hidden="1" x14ac:dyDescent="0.35"/>
    <row r="5732" hidden="1" x14ac:dyDescent="0.35"/>
    <row r="5733" hidden="1" x14ac:dyDescent="0.35"/>
    <row r="5734" hidden="1" x14ac:dyDescent="0.35"/>
    <row r="5735" hidden="1" x14ac:dyDescent="0.35"/>
    <row r="5736" hidden="1" x14ac:dyDescent="0.35"/>
    <row r="5737" hidden="1" x14ac:dyDescent="0.35"/>
    <row r="5738" hidden="1" x14ac:dyDescent="0.35"/>
    <row r="5739" hidden="1" x14ac:dyDescent="0.35"/>
    <row r="5740" hidden="1" x14ac:dyDescent="0.35"/>
    <row r="5741" hidden="1" x14ac:dyDescent="0.35"/>
    <row r="5742" hidden="1" x14ac:dyDescent="0.35"/>
    <row r="5743" hidden="1" x14ac:dyDescent="0.35"/>
    <row r="5744" hidden="1" x14ac:dyDescent="0.35"/>
    <row r="5745" hidden="1" x14ac:dyDescent="0.35"/>
    <row r="5746" hidden="1" x14ac:dyDescent="0.35"/>
    <row r="5747" hidden="1" x14ac:dyDescent="0.35"/>
    <row r="5748" hidden="1" x14ac:dyDescent="0.35"/>
    <row r="5749" hidden="1" x14ac:dyDescent="0.35"/>
    <row r="5750" hidden="1" x14ac:dyDescent="0.35"/>
    <row r="5751" hidden="1" x14ac:dyDescent="0.35"/>
    <row r="5752" hidden="1" x14ac:dyDescent="0.35"/>
    <row r="5753" hidden="1" x14ac:dyDescent="0.35"/>
    <row r="5754" hidden="1" x14ac:dyDescent="0.35"/>
    <row r="5755" hidden="1" x14ac:dyDescent="0.35"/>
    <row r="5756" hidden="1" x14ac:dyDescent="0.35"/>
    <row r="5757" hidden="1" x14ac:dyDescent="0.35"/>
    <row r="5758" hidden="1" x14ac:dyDescent="0.35"/>
    <row r="5759" hidden="1" x14ac:dyDescent="0.35"/>
    <row r="5760" hidden="1" x14ac:dyDescent="0.35"/>
    <row r="5761" hidden="1" x14ac:dyDescent="0.35"/>
    <row r="5762" hidden="1" x14ac:dyDescent="0.35"/>
    <row r="5763" hidden="1" x14ac:dyDescent="0.35"/>
    <row r="5764" hidden="1" x14ac:dyDescent="0.35"/>
    <row r="5765" hidden="1" x14ac:dyDescent="0.35"/>
    <row r="5766" hidden="1" x14ac:dyDescent="0.35"/>
    <row r="5767" hidden="1" x14ac:dyDescent="0.35"/>
    <row r="5768" hidden="1" x14ac:dyDescent="0.35"/>
    <row r="5769" hidden="1" x14ac:dyDescent="0.35"/>
    <row r="5770" hidden="1" x14ac:dyDescent="0.35"/>
    <row r="5771" hidden="1" x14ac:dyDescent="0.35"/>
    <row r="5772" hidden="1" x14ac:dyDescent="0.35"/>
    <row r="5773" hidden="1" x14ac:dyDescent="0.35"/>
    <row r="5774" hidden="1" x14ac:dyDescent="0.35"/>
    <row r="5775" hidden="1" x14ac:dyDescent="0.35"/>
    <row r="5776" hidden="1" x14ac:dyDescent="0.35"/>
    <row r="5777" hidden="1" x14ac:dyDescent="0.35"/>
    <row r="5778" hidden="1" x14ac:dyDescent="0.35"/>
    <row r="5779" hidden="1" x14ac:dyDescent="0.35"/>
    <row r="5780" hidden="1" x14ac:dyDescent="0.35"/>
    <row r="5781" hidden="1" x14ac:dyDescent="0.35"/>
    <row r="5782" hidden="1" x14ac:dyDescent="0.35"/>
    <row r="5783" hidden="1" x14ac:dyDescent="0.35"/>
    <row r="5784" hidden="1" x14ac:dyDescent="0.35"/>
    <row r="5785" hidden="1" x14ac:dyDescent="0.35"/>
    <row r="5786" hidden="1" x14ac:dyDescent="0.35"/>
    <row r="5787" hidden="1" x14ac:dyDescent="0.35"/>
    <row r="5788" hidden="1" x14ac:dyDescent="0.35"/>
    <row r="5789" hidden="1" x14ac:dyDescent="0.35"/>
    <row r="5790" hidden="1" x14ac:dyDescent="0.35"/>
    <row r="5791" hidden="1" x14ac:dyDescent="0.35"/>
    <row r="5792" hidden="1" x14ac:dyDescent="0.35"/>
    <row r="5793" hidden="1" x14ac:dyDescent="0.35"/>
    <row r="5794" hidden="1" x14ac:dyDescent="0.35"/>
    <row r="5795" hidden="1" x14ac:dyDescent="0.35"/>
    <row r="5796" hidden="1" x14ac:dyDescent="0.35"/>
    <row r="5797" hidden="1" x14ac:dyDescent="0.35"/>
    <row r="5798" hidden="1" x14ac:dyDescent="0.35"/>
    <row r="5799" hidden="1" x14ac:dyDescent="0.35"/>
    <row r="5800" hidden="1" x14ac:dyDescent="0.35"/>
    <row r="5801" hidden="1" x14ac:dyDescent="0.35"/>
    <row r="5802" hidden="1" x14ac:dyDescent="0.35"/>
    <row r="5803" hidden="1" x14ac:dyDescent="0.35"/>
    <row r="5804" hidden="1" x14ac:dyDescent="0.35"/>
    <row r="5805" hidden="1" x14ac:dyDescent="0.35"/>
    <row r="5806" hidden="1" x14ac:dyDescent="0.35"/>
    <row r="5807" hidden="1" x14ac:dyDescent="0.35"/>
    <row r="5808" hidden="1" x14ac:dyDescent="0.35"/>
    <row r="5809" hidden="1" x14ac:dyDescent="0.35"/>
    <row r="5810" hidden="1" x14ac:dyDescent="0.35"/>
    <row r="5811" hidden="1" x14ac:dyDescent="0.35"/>
    <row r="5812" hidden="1" x14ac:dyDescent="0.35"/>
    <row r="5813" hidden="1" x14ac:dyDescent="0.35"/>
    <row r="5814" hidden="1" x14ac:dyDescent="0.35"/>
    <row r="5815" hidden="1" x14ac:dyDescent="0.35"/>
    <row r="5816" hidden="1" x14ac:dyDescent="0.35"/>
    <row r="5817" hidden="1" x14ac:dyDescent="0.35"/>
    <row r="5818" hidden="1" x14ac:dyDescent="0.35"/>
    <row r="5819" hidden="1" x14ac:dyDescent="0.35"/>
    <row r="5820" hidden="1" x14ac:dyDescent="0.35"/>
    <row r="5821" hidden="1" x14ac:dyDescent="0.35"/>
    <row r="5822" hidden="1" x14ac:dyDescent="0.35"/>
    <row r="5823" hidden="1" x14ac:dyDescent="0.35"/>
    <row r="5824" hidden="1" x14ac:dyDescent="0.35"/>
    <row r="5825" hidden="1" x14ac:dyDescent="0.35"/>
    <row r="5826" hidden="1" x14ac:dyDescent="0.35"/>
    <row r="5827" hidden="1" x14ac:dyDescent="0.35"/>
    <row r="5828" hidden="1" x14ac:dyDescent="0.35"/>
    <row r="5829" hidden="1" x14ac:dyDescent="0.35"/>
    <row r="5830" hidden="1" x14ac:dyDescent="0.35"/>
    <row r="5831" hidden="1" x14ac:dyDescent="0.35"/>
    <row r="5832" hidden="1" x14ac:dyDescent="0.35"/>
    <row r="5833" hidden="1" x14ac:dyDescent="0.35"/>
    <row r="5834" hidden="1" x14ac:dyDescent="0.35"/>
    <row r="5835" hidden="1" x14ac:dyDescent="0.35"/>
    <row r="5836" hidden="1" x14ac:dyDescent="0.35"/>
    <row r="5837" hidden="1" x14ac:dyDescent="0.35"/>
    <row r="5838" hidden="1" x14ac:dyDescent="0.35"/>
    <row r="5839" hidden="1" x14ac:dyDescent="0.35"/>
    <row r="5840" hidden="1" x14ac:dyDescent="0.35"/>
    <row r="5841" hidden="1" x14ac:dyDescent="0.35"/>
    <row r="5842" hidden="1" x14ac:dyDescent="0.35"/>
    <row r="5843" hidden="1" x14ac:dyDescent="0.35"/>
    <row r="5844" hidden="1" x14ac:dyDescent="0.35"/>
    <row r="5845" hidden="1" x14ac:dyDescent="0.35"/>
    <row r="5846" hidden="1" x14ac:dyDescent="0.35"/>
    <row r="5847" hidden="1" x14ac:dyDescent="0.35"/>
    <row r="5848" hidden="1" x14ac:dyDescent="0.35"/>
    <row r="5849" hidden="1" x14ac:dyDescent="0.35"/>
    <row r="5850" hidden="1" x14ac:dyDescent="0.35"/>
    <row r="5851" hidden="1" x14ac:dyDescent="0.35"/>
    <row r="5852" hidden="1" x14ac:dyDescent="0.35"/>
    <row r="5853" hidden="1" x14ac:dyDescent="0.35"/>
    <row r="5854" hidden="1" x14ac:dyDescent="0.35"/>
    <row r="5855" hidden="1" x14ac:dyDescent="0.35"/>
    <row r="5856" hidden="1" x14ac:dyDescent="0.35"/>
    <row r="5857" hidden="1" x14ac:dyDescent="0.35"/>
    <row r="5858" hidden="1" x14ac:dyDescent="0.35"/>
    <row r="5859" hidden="1" x14ac:dyDescent="0.35"/>
    <row r="5860" hidden="1" x14ac:dyDescent="0.35"/>
    <row r="5861" hidden="1" x14ac:dyDescent="0.35"/>
    <row r="5862" hidden="1" x14ac:dyDescent="0.35"/>
    <row r="5863" hidden="1" x14ac:dyDescent="0.35"/>
    <row r="5864" hidden="1" x14ac:dyDescent="0.35"/>
    <row r="5865" hidden="1" x14ac:dyDescent="0.35"/>
    <row r="5866" hidden="1" x14ac:dyDescent="0.35"/>
    <row r="5867" hidden="1" x14ac:dyDescent="0.35"/>
    <row r="5868" hidden="1" x14ac:dyDescent="0.35"/>
    <row r="5869" hidden="1" x14ac:dyDescent="0.35"/>
    <row r="5870" hidden="1" x14ac:dyDescent="0.35"/>
    <row r="5871" hidden="1" x14ac:dyDescent="0.35"/>
    <row r="5872" hidden="1" x14ac:dyDescent="0.35"/>
    <row r="5873" hidden="1" x14ac:dyDescent="0.35"/>
    <row r="5874" hidden="1" x14ac:dyDescent="0.35"/>
    <row r="5875" hidden="1" x14ac:dyDescent="0.35"/>
    <row r="5876" hidden="1" x14ac:dyDescent="0.35"/>
    <row r="5877" hidden="1" x14ac:dyDescent="0.35"/>
    <row r="5878" hidden="1" x14ac:dyDescent="0.35"/>
    <row r="5879" hidden="1" x14ac:dyDescent="0.35"/>
    <row r="5880" hidden="1" x14ac:dyDescent="0.35"/>
    <row r="5881" hidden="1" x14ac:dyDescent="0.35"/>
    <row r="5882" hidden="1" x14ac:dyDescent="0.35"/>
    <row r="5883" hidden="1" x14ac:dyDescent="0.35"/>
    <row r="5884" hidden="1" x14ac:dyDescent="0.35"/>
    <row r="5885" hidden="1" x14ac:dyDescent="0.35"/>
    <row r="5886" hidden="1" x14ac:dyDescent="0.35"/>
    <row r="5887" hidden="1" x14ac:dyDescent="0.35"/>
    <row r="5888" hidden="1" x14ac:dyDescent="0.35"/>
    <row r="5889" hidden="1" x14ac:dyDescent="0.35"/>
    <row r="5890" hidden="1" x14ac:dyDescent="0.35"/>
    <row r="5891" hidden="1" x14ac:dyDescent="0.35"/>
    <row r="5892" hidden="1" x14ac:dyDescent="0.35"/>
    <row r="5893" hidden="1" x14ac:dyDescent="0.35"/>
    <row r="5894" hidden="1" x14ac:dyDescent="0.35"/>
    <row r="5895" hidden="1" x14ac:dyDescent="0.35"/>
    <row r="5896" hidden="1" x14ac:dyDescent="0.35"/>
    <row r="5897" hidden="1" x14ac:dyDescent="0.35"/>
    <row r="5898" hidden="1" x14ac:dyDescent="0.35"/>
    <row r="5899" hidden="1" x14ac:dyDescent="0.35"/>
    <row r="5900" hidden="1" x14ac:dyDescent="0.35"/>
    <row r="5901" hidden="1" x14ac:dyDescent="0.35"/>
    <row r="5902" hidden="1" x14ac:dyDescent="0.35"/>
    <row r="5903" hidden="1" x14ac:dyDescent="0.35"/>
    <row r="5904" hidden="1" x14ac:dyDescent="0.35"/>
    <row r="5905" hidden="1" x14ac:dyDescent="0.35"/>
    <row r="5906" hidden="1" x14ac:dyDescent="0.35"/>
    <row r="5907" hidden="1" x14ac:dyDescent="0.35"/>
  </sheetData>
  <autoFilter ref="A9:M5907" xr:uid="{FB1720A6-3E42-4CC3-84CB-A697ECC121AD}">
    <filterColumn colId="9">
      <filters>
        <filter val="1110551"/>
      </filters>
    </filterColumn>
    <filterColumn colId="11">
      <filters>
        <filter val="Outside Services"/>
      </filters>
    </filterColumn>
  </autoFilter>
  <dataConsolidate link="1"/>
  <conditionalFormatting sqref="H10:H793">
    <cfRule type="cellIs" dxfId="15" priority="1" operator="notEqual">
      <formula>G10</formula>
    </cfRule>
  </conditionalFormatting>
  <conditionalFormatting sqref="H1216:H1223">
    <cfRule type="cellIs" dxfId="14" priority="12" operator="notEqual">
      <formula>G1216</formula>
    </cfRule>
  </conditionalFormatting>
  <conditionalFormatting sqref="H1665:H1671">
    <cfRule type="cellIs" dxfId="13" priority="11" operator="notEqual">
      <formula>G1665</formula>
    </cfRule>
  </conditionalFormatting>
  <conditionalFormatting sqref="H2065:H2066">
    <cfRule type="cellIs" dxfId="12" priority="10" operator="notEqual">
      <formula>G2065</formula>
    </cfRule>
  </conditionalFormatting>
  <conditionalFormatting sqref="H2318:H2320">
    <cfRule type="cellIs" dxfId="11" priority="9" operator="notEqual">
      <formula>G2318</formula>
    </cfRule>
  </conditionalFormatting>
  <conditionalFormatting sqref="H2330:H2334">
    <cfRule type="cellIs" dxfId="10" priority="8" operator="notEqual">
      <formula>G2330</formula>
    </cfRule>
  </conditionalFormatting>
  <conditionalFormatting sqref="H2440:H2444">
    <cfRule type="cellIs" dxfId="9" priority="7" operator="notEqual">
      <formula>G2440</formula>
    </cfRule>
  </conditionalFormatting>
  <conditionalFormatting sqref="H2862:H2863">
    <cfRule type="cellIs" dxfId="8" priority="6" operator="notEqual">
      <formula>G2862</formula>
    </cfRule>
  </conditionalFormatting>
  <conditionalFormatting sqref="H3683">
    <cfRule type="cellIs" dxfId="7" priority="5" operator="notEqual">
      <formula>G3683</formula>
    </cfRule>
  </conditionalFormatting>
  <conditionalFormatting sqref="H4062">
    <cfRule type="cellIs" dxfId="6" priority="4" operator="notEqual">
      <formula>G4062</formula>
    </cfRule>
  </conditionalFormatting>
  <conditionalFormatting sqref="H4506">
    <cfRule type="cellIs" dxfId="5" priority="3" operator="notEqual">
      <formula>G4506</formula>
    </cfRule>
  </conditionalFormatting>
  <conditionalFormatting sqref="H5048">
    <cfRule type="cellIs" dxfId="4" priority="2" operator="notEqual">
      <formula>G5048</formula>
    </cfRule>
  </conditionalFormatting>
  <conditionalFormatting sqref="J3:L3">
    <cfRule type="expression" dxfId="3" priority="15">
      <formula>#REF!=$N$3</formula>
    </cfRule>
  </conditionalFormatting>
  <conditionalFormatting sqref="J10:L5511">
    <cfRule type="expression" dxfId="2" priority="13">
      <formula>#REF!=$N$3</formula>
    </cfRule>
  </conditionalFormatting>
  <conditionalFormatting sqref="K3">
    <cfRule type="expression" dxfId="1" priority="16">
      <formula>#REF!=$N$4</formula>
    </cfRule>
  </conditionalFormatting>
  <conditionalFormatting sqref="K10:K5511">
    <cfRule type="expression" dxfId="0" priority="14">
      <formula>#REF!=$N$4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JDE GL 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Alba, Maria</dc:creator>
  <cp:lastModifiedBy>Diaz Alba, Maria</cp:lastModifiedBy>
  <dcterms:created xsi:type="dcterms:W3CDTF">2025-10-03T21:11:35Z</dcterms:created>
  <dcterms:modified xsi:type="dcterms:W3CDTF">2025-10-03T21:43:16Z</dcterms:modified>
</cp:coreProperties>
</file>